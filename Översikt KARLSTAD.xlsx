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45640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45640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45640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45640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45640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45640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45640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45640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45640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45640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45640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45640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45640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45640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45640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45640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45640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45640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45640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45640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45640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45640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45640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45640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45640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45640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45640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45640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45640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45640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45640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45640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45640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45640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45640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22914-2019</t>
        </is>
      </c>
      <c r="B37" s="1" t="n">
        <v>43591</v>
      </c>
      <c r="C37" s="1" t="n">
        <v>45640</v>
      </c>
      <c r="D37" t="inlineStr">
        <is>
          <t>VÄRMLANDS LÄN</t>
        </is>
      </c>
      <c r="E37" t="inlineStr">
        <is>
          <t>KARLSTAD</t>
        </is>
      </c>
      <c r="F37" t="inlineStr">
        <is>
          <t>Bergvik skog väst AB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HYPERLINK("https://klasma.github.io/Logging_1780/artfynd/A 22914-2019 artfynd.xlsx", "A 22914-2019")</f>
        <v/>
      </c>
      <c r="T37">
        <f>HYPERLINK("https://klasma.github.io/Logging_1780/kartor/A 22914-2019 karta.png", "A 22914-2019")</f>
        <v/>
      </c>
      <c r="V37">
        <f>HYPERLINK("https://klasma.github.io/Logging_1780/klagomål/A 22914-2019 FSC-klagomål.docx", "A 22914-2019")</f>
        <v/>
      </c>
      <c r="W37">
        <f>HYPERLINK("https://klasma.github.io/Logging_1780/klagomålsmail/A 22914-2019 FSC-klagomål mail.docx", "A 22914-2019")</f>
        <v/>
      </c>
      <c r="X37">
        <f>HYPERLINK("https://klasma.github.io/Logging_1780/tillsyn/A 22914-2019 tillsynsbegäran.docx", "A 22914-2019")</f>
        <v/>
      </c>
      <c r="Y37">
        <f>HYPERLINK("https://klasma.github.io/Logging_1780/tillsynsmail/A 22914-2019 tillsynsbegäran mail.docx", "A 22914-2019")</f>
        <v/>
      </c>
      <c r="Z37">
        <f>HYPERLINK("https://klasma.github.io/Logging_1780/fåglar/A 22914-2019 prioriterade fågelarter.docx", "A 22914-2019")</f>
        <v/>
      </c>
    </row>
    <row r="38" ht="15" customHeight="1">
      <c r="A38" t="inlineStr">
        <is>
          <t>A 25652-2019</t>
        </is>
      </c>
      <c r="B38" s="1" t="n">
        <v>43607</v>
      </c>
      <c r="C38" s="1" t="n">
        <v>45640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HYPERLINK("https://klasma.github.io/Logging_1780/artfynd/A 25652-2019 artfynd.xlsx", "A 25652-2019")</f>
        <v/>
      </c>
      <c r="T38">
        <f>HYPERLINK("https://klasma.github.io/Logging_1780/kartor/A 25652-2019 karta.png", "A 25652-2019")</f>
        <v/>
      </c>
      <c r="V38">
        <f>HYPERLINK("https://klasma.github.io/Logging_1780/klagomål/A 25652-2019 FSC-klagomål.docx", "A 25652-2019")</f>
        <v/>
      </c>
      <c r="W38">
        <f>HYPERLINK("https://klasma.github.io/Logging_1780/klagomålsmail/A 25652-2019 FSC-klagomål mail.docx", "A 25652-2019")</f>
        <v/>
      </c>
      <c r="X38">
        <f>HYPERLINK("https://klasma.github.io/Logging_1780/tillsyn/A 25652-2019 tillsynsbegäran.docx", "A 25652-2019")</f>
        <v/>
      </c>
      <c r="Y38">
        <f>HYPERLINK("https://klasma.github.io/Logging_1780/tillsynsmail/A 25652-2019 tillsynsbegäran mail.docx", "A 25652-2019")</f>
        <v/>
      </c>
    </row>
    <row r="39" ht="15" customHeight="1">
      <c r="A39" t="inlineStr">
        <is>
          <t>A 27311-2019</t>
        </is>
      </c>
      <c r="B39" s="1" t="n">
        <v>43616</v>
      </c>
      <c r="C39" s="1" t="n">
        <v>45640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Ängsmetallvinge</t>
        </is>
      </c>
      <c r="S39">
        <f>HYPERLINK("https://klasma.github.io/Logging_1780/artfynd/A 27311-2019 artfynd.xlsx", "A 27311-2019")</f>
        <v/>
      </c>
      <c r="T39">
        <f>HYPERLINK("https://klasma.github.io/Logging_1780/kartor/A 27311-2019 karta.png", "A 27311-2019")</f>
        <v/>
      </c>
      <c r="V39">
        <f>HYPERLINK("https://klasma.github.io/Logging_1780/klagomål/A 27311-2019 FSC-klagomål.docx", "A 27311-2019")</f>
        <v/>
      </c>
      <c r="W39">
        <f>HYPERLINK("https://klasma.github.io/Logging_1780/klagomålsmail/A 27311-2019 FSC-klagomål mail.docx", "A 27311-2019")</f>
        <v/>
      </c>
      <c r="X39">
        <f>HYPERLINK("https://klasma.github.io/Logging_1780/tillsyn/A 27311-2019 tillsynsbegäran.docx", "A 27311-2019")</f>
        <v/>
      </c>
      <c r="Y39">
        <f>HYPERLINK("https://klasma.github.io/Logging_1780/tillsynsmail/A 27311-2019 tillsynsbegäran mail.docx", "A 27311-2019")</f>
        <v/>
      </c>
    </row>
    <row r="40" ht="15" customHeight="1">
      <c r="A40" t="inlineStr">
        <is>
          <t>A 6299-2020</t>
        </is>
      </c>
      <c r="B40" s="1" t="n">
        <v>43866</v>
      </c>
      <c r="C40" s="1" t="n">
        <v>45640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HYPERLINK("https://klasma.github.io/Logging_1780/artfynd/A 6299-2020 artfynd.xlsx", "A 6299-2020")</f>
        <v/>
      </c>
      <c r="T40">
        <f>HYPERLINK("https://klasma.github.io/Logging_1780/kartor/A 6299-2020 karta.png", "A 6299-2020")</f>
        <v/>
      </c>
      <c r="V40">
        <f>HYPERLINK("https://klasma.github.io/Logging_1780/klagomål/A 6299-2020 FSC-klagomål.docx", "A 6299-2020")</f>
        <v/>
      </c>
      <c r="W40">
        <f>HYPERLINK("https://klasma.github.io/Logging_1780/klagomålsmail/A 6299-2020 FSC-klagomål mail.docx", "A 6299-2020")</f>
        <v/>
      </c>
      <c r="X40">
        <f>HYPERLINK("https://klasma.github.io/Logging_1780/tillsyn/A 6299-2020 tillsynsbegäran.docx", "A 6299-2020")</f>
        <v/>
      </c>
      <c r="Y40">
        <f>HYPERLINK("https://klasma.github.io/Logging_1780/tillsynsmail/A 6299-2020 tillsynsbegäran mail.docx", "A 6299-2020")</f>
        <v/>
      </c>
    </row>
    <row r="41" ht="15" customHeight="1">
      <c r="A41" t="inlineStr">
        <is>
          <t>A 18075-2020</t>
        </is>
      </c>
      <c r="B41" s="1" t="n">
        <v>43927</v>
      </c>
      <c r="C41" s="1" t="n">
        <v>45640</v>
      </c>
      <c r="D41" t="inlineStr">
        <is>
          <t>VÄRMLANDS LÄN</t>
        </is>
      </c>
      <c r="E41" t="inlineStr">
        <is>
          <t>KARLSTAD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HYPERLINK("https://klasma.github.io/Logging_1780/artfynd/A 18075-2020 artfynd.xlsx", "A 18075-2020")</f>
        <v/>
      </c>
      <c r="T41">
        <f>HYPERLINK("https://klasma.github.io/Logging_1780/kartor/A 18075-2020 karta.png", "A 18075-2020")</f>
        <v/>
      </c>
      <c r="V41">
        <f>HYPERLINK("https://klasma.github.io/Logging_1780/klagomål/A 18075-2020 FSC-klagomål.docx", "A 18075-2020")</f>
        <v/>
      </c>
      <c r="W41">
        <f>HYPERLINK("https://klasma.github.io/Logging_1780/klagomålsmail/A 18075-2020 FSC-klagomål mail.docx", "A 18075-2020")</f>
        <v/>
      </c>
      <c r="X41">
        <f>HYPERLINK("https://klasma.github.io/Logging_1780/tillsyn/A 18075-2020 tillsynsbegäran.docx", "A 18075-2020")</f>
        <v/>
      </c>
      <c r="Y41">
        <f>HYPERLINK("https://klasma.github.io/Logging_1780/tillsynsmail/A 18075-2020 tillsynsbegäran mail.docx", "A 18075-2020")</f>
        <v/>
      </c>
    </row>
    <row r="42" ht="15" customHeight="1">
      <c r="A42" t="inlineStr">
        <is>
          <t>A 28368-2020</t>
        </is>
      </c>
      <c r="B42" s="1" t="n">
        <v>43998</v>
      </c>
      <c r="C42" s="1" t="n">
        <v>45640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28368-2020 artfynd.xlsx", "A 28368-2020")</f>
        <v/>
      </c>
      <c r="T42">
        <f>HYPERLINK("https://klasma.github.io/Logging_1780/kartor/A 28368-2020 karta.png", "A 28368-2020")</f>
        <v/>
      </c>
      <c r="V42">
        <f>HYPERLINK("https://klasma.github.io/Logging_1780/klagomål/A 28368-2020 FSC-klagomål.docx", "A 28368-2020")</f>
        <v/>
      </c>
      <c r="W42">
        <f>HYPERLINK("https://klasma.github.io/Logging_1780/klagomålsmail/A 28368-2020 FSC-klagomål mail.docx", "A 28368-2020")</f>
        <v/>
      </c>
      <c r="X42">
        <f>HYPERLINK("https://klasma.github.io/Logging_1780/tillsyn/A 28368-2020 tillsynsbegäran.docx", "A 28368-2020")</f>
        <v/>
      </c>
      <c r="Y42">
        <f>HYPERLINK("https://klasma.github.io/Logging_1780/tillsynsmail/A 28368-2020 tillsynsbegäran mail.docx", "A 28368-2020")</f>
        <v/>
      </c>
    </row>
    <row r="43" ht="15" customHeight="1">
      <c r="A43" t="inlineStr">
        <is>
          <t>A 65851-2020</t>
        </is>
      </c>
      <c r="B43" s="1" t="n">
        <v>44174</v>
      </c>
      <c r="C43" s="1" t="n">
        <v>45640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Skogsalm</t>
        </is>
      </c>
      <c r="S43">
        <f>HYPERLINK("https://klasma.github.io/Logging_1780/artfynd/A 65851-2020 artfynd.xlsx", "A 65851-2020")</f>
        <v/>
      </c>
      <c r="T43">
        <f>HYPERLINK("https://klasma.github.io/Logging_1780/kartor/A 65851-2020 karta.png", "A 65851-2020")</f>
        <v/>
      </c>
      <c r="V43">
        <f>HYPERLINK("https://klasma.github.io/Logging_1780/klagomål/A 65851-2020 FSC-klagomål.docx", "A 65851-2020")</f>
        <v/>
      </c>
      <c r="W43">
        <f>HYPERLINK("https://klasma.github.io/Logging_1780/klagomålsmail/A 65851-2020 FSC-klagomål mail.docx", "A 65851-2020")</f>
        <v/>
      </c>
      <c r="X43">
        <f>HYPERLINK("https://klasma.github.io/Logging_1780/tillsyn/A 65851-2020 tillsynsbegäran.docx", "A 65851-2020")</f>
        <v/>
      </c>
      <c r="Y43">
        <f>HYPERLINK("https://klasma.github.io/Logging_1780/tillsynsmail/A 65851-2020 tillsynsbegäran mail.docx", "A 65851-2020")</f>
        <v/>
      </c>
    </row>
    <row r="44" ht="15" customHeight="1">
      <c r="A44" t="inlineStr">
        <is>
          <t>A 67928-2020</t>
        </is>
      </c>
      <c r="B44" s="1" t="n">
        <v>44182</v>
      </c>
      <c r="C44" s="1" t="n">
        <v>45640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HYPERLINK("https://klasma.github.io/Logging_1780/artfynd/A 67928-2020 artfynd.xlsx", "A 67928-2020")</f>
        <v/>
      </c>
      <c r="T44">
        <f>HYPERLINK("https://klasma.github.io/Logging_1780/kartor/A 67928-2020 karta.png", "A 67928-2020")</f>
        <v/>
      </c>
      <c r="V44">
        <f>HYPERLINK("https://klasma.github.io/Logging_1780/klagomål/A 67928-2020 FSC-klagomål.docx", "A 67928-2020")</f>
        <v/>
      </c>
      <c r="W44">
        <f>HYPERLINK("https://klasma.github.io/Logging_1780/klagomålsmail/A 67928-2020 FSC-klagomål mail.docx", "A 67928-2020")</f>
        <v/>
      </c>
      <c r="X44">
        <f>HYPERLINK("https://klasma.github.io/Logging_1780/tillsyn/A 67928-2020 tillsynsbegäran.docx", "A 67928-2020")</f>
        <v/>
      </c>
      <c r="Y44">
        <f>HYPERLINK("https://klasma.github.io/Logging_1780/tillsynsmail/A 67928-2020 tillsynsbegäran mail.docx", "A 67928-2020")</f>
        <v/>
      </c>
    </row>
    <row r="45" ht="15" customHeight="1">
      <c r="A45" t="inlineStr">
        <is>
          <t>A 2194-2021</t>
        </is>
      </c>
      <c r="B45" s="1" t="n">
        <v>44211</v>
      </c>
      <c r="C45" s="1" t="n">
        <v>45640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2194-2021 artfynd.xlsx", "A 2194-2021")</f>
        <v/>
      </c>
      <c r="T45">
        <f>HYPERLINK("https://klasma.github.io/Logging_1780/kartor/A 2194-2021 karta.png", "A 2194-2021")</f>
        <v/>
      </c>
      <c r="U45">
        <f>HYPERLINK("https://klasma.github.io/Logging_1780/knärot/A 2194-2021 karta knärot.png", "A 2194-2021")</f>
        <v/>
      </c>
      <c r="V45">
        <f>HYPERLINK("https://klasma.github.io/Logging_1780/klagomål/A 2194-2021 FSC-klagomål.docx", "A 2194-2021")</f>
        <v/>
      </c>
      <c r="W45">
        <f>HYPERLINK("https://klasma.github.io/Logging_1780/klagomålsmail/A 2194-2021 FSC-klagomål mail.docx", "A 2194-2021")</f>
        <v/>
      </c>
      <c r="X45">
        <f>HYPERLINK("https://klasma.github.io/Logging_1780/tillsyn/A 2194-2021 tillsynsbegäran.docx", "A 2194-2021")</f>
        <v/>
      </c>
      <c r="Y45">
        <f>HYPERLINK("https://klasma.github.io/Logging_1780/tillsynsmail/A 2194-2021 tillsynsbegäran mail.docx", "A 2194-2021")</f>
        <v/>
      </c>
    </row>
    <row r="46" ht="15" customHeight="1">
      <c r="A46" t="inlineStr">
        <is>
          <t>A 4799-2021</t>
        </is>
      </c>
      <c r="B46" s="1" t="n">
        <v>44225</v>
      </c>
      <c r="C46" s="1" t="n">
        <v>45640</v>
      </c>
      <c r="D46" t="inlineStr">
        <is>
          <t>VÄRMLANDS LÄN</t>
        </is>
      </c>
      <c r="E46" t="inlineStr">
        <is>
          <t>KARLSTAD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4799-2021 artfynd.xlsx", "A 4799-2021")</f>
        <v/>
      </c>
      <c r="T46">
        <f>HYPERLINK("https://klasma.github.io/Logging_1780/kartor/A 4799-2021 karta.png", "A 4799-2021")</f>
        <v/>
      </c>
      <c r="V46">
        <f>HYPERLINK("https://klasma.github.io/Logging_1780/klagomål/A 4799-2021 FSC-klagomål.docx", "A 4799-2021")</f>
        <v/>
      </c>
      <c r="W46">
        <f>HYPERLINK("https://klasma.github.io/Logging_1780/klagomålsmail/A 4799-2021 FSC-klagomål mail.docx", "A 4799-2021")</f>
        <v/>
      </c>
      <c r="X46">
        <f>HYPERLINK("https://klasma.github.io/Logging_1780/tillsyn/A 4799-2021 tillsynsbegäran.docx", "A 4799-2021")</f>
        <v/>
      </c>
      <c r="Y46">
        <f>HYPERLINK("https://klasma.github.io/Logging_1780/tillsynsmail/A 4799-2021 tillsynsbegäran mail.docx", "A 4799-2021")</f>
        <v/>
      </c>
    </row>
    <row r="47" ht="15" customHeight="1">
      <c r="A47" t="inlineStr">
        <is>
          <t>A 47134-2021</t>
        </is>
      </c>
      <c r="B47" s="1" t="n">
        <v>44446</v>
      </c>
      <c r="C47" s="1" t="n">
        <v>45640</v>
      </c>
      <c r="D47" t="inlineStr">
        <is>
          <t>VÄRMLANDS LÄN</t>
        </is>
      </c>
      <c r="E47" t="inlineStr">
        <is>
          <t>KARLSTAD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</t>
        </is>
      </c>
      <c r="S47">
        <f>HYPERLINK("https://klasma.github.io/Logging_1780/artfynd/A 47134-2021 artfynd.xlsx", "A 47134-2021")</f>
        <v/>
      </c>
      <c r="T47">
        <f>HYPERLINK("https://klasma.github.io/Logging_1780/kartor/A 47134-2021 karta.png", "A 47134-2021")</f>
        <v/>
      </c>
      <c r="V47">
        <f>HYPERLINK("https://klasma.github.io/Logging_1780/klagomål/A 47134-2021 FSC-klagomål.docx", "A 47134-2021")</f>
        <v/>
      </c>
      <c r="W47">
        <f>HYPERLINK("https://klasma.github.io/Logging_1780/klagomålsmail/A 47134-2021 FSC-klagomål mail.docx", "A 47134-2021")</f>
        <v/>
      </c>
      <c r="X47">
        <f>HYPERLINK("https://klasma.github.io/Logging_1780/tillsyn/A 47134-2021 tillsynsbegäran.docx", "A 47134-2021")</f>
        <v/>
      </c>
      <c r="Y47">
        <f>HYPERLINK("https://klasma.github.io/Logging_1780/tillsynsmail/A 47134-2021 tillsynsbegäran mail.docx", "A 47134-2021")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45640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45640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45640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45640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45640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45640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45640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45640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45640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45640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45640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45640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45640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45640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  <c r="Z61">
        <f>HYPERLINK("https://klasma.github.io/Logging_1780/fåglar/A 61654-2023 prioriterade fågelarter.docx",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45640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45640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45640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45640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18033-2019</t>
        </is>
      </c>
      <c r="B66" s="1" t="n">
        <v>43556</v>
      </c>
      <c r="C66" s="1" t="n">
        <v>45640</v>
      </c>
      <c r="D66" t="inlineStr">
        <is>
          <t>VÄRMLANDS LÄN</t>
        </is>
      </c>
      <c r="E66" t="inlineStr">
        <is>
          <t>KARLSTAD</t>
        </is>
      </c>
      <c r="G66" t="n">
        <v>16.5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18104-2019</t>
        </is>
      </c>
      <c r="B67" s="1" t="n">
        <v>43556</v>
      </c>
      <c r="C67" s="1" t="n">
        <v>45640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17923-2019</t>
        </is>
      </c>
      <c r="B68" s="1" t="n">
        <v>43557</v>
      </c>
      <c r="C68" s="1" t="n">
        <v>45640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18257-2019</t>
        </is>
      </c>
      <c r="B69" s="1" t="n">
        <v>43557</v>
      </c>
      <c r="C69" s="1" t="n">
        <v>45640</v>
      </c>
      <c r="D69" t="inlineStr">
        <is>
          <t>VÄRMLANDS LÄN</t>
        </is>
      </c>
      <c r="E69" t="inlineStr">
        <is>
          <t>KARLSTAD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18120-2019</t>
        </is>
      </c>
      <c r="B70" s="1" t="n">
        <v>43558</v>
      </c>
      <c r="C70" s="1" t="n">
        <v>45640</v>
      </c>
      <c r="D70" t="inlineStr">
        <is>
          <t>VÄRMLANDS LÄN</t>
        </is>
      </c>
      <c r="E70" t="inlineStr">
        <is>
          <t>KARLSTAD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18126-2019</t>
        </is>
      </c>
      <c r="B71" s="1" t="n">
        <v>43558</v>
      </c>
      <c r="C71" s="1" t="n">
        <v>45640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18285-2019</t>
        </is>
      </c>
      <c r="B72" s="1" t="n">
        <v>43558</v>
      </c>
      <c r="C72" s="1" t="n">
        <v>45640</v>
      </c>
      <c r="D72" t="inlineStr">
        <is>
          <t>VÄRMLANDS LÄN</t>
        </is>
      </c>
      <c r="E72" t="inlineStr">
        <is>
          <t>KARLSTAD</t>
        </is>
      </c>
      <c r="F72" t="inlineStr">
        <is>
          <t>Övriga statliga verk och myndigheter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18525-2019</t>
        </is>
      </c>
      <c r="B73" s="1" t="n">
        <v>43559</v>
      </c>
      <c r="C73" s="1" t="n">
        <v>45640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18938-2019</t>
        </is>
      </c>
      <c r="B74" s="1" t="n">
        <v>43563</v>
      </c>
      <c r="C74" s="1" t="n">
        <v>45640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19120-2019</t>
        </is>
      </c>
      <c r="B75" s="1" t="n">
        <v>43564</v>
      </c>
      <c r="C75" s="1" t="n">
        <v>45640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19226-2019</t>
        </is>
      </c>
      <c r="B76" s="1" t="n">
        <v>43564</v>
      </c>
      <c r="C76" s="1" t="n">
        <v>45640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19133-2019</t>
        </is>
      </c>
      <c r="B77" s="1" t="n">
        <v>43564</v>
      </c>
      <c r="C77" s="1" t="n">
        <v>45640</v>
      </c>
      <c r="D77" t="inlineStr">
        <is>
          <t>VÄRMLANDS LÄN</t>
        </is>
      </c>
      <c r="E77" t="inlineStr">
        <is>
          <t>KARLSTAD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20301-2019</t>
        </is>
      </c>
      <c r="B78" s="1" t="n">
        <v>43570</v>
      </c>
      <c r="C78" s="1" t="n">
        <v>45640</v>
      </c>
      <c r="D78" t="inlineStr">
        <is>
          <t>VÄRMLANDS LÄN</t>
        </is>
      </c>
      <c r="E78" t="inlineStr">
        <is>
          <t>KARLSTAD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20339-2019</t>
        </is>
      </c>
      <c r="B79" s="1" t="n">
        <v>43570</v>
      </c>
      <c r="C79" s="1" t="n">
        <v>45640</v>
      </c>
      <c r="D79" t="inlineStr">
        <is>
          <t>VÄRMLANDS LÄN</t>
        </is>
      </c>
      <c r="E79" t="inlineStr">
        <is>
          <t>KARLSTAD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20461-2019</t>
        </is>
      </c>
      <c r="B80" s="1" t="n">
        <v>43572</v>
      </c>
      <c r="C80" s="1" t="n">
        <v>45640</v>
      </c>
      <c r="D80" t="inlineStr">
        <is>
          <t>VÄRMLANDS LÄN</t>
        </is>
      </c>
      <c r="E80" t="inlineStr">
        <is>
          <t>KARLSTAD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20610-2019</t>
        </is>
      </c>
      <c r="B81" s="1" t="n">
        <v>43572</v>
      </c>
      <c r="C81" s="1" t="n">
        <v>45640</v>
      </c>
      <c r="D81" t="inlineStr">
        <is>
          <t>VÄRMLANDS LÄN</t>
        </is>
      </c>
      <c r="E81" t="inlineStr">
        <is>
          <t>KARLSTAD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20785-2019</t>
        </is>
      </c>
      <c r="B82" s="1" t="n">
        <v>43573</v>
      </c>
      <c r="C82" s="1" t="n">
        <v>45640</v>
      </c>
      <c r="D82" t="inlineStr">
        <is>
          <t>VÄRMLANDS LÄN</t>
        </is>
      </c>
      <c r="E82" t="inlineStr">
        <is>
          <t>KARLSTAD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20852-2019</t>
        </is>
      </c>
      <c r="B83" s="1" t="n">
        <v>43577</v>
      </c>
      <c r="C83" s="1" t="n">
        <v>45640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21350-2019</t>
        </is>
      </c>
      <c r="B84" s="1" t="n">
        <v>43579</v>
      </c>
      <c r="C84" s="1" t="n">
        <v>45640</v>
      </c>
      <c r="D84" t="inlineStr">
        <is>
          <t>VÄRMLANDS LÄN</t>
        </is>
      </c>
      <c r="E84" t="inlineStr">
        <is>
          <t>KARLSTAD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21573-2019</t>
        </is>
      </c>
      <c r="B85" s="1" t="n">
        <v>43580</v>
      </c>
      <c r="C85" s="1" t="n">
        <v>45640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21899-2019</t>
        </is>
      </c>
      <c r="B86" s="1" t="n">
        <v>43584</v>
      </c>
      <c r="C86" s="1" t="n">
        <v>45640</v>
      </c>
      <c r="D86" t="inlineStr">
        <is>
          <t>VÄRMLANDS LÄN</t>
        </is>
      </c>
      <c r="E86" t="inlineStr">
        <is>
          <t>KARLSTAD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22386-2019</t>
        </is>
      </c>
      <c r="B87" s="1" t="n">
        <v>43587</v>
      </c>
      <c r="C87" s="1" t="n">
        <v>45640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22700-2019</t>
        </is>
      </c>
      <c r="B88" s="1" t="n">
        <v>43588</v>
      </c>
      <c r="C88" s="1" t="n">
        <v>45640</v>
      </c>
      <c r="D88" t="inlineStr">
        <is>
          <t>VÄRMLANDS LÄN</t>
        </is>
      </c>
      <c r="E88" t="inlineStr">
        <is>
          <t>KARLSTAD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22869-2019</t>
        </is>
      </c>
      <c r="B89" s="1" t="n">
        <v>43591</v>
      </c>
      <c r="C89" s="1" t="n">
        <v>45640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HYPERLINK("https://klasma.github.io/Logging_1780/knärot/A 22869-2019 karta knärot.png", "A 22869-2019")</f>
        <v/>
      </c>
      <c r="V89">
        <f>HYPERLINK("https://klasma.github.io/Logging_1780/klagomål/A 22869-2019 FSC-klagomål.docx", "A 22869-2019")</f>
        <v/>
      </c>
      <c r="W89">
        <f>HYPERLINK("https://klasma.github.io/Logging_1780/klagomålsmail/A 22869-2019 FSC-klagomål mail.docx", "A 22869-2019")</f>
        <v/>
      </c>
      <c r="X89">
        <f>HYPERLINK("https://klasma.github.io/Logging_1780/tillsyn/A 22869-2019 tillsynsbegäran.docx", "A 22869-2019")</f>
        <v/>
      </c>
      <c r="Y89">
        <f>HYPERLINK("https://klasma.github.io/Logging_1780/tillsynsmail/A 22869-2019 tillsynsbegäran mail.docx", "A 22869-2019")</f>
        <v/>
      </c>
    </row>
    <row r="90" ht="15" customHeight="1">
      <c r="A90" t="inlineStr">
        <is>
          <t>A 23045-2019</t>
        </is>
      </c>
      <c r="B90" s="1" t="n">
        <v>43591</v>
      </c>
      <c r="C90" s="1" t="n">
        <v>45640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45640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45640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45640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45640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45640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45640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45640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45640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45640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45640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45640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45640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45640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45640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45640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45640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45640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45640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45640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45640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45640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45640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45640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45640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45640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45640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45640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45640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45640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45640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45640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45640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45640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45640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45640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45640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45640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45640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45640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45640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45640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45640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45640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45640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45640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45640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45640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45640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45640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45640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45640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45640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45640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45640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45640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45640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45640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45640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45640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45640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45640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45640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45640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45640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45640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45640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45640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45640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45640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45640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45640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45640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45640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45640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45640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45640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45640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45640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45640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45640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45640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45640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45640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45640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45640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45640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45640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45640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45640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45640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45640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45640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45640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45640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45640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45640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45640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45640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45640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45640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45640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45640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45640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45640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45640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45640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45640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45640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45640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45640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45640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45640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45640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45640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45640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45640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45640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45640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45640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45640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45640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45640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45640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45640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45640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45640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45640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45640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45640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45640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45640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45640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45640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45640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45640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45640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45640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45640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45640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45640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45640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45640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45640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45640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45640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45640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45640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45640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45640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45640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45640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45640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45640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45640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45640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45640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45640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45640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45640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45640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45640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45640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45640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45640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45640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45640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45640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45640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45640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45640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45640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45640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45640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45640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45640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45640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45640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45640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45640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45640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45640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45640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45640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45640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45640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45640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45640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45640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45640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45640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45640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45640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45640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45640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45640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45640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45640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45640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45640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45640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45640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45640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45640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45640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45640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45640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45640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45640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45640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45640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45640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45640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45640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45640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45640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45640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45640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45640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45640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45640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45640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45640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45640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45640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45640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45640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45640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45640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45640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45640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45640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45640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45640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45640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45640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45640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45640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45640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45640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45640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45640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45640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45640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45640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45640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45640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45640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45640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45640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45640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45640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45640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45640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45640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45640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45640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45640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45640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45640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45640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45640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45640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45640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45640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45640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45640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45640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45640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45640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45640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45640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45640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45640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45640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45640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45640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45640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45640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45640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45640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45640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45640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45640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45640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45640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45640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45640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45640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45640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45640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45640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45640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45640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45640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45640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45640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45640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45640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47285-2021</t>
        </is>
      </c>
      <c r="B389" s="1" t="n">
        <v>44446</v>
      </c>
      <c r="C389" s="1" t="n">
        <v>45640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47352-2021</t>
        </is>
      </c>
      <c r="B390" s="1" t="n">
        <v>44447</v>
      </c>
      <c r="C390" s="1" t="n">
        <v>45640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47956-2021</t>
        </is>
      </c>
      <c r="B391" s="1" t="n">
        <v>44449</v>
      </c>
      <c r="C391" s="1" t="n">
        <v>45640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48588-2021</t>
        </is>
      </c>
      <c r="B392" s="1" t="n">
        <v>44452</v>
      </c>
      <c r="C392" s="1" t="n">
        <v>45640</v>
      </c>
      <c r="D392" t="inlineStr">
        <is>
          <t>VÄRMLANDS LÄN</t>
        </is>
      </c>
      <c r="E392" t="inlineStr">
        <is>
          <t>KARLSTAD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48577-2021</t>
        </is>
      </c>
      <c r="B393" s="1" t="n">
        <v>44452</v>
      </c>
      <c r="C393" s="1" t="n">
        <v>45640</v>
      </c>
      <c r="D393" t="inlineStr">
        <is>
          <t>VÄRMLANDS LÄN</t>
        </is>
      </c>
      <c r="E393" t="inlineStr">
        <is>
          <t>KARLSTAD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48597-2021</t>
        </is>
      </c>
      <c r="B394" s="1" t="n">
        <v>44452</v>
      </c>
      <c r="C394" s="1" t="n">
        <v>45640</v>
      </c>
      <c r="D394" t="inlineStr">
        <is>
          <t>VÄRMLANDS LÄN</t>
        </is>
      </c>
      <c r="E394" t="inlineStr">
        <is>
          <t>KARLSTAD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48620-2021</t>
        </is>
      </c>
      <c r="B395" s="1" t="n">
        <v>44452</v>
      </c>
      <c r="C395" s="1" t="n">
        <v>45640</v>
      </c>
      <c r="D395" t="inlineStr">
        <is>
          <t>VÄRMLANDS LÄN</t>
        </is>
      </c>
      <c r="E395" t="inlineStr">
        <is>
          <t>KARLSTAD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48633-2021</t>
        </is>
      </c>
      <c r="B396" s="1" t="n">
        <v>44452</v>
      </c>
      <c r="C396" s="1" t="n">
        <v>45640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49343-2021</t>
        </is>
      </c>
      <c r="B397" s="1" t="n">
        <v>44454</v>
      </c>
      <c r="C397" s="1" t="n">
        <v>45640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50400-2021</t>
        </is>
      </c>
      <c r="B398" s="1" t="n">
        <v>44459</v>
      </c>
      <c r="C398" s="1" t="n">
        <v>45640</v>
      </c>
      <c r="D398" t="inlineStr">
        <is>
          <t>VÄRMLANDS LÄN</t>
        </is>
      </c>
      <c r="E398" t="inlineStr">
        <is>
          <t>KARLSTAD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51096-2021</t>
        </is>
      </c>
      <c r="B399" s="1" t="n">
        <v>44459</v>
      </c>
      <c r="C399" s="1" t="n">
        <v>45640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51086-2021</t>
        </is>
      </c>
      <c r="B400" s="1" t="n">
        <v>44461</v>
      </c>
      <c r="C400" s="1" t="n">
        <v>45640</v>
      </c>
      <c r="D400" t="inlineStr">
        <is>
          <t>VÄRMLANDS LÄN</t>
        </is>
      </c>
      <c r="E400" t="inlineStr">
        <is>
          <t>KARLSTAD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52789-2021</t>
        </is>
      </c>
      <c r="B401" s="1" t="n">
        <v>44467</v>
      </c>
      <c r="C401" s="1" t="n">
        <v>45640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53486-2021</t>
        </is>
      </c>
      <c r="B402" s="1" t="n">
        <v>44468</v>
      </c>
      <c r="C402" s="1" t="n">
        <v>45640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55111-2021</t>
        </is>
      </c>
      <c r="B403" s="1" t="n">
        <v>44474</v>
      </c>
      <c r="C403" s="1" t="n">
        <v>45640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55110-2021</t>
        </is>
      </c>
      <c r="B404" s="1" t="n">
        <v>44474</v>
      </c>
      <c r="C404" s="1" t="n">
        <v>45640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55256-2021</t>
        </is>
      </c>
      <c r="B405" s="1" t="n">
        <v>44475</v>
      </c>
      <c r="C405" s="1" t="n">
        <v>45640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55277-2021</t>
        </is>
      </c>
      <c r="B406" s="1" t="n">
        <v>44475</v>
      </c>
      <c r="C406" s="1" t="n">
        <v>45640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55564-2021</t>
        </is>
      </c>
      <c r="B407" s="1" t="n">
        <v>44475</v>
      </c>
      <c r="C407" s="1" t="n">
        <v>45640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56928-2021</t>
        </is>
      </c>
      <c r="B408" s="1" t="n">
        <v>44482</v>
      </c>
      <c r="C408" s="1" t="n">
        <v>45640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57237-2021</t>
        </is>
      </c>
      <c r="B409" s="1" t="n">
        <v>44482</v>
      </c>
      <c r="C409" s="1" t="n">
        <v>45640</v>
      </c>
      <c r="D409" t="inlineStr">
        <is>
          <t>VÄRMLANDS LÄN</t>
        </is>
      </c>
      <c r="E409" t="inlineStr">
        <is>
          <t>KARLSTAD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57391-2021</t>
        </is>
      </c>
      <c r="B410" s="1" t="n">
        <v>44483</v>
      </c>
      <c r="C410" s="1" t="n">
        <v>45640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57469-2021</t>
        </is>
      </c>
      <c r="B411" s="1" t="n">
        <v>44483</v>
      </c>
      <c r="C411" s="1" t="n">
        <v>45640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57476-2021</t>
        </is>
      </c>
      <c r="B412" s="1" t="n">
        <v>44483</v>
      </c>
      <c r="C412" s="1" t="n">
        <v>45640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57453-2021</t>
        </is>
      </c>
      <c r="B413" s="1" t="n">
        <v>44483</v>
      </c>
      <c r="C413" s="1" t="n">
        <v>45640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57780-2021</t>
        </is>
      </c>
      <c r="B414" s="1" t="n">
        <v>44484</v>
      </c>
      <c r="C414" s="1" t="n">
        <v>45640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58501-2021</t>
        </is>
      </c>
      <c r="B415" s="1" t="n">
        <v>44488</v>
      </c>
      <c r="C415" s="1" t="n">
        <v>45640</v>
      </c>
      <c r="D415" t="inlineStr">
        <is>
          <t>VÄRMLANDS LÄN</t>
        </is>
      </c>
      <c r="E415" t="inlineStr">
        <is>
          <t>KARLSTAD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58507-2021</t>
        </is>
      </c>
      <c r="B416" s="1" t="n">
        <v>44488</v>
      </c>
      <c r="C416" s="1" t="n">
        <v>45640</v>
      </c>
      <c r="D416" t="inlineStr">
        <is>
          <t>VÄRMLANDS LÄN</t>
        </is>
      </c>
      <c r="E416" t="inlineStr">
        <is>
          <t>KARLSTAD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59627-2021</t>
        </is>
      </c>
      <c r="B417" s="1" t="n">
        <v>44491</v>
      </c>
      <c r="C417" s="1" t="n">
        <v>45640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59626-2021</t>
        </is>
      </c>
      <c r="B418" s="1" t="n">
        <v>44491</v>
      </c>
      <c r="C418" s="1" t="n">
        <v>45640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59639-2021</t>
        </is>
      </c>
      <c r="B419" s="1" t="n">
        <v>44493</v>
      </c>
      <c r="C419" s="1" t="n">
        <v>45640</v>
      </c>
      <c r="D419" t="inlineStr">
        <is>
          <t>VÄRMLANDS LÄN</t>
        </is>
      </c>
      <c r="E419" t="inlineStr">
        <is>
          <t>KARLSTAD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59641-2021</t>
        </is>
      </c>
      <c r="B420" s="1" t="n">
        <v>44493</v>
      </c>
      <c r="C420" s="1" t="n">
        <v>45640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60289-2021</t>
        </is>
      </c>
      <c r="B421" s="1" t="n">
        <v>44495</v>
      </c>
      <c r="C421" s="1" t="n">
        <v>45640</v>
      </c>
      <c r="D421" t="inlineStr">
        <is>
          <t>VÄRMLANDS LÄN</t>
        </is>
      </c>
      <c r="E421" t="inlineStr">
        <is>
          <t>KARLSTAD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61109-2021</t>
        </is>
      </c>
      <c r="B422" s="1" t="n">
        <v>44495</v>
      </c>
      <c r="C422" s="1" t="n">
        <v>45640</v>
      </c>
      <c r="D422" t="inlineStr">
        <is>
          <t>VÄRMLANDS LÄN</t>
        </is>
      </c>
      <c r="E422" t="inlineStr">
        <is>
          <t>KARLSTAD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61099-2021</t>
        </is>
      </c>
      <c r="B423" s="1" t="n">
        <v>44498</v>
      </c>
      <c r="C423" s="1" t="n">
        <v>45640</v>
      </c>
      <c r="D423" t="inlineStr">
        <is>
          <t>VÄRMLANDS LÄN</t>
        </is>
      </c>
      <c r="E423" t="inlineStr">
        <is>
          <t>KARLSTAD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61105-2021</t>
        </is>
      </c>
      <c r="B424" s="1" t="n">
        <v>44498</v>
      </c>
      <c r="C424" s="1" t="n">
        <v>45640</v>
      </c>
      <c r="D424" t="inlineStr">
        <is>
          <t>VÄRMLANDS LÄN</t>
        </is>
      </c>
      <c r="E424" t="inlineStr">
        <is>
          <t>KARLSTAD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61514-2021</t>
        </is>
      </c>
      <c r="B425" s="1" t="n">
        <v>44501</v>
      </c>
      <c r="C425" s="1" t="n">
        <v>45640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61836-2021</t>
        </is>
      </c>
      <c r="B426" s="1" t="n">
        <v>44501</v>
      </c>
      <c r="C426" s="1" t="n">
        <v>45640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62225-2021</t>
        </is>
      </c>
      <c r="B427" s="1" t="n">
        <v>44503</v>
      </c>
      <c r="C427" s="1" t="n">
        <v>45640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62546-2021</t>
        </is>
      </c>
      <c r="B428" s="1" t="n">
        <v>44503</v>
      </c>
      <c r="C428" s="1" t="n">
        <v>45640</v>
      </c>
      <c r="D428" t="inlineStr">
        <is>
          <t>VÄRMLANDS LÄN</t>
        </is>
      </c>
      <c r="E428" t="inlineStr">
        <is>
          <t>KARLSTAD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65015-2021</t>
        </is>
      </c>
      <c r="B429" s="1" t="n">
        <v>44515</v>
      </c>
      <c r="C429" s="1" t="n">
        <v>45640</v>
      </c>
      <c r="D429" t="inlineStr">
        <is>
          <t>VÄRMLANDS LÄN</t>
        </is>
      </c>
      <c r="E429" t="inlineStr">
        <is>
          <t>KARLSTAD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65630-2021</t>
        </is>
      </c>
      <c r="B430" s="1" t="n">
        <v>44516</v>
      </c>
      <c r="C430" s="1" t="n">
        <v>45640</v>
      </c>
      <c r="D430" t="inlineStr">
        <is>
          <t>VÄRMLANDS LÄN</t>
        </is>
      </c>
      <c r="E430" t="inlineStr">
        <is>
          <t>KARLSTAD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65625-2021</t>
        </is>
      </c>
      <c r="B431" s="1" t="n">
        <v>44516</v>
      </c>
      <c r="C431" s="1" t="n">
        <v>45640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66327-2021</t>
        </is>
      </c>
      <c r="B432" s="1" t="n">
        <v>44518</v>
      </c>
      <c r="C432" s="1" t="n">
        <v>45640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66322-2021</t>
        </is>
      </c>
      <c r="B433" s="1" t="n">
        <v>44518</v>
      </c>
      <c r="C433" s="1" t="n">
        <v>45640</v>
      </c>
      <c r="D433" t="inlineStr">
        <is>
          <t>VÄRMLANDS LÄN</t>
        </is>
      </c>
      <c r="E433" t="inlineStr">
        <is>
          <t>KARLSTAD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66323-2021</t>
        </is>
      </c>
      <c r="B434" s="1" t="n">
        <v>44518</v>
      </c>
      <c r="C434" s="1" t="n">
        <v>45640</v>
      </c>
      <c r="D434" t="inlineStr">
        <is>
          <t>VÄRMLANDS LÄN</t>
        </is>
      </c>
      <c r="E434" t="inlineStr">
        <is>
          <t>KARLSTAD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66329-2021</t>
        </is>
      </c>
      <c r="B435" s="1" t="n">
        <v>44518</v>
      </c>
      <c r="C435" s="1" t="n">
        <v>45640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66635-2021</t>
        </is>
      </c>
      <c r="B436" s="1" t="n">
        <v>44519</v>
      </c>
      <c r="C436" s="1" t="n">
        <v>45640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66642-2021</t>
        </is>
      </c>
      <c r="B437" s="1" t="n">
        <v>44519</v>
      </c>
      <c r="C437" s="1" t="n">
        <v>45640</v>
      </c>
      <c r="D437" t="inlineStr">
        <is>
          <t>VÄRMLANDS LÄN</t>
        </is>
      </c>
      <c r="E437" t="inlineStr">
        <is>
          <t>KARLSTAD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68011-2021</t>
        </is>
      </c>
      <c r="B438" s="1" t="n">
        <v>44525</v>
      </c>
      <c r="C438" s="1" t="n">
        <v>45640</v>
      </c>
      <c r="D438" t="inlineStr">
        <is>
          <t>VÄRMLANDS LÄN</t>
        </is>
      </c>
      <c r="E438" t="inlineStr">
        <is>
          <t>KARLSTAD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69008-2021</t>
        </is>
      </c>
      <c r="B439" s="1" t="n">
        <v>44530</v>
      </c>
      <c r="C439" s="1" t="n">
        <v>45640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68839-2021</t>
        </is>
      </c>
      <c r="B440" s="1" t="n">
        <v>44530</v>
      </c>
      <c r="C440" s="1" t="n">
        <v>45640</v>
      </c>
      <c r="D440" t="inlineStr">
        <is>
          <t>VÄRMLANDS LÄN</t>
        </is>
      </c>
      <c r="E440" t="inlineStr">
        <is>
          <t>KARLSTAD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69428-2021</t>
        </is>
      </c>
      <c r="B441" s="1" t="n">
        <v>44531</v>
      </c>
      <c r="C441" s="1" t="n">
        <v>45640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70059-2021</t>
        </is>
      </c>
      <c r="B442" s="1" t="n">
        <v>44533</v>
      </c>
      <c r="C442" s="1" t="n">
        <v>45640</v>
      </c>
      <c r="D442" t="inlineStr">
        <is>
          <t>VÄRMLANDS LÄN</t>
        </is>
      </c>
      <c r="E442" t="inlineStr">
        <is>
          <t>KARLSTAD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70127-2021</t>
        </is>
      </c>
      <c r="B443" s="1" t="n">
        <v>44533</v>
      </c>
      <c r="C443" s="1" t="n">
        <v>45640</v>
      </c>
      <c r="D443" t="inlineStr">
        <is>
          <t>VÄRMLANDS LÄN</t>
        </is>
      </c>
      <c r="E443" t="inlineStr">
        <is>
          <t>KARLSTAD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70123-2021</t>
        </is>
      </c>
      <c r="B444" s="1" t="n">
        <v>44533</v>
      </c>
      <c r="C444" s="1" t="n">
        <v>45640</v>
      </c>
      <c r="D444" t="inlineStr">
        <is>
          <t>VÄRMLANDS LÄN</t>
        </is>
      </c>
      <c r="E444" t="inlineStr">
        <is>
          <t>KARLSTAD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70144-2021</t>
        </is>
      </c>
      <c r="B445" s="1" t="n">
        <v>44533</v>
      </c>
      <c r="C445" s="1" t="n">
        <v>45640</v>
      </c>
      <c r="D445" t="inlineStr">
        <is>
          <t>VÄRMLANDS LÄN</t>
        </is>
      </c>
      <c r="E445" t="inlineStr">
        <is>
          <t>KARLSTAD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70254-2021</t>
        </is>
      </c>
      <c r="B446" s="1" t="n">
        <v>44536</v>
      </c>
      <c r="C446" s="1" t="n">
        <v>45640</v>
      </c>
      <c r="D446" t="inlineStr">
        <is>
          <t>VÄRMLANDS LÄN</t>
        </is>
      </c>
      <c r="E446" t="inlineStr">
        <is>
          <t>KARLSTAD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70921-2021</t>
        </is>
      </c>
      <c r="B447" s="1" t="n">
        <v>44537</v>
      </c>
      <c r="C447" s="1" t="n">
        <v>45640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72013-2021</t>
        </is>
      </c>
      <c r="B448" s="1" t="n">
        <v>44544</v>
      </c>
      <c r="C448" s="1" t="n">
        <v>45640</v>
      </c>
      <c r="D448" t="inlineStr">
        <is>
          <t>VÄRMLANDS LÄN</t>
        </is>
      </c>
      <c r="E448" t="inlineStr">
        <is>
          <t>KARLSTAD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72072-2021</t>
        </is>
      </c>
      <c r="B449" s="1" t="n">
        <v>44544</v>
      </c>
      <c r="C449" s="1" t="n">
        <v>45640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72339-2021</t>
        </is>
      </c>
      <c r="B450" s="1" t="n">
        <v>44544</v>
      </c>
      <c r="C450" s="1" t="n">
        <v>45640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72346-2021</t>
        </is>
      </c>
      <c r="B451" s="1" t="n">
        <v>44544</v>
      </c>
      <c r="C451" s="1" t="n">
        <v>45640</v>
      </c>
      <c r="D451" t="inlineStr">
        <is>
          <t>VÄRMLANDS LÄN</t>
        </is>
      </c>
      <c r="E451" t="inlineStr">
        <is>
          <t>KARLSTAD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72772-2021</t>
        </is>
      </c>
      <c r="B452" s="1" t="n">
        <v>44547</v>
      </c>
      <c r="C452" s="1" t="n">
        <v>45640</v>
      </c>
      <c r="D452" t="inlineStr">
        <is>
          <t>VÄRMLANDS LÄN</t>
        </is>
      </c>
      <c r="E452" t="inlineStr">
        <is>
          <t>KARLSTAD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73004-2021</t>
        </is>
      </c>
      <c r="B453" s="1" t="n">
        <v>44547</v>
      </c>
      <c r="C453" s="1" t="n">
        <v>45640</v>
      </c>
      <c r="D453" t="inlineStr">
        <is>
          <t>VÄRMLANDS LÄN</t>
        </is>
      </c>
      <c r="E453" t="inlineStr">
        <is>
          <t>KARLSTAD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73318-2021</t>
        </is>
      </c>
      <c r="B454" s="1" t="n">
        <v>44550</v>
      </c>
      <c r="C454" s="1" t="n">
        <v>45640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73315-2021</t>
        </is>
      </c>
      <c r="B455" s="1" t="n">
        <v>44550</v>
      </c>
      <c r="C455" s="1" t="n">
        <v>45640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73753-2021</t>
        </is>
      </c>
      <c r="B456" s="1" t="n">
        <v>44552</v>
      </c>
      <c r="C456" s="1" t="n">
        <v>45640</v>
      </c>
      <c r="D456" t="inlineStr">
        <is>
          <t>VÄRMLANDS LÄN</t>
        </is>
      </c>
      <c r="E456" t="inlineStr">
        <is>
          <t>KARLSTAD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74512-2021</t>
        </is>
      </c>
      <c r="B457" s="1" t="n">
        <v>44561</v>
      </c>
      <c r="C457" s="1" t="n">
        <v>45640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546-2022</t>
        </is>
      </c>
      <c r="B458" s="1" t="n">
        <v>44566</v>
      </c>
      <c r="C458" s="1" t="n">
        <v>45640</v>
      </c>
      <c r="D458" t="inlineStr">
        <is>
          <t>VÄRMLANDS LÄN</t>
        </is>
      </c>
      <c r="E458" t="inlineStr">
        <is>
          <t>KARLSTAD</t>
        </is>
      </c>
      <c r="F458" t="inlineStr">
        <is>
          <t>Bergvik skog väst AB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460-2022</t>
        </is>
      </c>
      <c r="B459" s="1" t="n">
        <v>44566</v>
      </c>
      <c r="C459" s="1" t="n">
        <v>45640</v>
      </c>
      <c r="D459" t="inlineStr">
        <is>
          <t>VÄRMLANDS LÄN</t>
        </is>
      </c>
      <c r="E459" t="inlineStr">
        <is>
          <t>KARLSTAD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474-2022</t>
        </is>
      </c>
      <c r="B460" s="1" t="n">
        <v>44566</v>
      </c>
      <c r="C460" s="1" t="n">
        <v>45640</v>
      </c>
      <c r="D460" t="inlineStr">
        <is>
          <t>VÄRMLANDS LÄN</t>
        </is>
      </c>
      <c r="E460" t="inlineStr">
        <is>
          <t>KARLSTAD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970-2022</t>
        </is>
      </c>
      <c r="B461" s="1" t="n">
        <v>44571</v>
      </c>
      <c r="C461" s="1" t="n">
        <v>45640</v>
      </c>
      <c r="D461" t="inlineStr">
        <is>
          <t>VÄRMLANDS LÄN</t>
        </is>
      </c>
      <c r="E461" t="inlineStr">
        <is>
          <t>KARLSTAD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1496-2022</t>
        </is>
      </c>
      <c r="B462" s="1" t="n">
        <v>44573</v>
      </c>
      <c r="C462" s="1" t="n">
        <v>45640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1811-2022</t>
        </is>
      </c>
      <c r="B463" s="1" t="n">
        <v>44574</v>
      </c>
      <c r="C463" s="1" t="n">
        <v>45640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2135-2022</t>
        </is>
      </c>
      <c r="B464" s="1" t="n">
        <v>44578</v>
      </c>
      <c r="C464" s="1" t="n">
        <v>45640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2812-2022</t>
        </is>
      </c>
      <c r="B465" s="1" t="n">
        <v>44581</v>
      </c>
      <c r="C465" s="1" t="n">
        <v>45640</v>
      </c>
      <c r="D465" t="inlineStr">
        <is>
          <t>VÄRMLANDS LÄN</t>
        </is>
      </c>
      <c r="E465" t="inlineStr">
        <is>
          <t>KARLSTAD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3440-2022</t>
        </is>
      </c>
      <c r="B466" s="1" t="n">
        <v>44585</v>
      </c>
      <c r="C466" s="1" t="n">
        <v>45640</v>
      </c>
      <c r="D466" t="inlineStr">
        <is>
          <t>VÄRMLANDS LÄN</t>
        </is>
      </c>
      <c r="E466" t="inlineStr">
        <is>
          <t>KARLSTAD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4230-2022</t>
        </is>
      </c>
      <c r="B467" s="1" t="n">
        <v>44588</v>
      </c>
      <c r="C467" s="1" t="n">
        <v>45640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4373-2022</t>
        </is>
      </c>
      <c r="B468" s="1" t="n">
        <v>44589</v>
      </c>
      <c r="C468" s="1" t="n">
        <v>45640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5038-2022</t>
        </is>
      </c>
      <c r="B469" s="1" t="n">
        <v>44593</v>
      </c>
      <c r="C469" s="1" t="n">
        <v>45640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5057-2022</t>
        </is>
      </c>
      <c r="B470" s="1" t="n">
        <v>44593</v>
      </c>
      <c r="C470" s="1" t="n">
        <v>45640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5017-2022</t>
        </is>
      </c>
      <c r="B471" s="1" t="n">
        <v>44593</v>
      </c>
      <c r="C471" s="1" t="n">
        <v>45640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5056-2022</t>
        </is>
      </c>
      <c r="B472" s="1" t="n">
        <v>44593</v>
      </c>
      <c r="C472" s="1" t="n">
        <v>45640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5448-2022</t>
        </is>
      </c>
      <c r="B473" s="1" t="n">
        <v>44594</v>
      </c>
      <c r="C473" s="1" t="n">
        <v>45640</v>
      </c>
      <c r="D473" t="inlineStr">
        <is>
          <t>VÄRMLANDS LÄN</t>
        </is>
      </c>
      <c r="E473" t="inlineStr">
        <is>
          <t>KARLSTAD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5461-2022</t>
        </is>
      </c>
      <c r="B474" s="1" t="n">
        <v>44594</v>
      </c>
      <c r="C474" s="1" t="n">
        <v>45640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5458-2022</t>
        </is>
      </c>
      <c r="B475" s="1" t="n">
        <v>44594</v>
      </c>
      <c r="C475" s="1" t="n">
        <v>45640</v>
      </c>
      <c r="D475" t="inlineStr">
        <is>
          <t>VÄRMLANDS LÄN</t>
        </is>
      </c>
      <c r="E475" t="inlineStr">
        <is>
          <t>KARLSTAD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5535-2022</t>
        </is>
      </c>
      <c r="B476" s="1" t="n">
        <v>44595</v>
      </c>
      <c r="C476" s="1" t="n">
        <v>45640</v>
      </c>
      <c r="D476" t="inlineStr">
        <is>
          <t>VÄRMLANDS LÄN</t>
        </is>
      </c>
      <c r="E476" t="inlineStr">
        <is>
          <t>KARLSTAD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6061-2022</t>
        </is>
      </c>
      <c r="B477" s="1" t="n">
        <v>44599</v>
      </c>
      <c r="C477" s="1" t="n">
        <v>45640</v>
      </c>
      <c r="D477" t="inlineStr">
        <is>
          <t>VÄRMLANDS LÄN</t>
        </is>
      </c>
      <c r="E477" t="inlineStr">
        <is>
          <t>KARLSTAD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6163-2022</t>
        </is>
      </c>
      <c r="B478" s="1" t="n">
        <v>44599</v>
      </c>
      <c r="C478" s="1" t="n">
        <v>45640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6174-2022</t>
        </is>
      </c>
      <c r="B479" s="1" t="n">
        <v>44599</v>
      </c>
      <c r="C479" s="1" t="n">
        <v>45640</v>
      </c>
      <c r="D479" t="inlineStr">
        <is>
          <t>VÄRMLANDS LÄN</t>
        </is>
      </c>
      <c r="E479" t="inlineStr">
        <is>
          <t>KARLSTAD</t>
        </is>
      </c>
      <c r="G479" t="n">
        <v>22.8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6323-2022</t>
        </is>
      </c>
      <c r="B480" s="1" t="n">
        <v>44600</v>
      </c>
      <c r="C480" s="1" t="n">
        <v>45640</v>
      </c>
      <c r="D480" t="inlineStr">
        <is>
          <t>VÄRMLANDS LÄN</t>
        </is>
      </c>
      <c r="E480" t="inlineStr">
        <is>
          <t>KARLSTAD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7491-2022</t>
        </is>
      </c>
      <c r="B481" s="1" t="n">
        <v>44607</v>
      </c>
      <c r="C481" s="1" t="n">
        <v>45640</v>
      </c>
      <c r="D481" t="inlineStr">
        <is>
          <t>VÄRMLANDS LÄN</t>
        </is>
      </c>
      <c r="E481" t="inlineStr">
        <is>
          <t>KARLSTAD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7893-2022</t>
        </is>
      </c>
      <c r="B482" s="1" t="n">
        <v>44608</v>
      </c>
      <c r="C482" s="1" t="n">
        <v>45640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8483-2022</t>
        </is>
      </c>
      <c r="B483" s="1" t="n">
        <v>44613</v>
      </c>
      <c r="C483" s="1" t="n">
        <v>45640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9896-2022</t>
        </is>
      </c>
      <c r="B484" s="1" t="n">
        <v>44620</v>
      </c>
      <c r="C484" s="1" t="n">
        <v>45640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10109-2022</t>
        </is>
      </c>
      <c r="B485" s="1" t="n">
        <v>44621</v>
      </c>
      <c r="C485" s="1" t="n">
        <v>45640</v>
      </c>
      <c r="D485" t="inlineStr">
        <is>
          <t>VÄRMLANDS LÄN</t>
        </is>
      </c>
      <c r="E485" t="inlineStr">
        <is>
          <t>KARLSTAD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10155-2022</t>
        </is>
      </c>
      <c r="B486" s="1" t="n">
        <v>44622</v>
      </c>
      <c r="C486" s="1" t="n">
        <v>45640</v>
      </c>
      <c r="D486" t="inlineStr">
        <is>
          <t>VÄRMLANDS LÄN</t>
        </is>
      </c>
      <c r="E486" t="inlineStr">
        <is>
          <t>KARLSTAD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10162-2022</t>
        </is>
      </c>
      <c r="B487" s="1" t="n">
        <v>44622</v>
      </c>
      <c r="C487" s="1" t="n">
        <v>45640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10376-2022</t>
        </is>
      </c>
      <c r="B488" s="1" t="n">
        <v>44623</v>
      </c>
      <c r="C488" s="1" t="n">
        <v>45640</v>
      </c>
      <c r="D488" t="inlineStr">
        <is>
          <t>VÄRMLANDS LÄN</t>
        </is>
      </c>
      <c r="E488" t="inlineStr">
        <is>
          <t>KARLSTAD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10485-2022</t>
        </is>
      </c>
      <c r="B489" s="1" t="n">
        <v>44623</v>
      </c>
      <c r="C489" s="1" t="n">
        <v>45640</v>
      </c>
      <c r="D489" t="inlineStr">
        <is>
          <t>VÄRMLANDS LÄN</t>
        </is>
      </c>
      <c r="E489" t="inlineStr">
        <is>
          <t>KARLSTAD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10802-2022</t>
        </is>
      </c>
      <c r="B490" s="1" t="n">
        <v>44627</v>
      </c>
      <c r="C490" s="1" t="n">
        <v>45640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10796-2022</t>
        </is>
      </c>
      <c r="B491" s="1" t="n">
        <v>44627</v>
      </c>
      <c r="C491" s="1" t="n">
        <v>45640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11671-2022</t>
        </is>
      </c>
      <c r="B492" s="1" t="n">
        <v>44633</v>
      </c>
      <c r="C492" s="1" t="n">
        <v>45640</v>
      </c>
      <c r="D492" t="inlineStr">
        <is>
          <t>VÄRMLANDS LÄN</t>
        </is>
      </c>
      <c r="E492" t="inlineStr">
        <is>
          <t>KARLSTAD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11697-2022</t>
        </is>
      </c>
      <c r="B493" s="1" t="n">
        <v>44634</v>
      </c>
      <c r="C493" s="1" t="n">
        <v>45640</v>
      </c>
      <c r="D493" t="inlineStr">
        <is>
          <t>VÄRMLANDS LÄN</t>
        </is>
      </c>
      <c r="E493" t="inlineStr">
        <is>
          <t>KARLSTAD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11700-2022</t>
        </is>
      </c>
      <c r="B494" s="1" t="n">
        <v>44634</v>
      </c>
      <c r="C494" s="1" t="n">
        <v>45640</v>
      </c>
      <c r="D494" t="inlineStr">
        <is>
          <t>VÄRMLANDS LÄN</t>
        </is>
      </c>
      <c r="E494" t="inlineStr">
        <is>
          <t>KARLSTAD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11829-2022</t>
        </is>
      </c>
      <c r="B495" s="1" t="n">
        <v>44634</v>
      </c>
      <c r="C495" s="1" t="n">
        <v>45640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11977-2022</t>
        </is>
      </c>
      <c r="B496" s="1" t="n">
        <v>44635</v>
      </c>
      <c r="C496" s="1" t="n">
        <v>45640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8.9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13806-2022</t>
        </is>
      </c>
      <c r="B497" s="1" t="n">
        <v>44649</v>
      </c>
      <c r="C497" s="1" t="n">
        <v>45640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13830-2022</t>
        </is>
      </c>
      <c r="B498" s="1" t="n">
        <v>44649</v>
      </c>
      <c r="C498" s="1" t="n">
        <v>45640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13745-2022</t>
        </is>
      </c>
      <c r="B499" s="1" t="n">
        <v>44649</v>
      </c>
      <c r="C499" s="1" t="n">
        <v>45640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20.8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13864-2022</t>
        </is>
      </c>
      <c r="B500" s="1" t="n">
        <v>44649</v>
      </c>
      <c r="C500" s="1" t="n">
        <v>45640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13882-2022</t>
        </is>
      </c>
      <c r="B501" s="1" t="n">
        <v>44650</v>
      </c>
      <c r="C501" s="1" t="n">
        <v>45640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13999-2022</t>
        </is>
      </c>
      <c r="B502" s="1" t="n">
        <v>44650</v>
      </c>
      <c r="C502" s="1" t="n">
        <v>45640</v>
      </c>
      <c r="D502" t="inlineStr">
        <is>
          <t>VÄRMLANDS LÄN</t>
        </is>
      </c>
      <c r="E502" t="inlineStr">
        <is>
          <t>KARLSTAD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14401-2022</t>
        </is>
      </c>
      <c r="B503" s="1" t="n">
        <v>44652</v>
      </c>
      <c r="C503" s="1" t="n">
        <v>45640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14467-2022</t>
        </is>
      </c>
      <c r="B504" s="1" t="n">
        <v>44654</v>
      </c>
      <c r="C504" s="1" t="n">
        <v>45640</v>
      </c>
      <c r="D504" t="inlineStr">
        <is>
          <t>VÄRMLANDS LÄN</t>
        </is>
      </c>
      <c r="E504" t="inlineStr">
        <is>
          <t>KARLSTAD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14854-2022</t>
        </is>
      </c>
      <c r="B505" s="1" t="n">
        <v>44656</v>
      </c>
      <c r="C505" s="1" t="n">
        <v>45640</v>
      </c>
      <c r="D505" t="inlineStr">
        <is>
          <t>VÄRMLANDS LÄN</t>
        </is>
      </c>
      <c r="E505" t="inlineStr">
        <is>
          <t>KARLSTAD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14916-2022</t>
        </is>
      </c>
      <c r="B506" s="1" t="n">
        <v>44657</v>
      </c>
      <c r="C506" s="1" t="n">
        <v>45640</v>
      </c>
      <c r="D506" t="inlineStr">
        <is>
          <t>VÄRMLANDS LÄN</t>
        </is>
      </c>
      <c r="E506" t="inlineStr">
        <is>
          <t>KARLSTAD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15558-2022</t>
        </is>
      </c>
      <c r="B507" s="1" t="n">
        <v>44662</v>
      </c>
      <c r="C507" s="1" t="n">
        <v>45640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15836-2022</t>
        </is>
      </c>
      <c r="B508" s="1" t="n">
        <v>44664</v>
      </c>
      <c r="C508" s="1" t="n">
        <v>45640</v>
      </c>
      <c r="D508" t="inlineStr">
        <is>
          <t>VÄRMLANDS LÄN</t>
        </is>
      </c>
      <c r="E508" t="inlineStr">
        <is>
          <t>KARLSTAD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15831-2022</t>
        </is>
      </c>
      <c r="B509" s="1" t="n">
        <v>44664</v>
      </c>
      <c r="C509" s="1" t="n">
        <v>45640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16154-2022</t>
        </is>
      </c>
      <c r="B510" s="1" t="n">
        <v>44666</v>
      </c>
      <c r="C510" s="1" t="n">
        <v>45640</v>
      </c>
      <c r="D510" t="inlineStr">
        <is>
          <t>VÄRMLANDS LÄN</t>
        </is>
      </c>
      <c r="E510" t="inlineStr">
        <is>
          <t>KARLSTAD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16217-2022</t>
        </is>
      </c>
      <c r="B511" s="1" t="n">
        <v>44669</v>
      </c>
      <c r="C511" s="1" t="n">
        <v>45640</v>
      </c>
      <c r="D511" t="inlineStr">
        <is>
          <t>VÄRMLANDS LÄN</t>
        </is>
      </c>
      <c r="E511" t="inlineStr">
        <is>
          <t>KARLSTAD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16457-2022</t>
        </is>
      </c>
      <c r="B512" s="1" t="n">
        <v>44671</v>
      </c>
      <c r="C512" s="1" t="n">
        <v>45640</v>
      </c>
      <c r="D512" t="inlineStr">
        <is>
          <t>VÄRMLANDS LÄN</t>
        </is>
      </c>
      <c r="E512" t="inlineStr">
        <is>
          <t>KARLSTAD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16491-2022</t>
        </is>
      </c>
      <c r="B513" s="1" t="n">
        <v>44671</v>
      </c>
      <c r="C513" s="1" t="n">
        <v>45640</v>
      </c>
      <c r="D513" t="inlineStr">
        <is>
          <t>VÄRMLANDS LÄN</t>
        </is>
      </c>
      <c r="E513" t="inlineStr">
        <is>
          <t>KARLSTAD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16560-2022</t>
        </is>
      </c>
      <c r="B514" s="1" t="n">
        <v>44672</v>
      </c>
      <c r="C514" s="1" t="n">
        <v>45640</v>
      </c>
      <c r="D514" t="inlineStr">
        <is>
          <t>VÄRMLANDS LÄN</t>
        </is>
      </c>
      <c r="E514" t="inlineStr">
        <is>
          <t>KARLSTAD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16628-2022</t>
        </is>
      </c>
      <c r="B515" s="1" t="n">
        <v>44672</v>
      </c>
      <c r="C515" s="1" t="n">
        <v>45640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16563-2022</t>
        </is>
      </c>
      <c r="B516" s="1" t="n">
        <v>44672</v>
      </c>
      <c r="C516" s="1" t="n">
        <v>45640</v>
      </c>
      <c r="D516" t="inlineStr">
        <is>
          <t>VÄRMLANDS LÄN</t>
        </is>
      </c>
      <c r="E516" t="inlineStr">
        <is>
          <t>KARLSTAD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17318-2022</t>
        </is>
      </c>
      <c r="B517" s="1" t="n">
        <v>44678</v>
      </c>
      <c r="C517" s="1" t="n">
        <v>45640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17516-2022</t>
        </is>
      </c>
      <c r="B518" s="1" t="n">
        <v>44679</v>
      </c>
      <c r="C518" s="1" t="n">
        <v>45640</v>
      </c>
      <c r="D518" t="inlineStr">
        <is>
          <t>VÄRMLANDS LÄN</t>
        </is>
      </c>
      <c r="E518" t="inlineStr">
        <is>
          <t>KARLSTAD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17916-2022</t>
        </is>
      </c>
      <c r="B519" s="1" t="n">
        <v>44683</v>
      </c>
      <c r="C519" s="1" t="n">
        <v>45640</v>
      </c>
      <c r="D519" t="inlineStr">
        <is>
          <t>VÄRMLANDS LÄN</t>
        </is>
      </c>
      <c r="E519" t="inlineStr">
        <is>
          <t>KARLSTAD</t>
        </is>
      </c>
      <c r="F519" t="inlineStr">
        <is>
          <t>Kyrkan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18332-2022</t>
        </is>
      </c>
      <c r="B520" s="1" t="n">
        <v>44685</v>
      </c>
      <c r="C520" s="1" t="n">
        <v>45640</v>
      </c>
      <c r="D520" t="inlineStr">
        <is>
          <t>VÄRMLANDS LÄN</t>
        </is>
      </c>
      <c r="E520" t="inlineStr">
        <is>
          <t>KARLSTAD</t>
        </is>
      </c>
      <c r="F520" t="inlineStr">
        <is>
          <t>Naturvårdsverket</t>
        </is>
      </c>
      <c r="G520" t="n">
        <v>22.1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18253-2022</t>
        </is>
      </c>
      <c r="B521" s="1" t="n">
        <v>44685</v>
      </c>
      <c r="C521" s="1" t="n">
        <v>45640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18470-2022</t>
        </is>
      </c>
      <c r="B522" s="1" t="n">
        <v>44686</v>
      </c>
      <c r="C522" s="1" t="n">
        <v>45640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18471-2022</t>
        </is>
      </c>
      <c r="B523" s="1" t="n">
        <v>44686</v>
      </c>
      <c r="C523" s="1" t="n">
        <v>45640</v>
      </c>
      <c r="D523" t="inlineStr">
        <is>
          <t>VÄRMLANDS LÄN</t>
        </is>
      </c>
      <c r="E523" t="inlineStr">
        <is>
          <t>KARLSTAD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18697-2022</t>
        </is>
      </c>
      <c r="B524" s="1" t="n">
        <v>44687</v>
      </c>
      <c r="C524" s="1" t="n">
        <v>45640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20237-2022</t>
        </is>
      </c>
      <c r="B525" s="1" t="n">
        <v>44698</v>
      </c>
      <c r="C525" s="1" t="n">
        <v>45640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20234-2022</t>
        </is>
      </c>
      <c r="B526" s="1" t="n">
        <v>44698</v>
      </c>
      <c r="C526" s="1" t="n">
        <v>45640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20241-2022</t>
        </is>
      </c>
      <c r="B527" s="1" t="n">
        <v>44698</v>
      </c>
      <c r="C527" s="1" t="n">
        <v>45640</v>
      </c>
      <c r="D527" t="inlineStr">
        <is>
          <t>VÄRMLANDS LÄN</t>
        </is>
      </c>
      <c r="E527" t="inlineStr">
        <is>
          <t>KARLSTAD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20777-2022</t>
        </is>
      </c>
      <c r="B528" s="1" t="n">
        <v>44701</v>
      </c>
      <c r="C528" s="1" t="n">
        <v>45640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21498-2022</t>
        </is>
      </c>
      <c r="B529" s="1" t="n">
        <v>44706</v>
      </c>
      <c r="C529" s="1" t="n">
        <v>45640</v>
      </c>
      <c r="D529" t="inlineStr">
        <is>
          <t>VÄRMLANDS LÄN</t>
        </is>
      </c>
      <c r="E529" t="inlineStr">
        <is>
          <t>KARLSTAD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21609-2022</t>
        </is>
      </c>
      <c r="B530" s="1" t="n">
        <v>44706</v>
      </c>
      <c r="C530" s="1" t="n">
        <v>45640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25799-2022</t>
        </is>
      </c>
      <c r="B531" s="1" t="n">
        <v>44708</v>
      </c>
      <c r="C531" s="1" t="n">
        <v>45640</v>
      </c>
      <c r="D531" t="inlineStr">
        <is>
          <t>VÄRMLANDS LÄN</t>
        </is>
      </c>
      <c r="E531" t="inlineStr">
        <is>
          <t>KARLSTAD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25791-2022</t>
        </is>
      </c>
      <c r="B532" s="1" t="n">
        <v>44708</v>
      </c>
      <c r="C532" s="1" t="n">
        <v>45640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22006-2022</t>
        </is>
      </c>
      <c r="B533" s="1" t="n">
        <v>44711</v>
      </c>
      <c r="C533" s="1" t="n">
        <v>45640</v>
      </c>
      <c r="D533" t="inlineStr">
        <is>
          <t>VÄRMLANDS LÄN</t>
        </is>
      </c>
      <c r="E533" t="inlineStr">
        <is>
          <t>KARLSTAD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22205-2022</t>
        </is>
      </c>
      <c r="B534" s="1" t="n">
        <v>44712</v>
      </c>
      <c r="C534" s="1" t="n">
        <v>45640</v>
      </c>
      <c r="D534" t="inlineStr">
        <is>
          <t>VÄRMLANDS LÄN</t>
        </is>
      </c>
      <c r="E534" t="inlineStr">
        <is>
          <t>KARLSTAD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22798-2022</t>
        </is>
      </c>
      <c r="B535" s="1" t="n">
        <v>44715</v>
      </c>
      <c r="C535" s="1" t="n">
        <v>45640</v>
      </c>
      <c r="D535" t="inlineStr">
        <is>
          <t>VÄRMLANDS LÄN</t>
        </is>
      </c>
      <c r="E535" t="inlineStr">
        <is>
          <t>KARLSTAD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24648-2022</t>
        </is>
      </c>
      <c r="B536" s="1" t="n">
        <v>44727</v>
      </c>
      <c r="C536" s="1" t="n">
        <v>45640</v>
      </c>
      <c r="D536" t="inlineStr">
        <is>
          <t>VÄRMLANDS LÄN</t>
        </is>
      </c>
      <c r="E536" t="inlineStr">
        <is>
          <t>KARLSTAD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25829-2022</t>
        </is>
      </c>
      <c r="B537" s="1" t="n">
        <v>44733</v>
      </c>
      <c r="C537" s="1" t="n">
        <v>45640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45640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26443-2022</t>
        </is>
      </c>
      <c r="B539" s="1" t="n">
        <v>44738</v>
      </c>
      <c r="C539" s="1" t="n">
        <v>45640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26922-2022</t>
        </is>
      </c>
      <c r="B540" s="1" t="n">
        <v>44740</v>
      </c>
      <c r="C540" s="1" t="n">
        <v>45640</v>
      </c>
      <c r="D540" t="inlineStr">
        <is>
          <t>VÄRMLANDS LÄN</t>
        </is>
      </c>
      <c r="E540" t="inlineStr">
        <is>
          <t>KARLSTAD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28117-2022</t>
        </is>
      </c>
      <c r="B541" s="1" t="n">
        <v>44746</v>
      </c>
      <c r="C541" s="1" t="n">
        <v>45640</v>
      </c>
      <c r="D541" t="inlineStr">
        <is>
          <t>VÄRMLANDS LÄN</t>
        </is>
      </c>
      <c r="E541" t="inlineStr">
        <is>
          <t>KARLSTAD</t>
        </is>
      </c>
      <c r="F541" t="inlineStr">
        <is>
          <t>Naturvårdsverket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28154-2022</t>
        </is>
      </c>
      <c r="B542" s="1" t="n">
        <v>44746</v>
      </c>
      <c r="C542" s="1" t="n">
        <v>45640</v>
      </c>
      <c r="D542" t="inlineStr">
        <is>
          <t>VÄRMLANDS LÄN</t>
        </is>
      </c>
      <c r="E542" t="inlineStr">
        <is>
          <t>KARLSTAD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28829-2022</t>
        </is>
      </c>
      <c r="B543" s="1" t="n">
        <v>44749</v>
      </c>
      <c r="C543" s="1" t="n">
        <v>45640</v>
      </c>
      <c r="D543" t="inlineStr">
        <is>
          <t>VÄRMLANDS LÄN</t>
        </is>
      </c>
      <c r="E543" t="inlineStr">
        <is>
          <t>KARLSTAD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29655-2022</t>
        </is>
      </c>
      <c r="B544" s="1" t="n">
        <v>44754</v>
      </c>
      <c r="C544" s="1" t="n">
        <v>45640</v>
      </c>
      <c r="D544" t="inlineStr">
        <is>
          <t>VÄRMLANDS LÄN</t>
        </is>
      </c>
      <c r="E544" t="inlineStr">
        <is>
          <t>KARLSTAD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29654-2022</t>
        </is>
      </c>
      <c r="B545" s="1" t="n">
        <v>44754</v>
      </c>
      <c r="C545" s="1" t="n">
        <v>45640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30153-2022</t>
        </is>
      </c>
      <c r="B546" s="1" t="n">
        <v>44757</v>
      </c>
      <c r="C546" s="1" t="n">
        <v>45640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30692-2022</t>
        </is>
      </c>
      <c r="B547" s="1" t="n">
        <v>44763</v>
      </c>
      <c r="C547" s="1" t="n">
        <v>45640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32282-2022</t>
        </is>
      </c>
      <c r="B548" s="1" t="n">
        <v>44781</v>
      </c>
      <c r="C548" s="1" t="n">
        <v>45640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32286-2022</t>
        </is>
      </c>
      <c r="B549" s="1" t="n">
        <v>44781</v>
      </c>
      <c r="C549" s="1" t="n">
        <v>45640</v>
      </c>
      <c r="D549" t="inlineStr">
        <is>
          <t>VÄRMLANDS LÄN</t>
        </is>
      </c>
      <c r="E549" t="inlineStr">
        <is>
          <t>KARLSTAD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32876-2022</t>
        </is>
      </c>
      <c r="B550" s="1" t="n">
        <v>44784</v>
      </c>
      <c r="C550" s="1" t="n">
        <v>45640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32902-2022</t>
        </is>
      </c>
      <c r="B551" s="1" t="n">
        <v>44784</v>
      </c>
      <c r="C551" s="1" t="n">
        <v>45640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33006-2022</t>
        </is>
      </c>
      <c r="B552" s="1" t="n">
        <v>44785</v>
      </c>
      <c r="C552" s="1" t="n">
        <v>45640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33334-2022</t>
        </is>
      </c>
      <c r="B553" s="1" t="n">
        <v>44788</v>
      </c>
      <c r="C553" s="1" t="n">
        <v>45640</v>
      </c>
      <c r="D553" t="inlineStr">
        <is>
          <t>VÄRMLANDS LÄN</t>
        </is>
      </c>
      <c r="E553" t="inlineStr">
        <is>
          <t>KARLSTAD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34458-2022</t>
        </is>
      </c>
      <c r="B554" s="1" t="n">
        <v>44792</v>
      </c>
      <c r="C554" s="1" t="n">
        <v>45640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35567-2022</t>
        </is>
      </c>
      <c r="B555" s="1" t="n">
        <v>44799</v>
      </c>
      <c r="C555" s="1" t="n">
        <v>45640</v>
      </c>
      <c r="D555" t="inlineStr">
        <is>
          <t>VÄRMLANDS LÄN</t>
        </is>
      </c>
      <c r="E555" t="inlineStr">
        <is>
          <t>KARLSTAD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36422-2022</t>
        </is>
      </c>
      <c r="B556" s="1" t="n">
        <v>44804</v>
      </c>
      <c r="C556" s="1" t="n">
        <v>45640</v>
      </c>
      <c r="D556" t="inlineStr">
        <is>
          <t>VÄRMLANDS LÄN</t>
        </is>
      </c>
      <c r="E556" t="inlineStr">
        <is>
          <t>KARLSTAD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36884-2022</t>
        </is>
      </c>
      <c r="B557" s="1" t="n">
        <v>44805</v>
      </c>
      <c r="C557" s="1" t="n">
        <v>45640</v>
      </c>
      <c r="D557" t="inlineStr">
        <is>
          <t>VÄRMLANDS LÄN</t>
        </is>
      </c>
      <c r="E557" t="inlineStr">
        <is>
          <t>KARLSTAD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37298-2022</t>
        </is>
      </c>
      <c r="B558" s="1" t="n">
        <v>44808</v>
      </c>
      <c r="C558" s="1" t="n">
        <v>45640</v>
      </c>
      <c r="D558" t="inlineStr">
        <is>
          <t>VÄRMLANDS LÄN</t>
        </is>
      </c>
      <c r="E558" t="inlineStr">
        <is>
          <t>KARLSTAD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37299-2022</t>
        </is>
      </c>
      <c r="B559" s="1" t="n">
        <v>44808</v>
      </c>
      <c r="C559" s="1" t="n">
        <v>45640</v>
      </c>
      <c r="D559" t="inlineStr">
        <is>
          <t>VÄRMLANDS LÄN</t>
        </is>
      </c>
      <c r="E559" t="inlineStr">
        <is>
          <t>KARLSTAD</t>
        </is>
      </c>
      <c r="G559" t="n">
        <v>14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38298-2022</t>
        </is>
      </c>
      <c r="B560" s="1" t="n">
        <v>44812</v>
      </c>
      <c r="C560" s="1" t="n">
        <v>45640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38770-2022</t>
        </is>
      </c>
      <c r="B561" s="1" t="n">
        <v>44816</v>
      </c>
      <c r="C561" s="1" t="n">
        <v>45640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39504-2022</t>
        </is>
      </c>
      <c r="B562" s="1" t="n">
        <v>44818</v>
      </c>
      <c r="C562" s="1" t="n">
        <v>45640</v>
      </c>
      <c r="D562" t="inlineStr">
        <is>
          <t>VÄRMLANDS LÄN</t>
        </is>
      </c>
      <c r="E562" t="inlineStr">
        <is>
          <t>KARLSTAD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40855-2022</t>
        </is>
      </c>
      <c r="B563" s="1" t="n">
        <v>44825</v>
      </c>
      <c r="C563" s="1" t="n">
        <v>45640</v>
      </c>
      <c r="D563" t="inlineStr">
        <is>
          <t>VÄRMLANDS LÄN</t>
        </is>
      </c>
      <c r="E563" t="inlineStr">
        <is>
          <t>KARLSTAD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44080-2022</t>
        </is>
      </c>
      <c r="B564" s="1" t="n">
        <v>44839</v>
      </c>
      <c r="C564" s="1" t="n">
        <v>45640</v>
      </c>
      <c r="D564" t="inlineStr">
        <is>
          <t>VÄRMLANDS LÄN</t>
        </is>
      </c>
      <c r="E564" t="inlineStr">
        <is>
          <t>KARLSTAD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45757-2022</t>
        </is>
      </c>
      <c r="B565" s="1" t="n">
        <v>44846</v>
      </c>
      <c r="C565" s="1" t="n">
        <v>45640</v>
      </c>
      <c r="D565" t="inlineStr">
        <is>
          <t>VÄRMLANDS LÄN</t>
        </is>
      </c>
      <c r="E565" t="inlineStr">
        <is>
          <t>KARLSTAD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47203-2022</t>
        </is>
      </c>
      <c r="B566" s="1" t="n">
        <v>44852</v>
      </c>
      <c r="C566" s="1" t="n">
        <v>45640</v>
      </c>
      <c r="D566" t="inlineStr">
        <is>
          <t>VÄRMLANDS LÄN</t>
        </is>
      </c>
      <c r="E566" t="inlineStr">
        <is>
          <t>KARLSTAD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47349-2022</t>
        </is>
      </c>
      <c r="B567" s="1" t="n">
        <v>44852</v>
      </c>
      <c r="C567" s="1" t="n">
        <v>45640</v>
      </c>
      <c r="D567" t="inlineStr">
        <is>
          <t>VÄRMLANDS LÄN</t>
        </is>
      </c>
      <c r="E567" t="inlineStr">
        <is>
          <t>KARLSTAD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47330-2022</t>
        </is>
      </c>
      <c r="B568" s="1" t="n">
        <v>44853</v>
      </c>
      <c r="C568" s="1" t="n">
        <v>45640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48984-2022</t>
        </is>
      </c>
      <c r="B569" s="1" t="n">
        <v>44855</v>
      </c>
      <c r="C569" s="1" t="n">
        <v>45640</v>
      </c>
      <c r="D569" t="inlineStr">
        <is>
          <t>VÄRMLANDS LÄN</t>
        </is>
      </c>
      <c r="E569" t="inlineStr">
        <is>
          <t>KARLSTAD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49127-2022</t>
        </is>
      </c>
      <c r="B570" s="1" t="n">
        <v>44858</v>
      </c>
      <c r="C570" s="1" t="n">
        <v>45640</v>
      </c>
      <c r="D570" t="inlineStr">
        <is>
          <t>VÄRMLANDS LÄN</t>
        </is>
      </c>
      <c r="E570" t="inlineStr">
        <is>
          <t>KARLSTAD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49285-2022</t>
        </is>
      </c>
      <c r="B571" s="1" t="n">
        <v>44861</v>
      </c>
      <c r="C571" s="1" t="n">
        <v>45640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50803-2022</t>
        </is>
      </c>
      <c r="B572" s="1" t="n">
        <v>44867</v>
      </c>
      <c r="C572" s="1" t="n">
        <v>45640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51241-2022</t>
        </is>
      </c>
      <c r="B573" s="1" t="n">
        <v>44868</v>
      </c>
      <c r="C573" s="1" t="n">
        <v>45640</v>
      </c>
      <c r="D573" t="inlineStr">
        <is>
          <t>VÄRMLANDS LÄN</t>
        </is>
      </c>
      <c r="E573" t="inlineStr">
        <is>
          <t>KARLSTAD</t>
        </is>
      </c>
      <c r="G573" t="n">
        <v>16.3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51246-2022</t>
        </is>
      </c>
      <c r="B574" s="1" t="n">
        <v>44868</v>
      </c>
      <c r="C574" s="1" t="n">
        <v>45640</v>
      </c>
      <c r="D574" t="inlineStr">
        <is>
          <t>VÄRMLANDS LÄN</t>
        </is>
      </c>
      <c r="E574" t="inlineStr">
        <is>
          <t>KARLSTAD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51792-2022</t>
        </is>
      </c>
      <c r="B575" s="1" t="n">
        <v>44872</v>
      </c>
      <c r="C575" s="1" t="n">
        <v>45640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51914-2022</t>
        </is>
      </c>
      <c r="B576" s="1" t="n">
        <v>44872</v>
      </c>
      <c r="C576" s="1" t="n">
        <v>45640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53038-2022</t>
        </is>
      </c>
      <c r="B577" s="1" t="n">
        <v>44873</v>
      </c>
      <c r="C577" s="1" t="n">
        <v>45640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53141-2022</t>
        </is>
      </c>
      <c r="B578" s="1" t="n">
        <v>44876</v>
      </c>
      <c r="C578" s="1" t="n">
        <v>45640</v>
      </c>
      <c r="D578" t="inlineStr">
        <is>
          <t>VÄRMLANDS LÄN</t>
        </is>
      </c>
      <c r="E578" t="inlineStr">
        <is>
          <t>KARLSTAD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53048-2022</t>
        </is>
      </c>
      <c r="B579" s="1" t="n">
        <v>44876</v>
      </c>
      <c r="C579" s="1" t="n">
        <v>45640</v>
      </c>
      <c r="D579" t="inlineStr">
        <is>
          <t>VÄRMLANDS LÄN</t>
        </is>
      </c>
      <c r="E579" t="inlineStr">
        <is>
          <t>KARLSTAD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54439-2022</t>
        </is>
      </c>
      <c r="B580" s="1" t="n">
        <v>44882</v>
      </c>
      <c r="C580" s="1" t="n">
        <v>45640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54415-2022</t>
        </is>
      </c>
      <c r="B581" s="1" t="n">
        <v>44882</v>
      </c>
      <c r="C581" s="1" t="n">
        <v>45640</v>
      </c>
      <c r="D581" t="inlineStr">
        <is>
          <t>VÄRMLANDS LÄN</t>
        </is>
      </c>
      <c r="E581" t="inlineStr">
        <is>
          <t>KARLSTAD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54365-2022</t>
        </is>
      </c>
      <c r="B582" s="1" t="n">
        <v>44882</v>
      </c>
      <c r="C582" s="1" t="n">
        <v>45640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54442-2022</t>
        </is>
      </c>
      <c r="B583" s="1" t="n">
        <v>44882</v>
      </c>
      <c r="C583" s="1" t="n">
        <v>45640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54430-2022</t>
        </is>
      </c>
      <c r="B584" s="1" t="n">
        <v>44882</v>
      </c>
      <c r="C584" s="1" t="n">
        <v>45640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54441-2022</t>
        </is>
      </c>
      <c r="B585" s="1" t="n">
        <v>44882</v>
      </c>
      <c r="C585" s="1" t="n">
        <v>45640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54468-2022</t>
        </is>
      </c>
      <c r="B586" s="1" t="n">
        <v>44882</v>
      </c>
      <c r="C586" s="1" t="n">
        <v>45640</v>
      </c>
      <c r="D586" t="inlineStr">
        <is>
          <t>VÄRMLANDS LÄN</t>
        </is>
      </c>
      <c r="E586" t="inlineStr">
        <is>
          <t>KARLSTAD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55250-2022</t>
        </is>
      </c>
      <c r="B587" s="1" t="n">
        <v>44887</v>
      </c>
      <c r="C587" s="1" t="n">
        <v>45640</v>
      </c>
      <c r="D587" t="inlineStr">
        <is>
          <t>VÄRMLANDS LÄN</t>
        </is>
      </c>
      <c r="E587" t="inlineStr">
        <is>
          <t>KARLSTAD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55621-2022</t>
        </is>
      </c>
      <c r="B588" s="1" t="n">
        <v>44888</v>
      </c>
      <c r="C588" s="1" t="n">
        <v>45640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55764-2022</t>
        </is>
      </c>
      <c r="B589" s="1" t="n">
        <v>44888</v>
      </c>
      <c r="C589" s="1" t="n">
        <v>45640</v>
      </c>
      <c r="D589" t="inlineStr">
        <is>
          <t>VÄRMLANDS LÄN</t>
        </is>
      </c>
      <c r="E589" t="inlineStr">
        <is>
          <t>KARLSTAD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HYPERLINK("https://klasma.github.io/Logging_1780/knärot/A 55764-2022 karta knärot.png", "A 55764-2022")</f>
        <v/>
      </c>
      <c r="V589">
        <f>HYPERLINK("https://klasma.github.io/Logging_1780/klagomål/A 55764-2022 FSC-klagomål.docx", "A 55764-2022")</f>
        <v/>
      </c>
      <c r="W589">
        <f>HYPERLINK("https://klasma.github.io/Logging_1780/klagomålsmail/A 55764-2022 FSC-klagomål mail.docx", "A 55764-2022")</f>
        <v/>
      </c>
      <c r="X589">
        <f>HYPERLINK("https://klasma.github.io/Logging_1780/tillsyn/A 55764-2022 tillsynsbegäran.docx", "A 55764-2022")</f>
        <v/>
      </c>
      <c r="Y589">
        <f>HYPERLINK("https://klasma.github.io/Logging_1780/tillsynsmail/A 55764-2022 tillsynsbegäran mail.docx", "A 55764-2022")</f>
        <v/>
      </c>
    </row>
    <row r="590" ht="15" customHeight="1">
      <c r="A590" t="inlineStr">
        <is>
          <t>A 55819-2022</t>
        </is>
      </c>
      <c r="B590" s="1" t="n">
        <v>44888</v>
      </c>
      <c r="C590" s="1" t="n">
        <v>45640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56643-2022</t>
        </is>
      </c>
      <c r="B591" s="1" t="n">
        <v>44893</v>
      </c>
      <c r="C591" s="1" t="n">
        <v>45640</v>
      </c>
      <c r="D591" t="inlineStr">
        <is>
          <t>VÄRMLANDS LÄN</t>
        </is>
      </c>
      <c r="E591" t="inlineStr">
        <is>
          <t>KARLSTAD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58538-2022</t>
        </is>
      </c>
      <c r="B592" s="1" t="n">
        <v>44894</v>
      </c>
      <c r="C592" s="1" t="n">
        <v>45640</v>
      </c>
      <c r="D592" t="inlineStr">
        <is>
          <t>VÄRMLANDS LÄN</t>
        </is>
      </c>
      <c r="E592" t="inlineStr">
        <is>
          <t>KARLSTAD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57100-2022</t>
        </is>
      </c>
      <c r="B593" s="1" t="n">
        <v>44895</v>
      </c>
      <c r="C593" s="1" t="n">
        <v>45640</v>
      </c>
      <c r="D593" t="inlineStr">
        <is>
          <t>VÄRMLANDS LÄN</t>
        </is>
      </c>
      <c r="E593" t="inlineStr">
        <is>
          <t>KARLSTAD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57392-2022</t>
        </is>
      </c>
      <c r="B594" s="1" t="n">
        <v>44896</v>
      </c>
      <c r="C594" s="1" t="n">
        <v>45640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23.9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57449-2022</t>
        </is>
      </c>
      <c r="B595" s="1" t="n">
        <v>44896</v>
      </c>
      <c r="C595" s="1" t="n">
        <v>45640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57445-2022</t>
        </is>
      </c>
      <c r="B596" s="1" t="n">
        <v>44896</v>
      </c>
      <c r="C596" s="1" t="n">
        <v>45640</v>
      </c>
      <c r="D596" t="inlineStr">
        <is>
          <t>VÄRMLANDS LÄN</t>
        </is>
      </c>
      <c r="E596" t="inlineStr">
        <is>
          <t>KARLSTAD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57441-2022</t>
        </is>
      </c>
      <c r="B597" s="1" t="n">
        <v>44896</v>
      </c>
      <c r="C597" s="1" t="n">
        <v>45640</v>
      </c>
      <c r="D597" t="inlineStr">
        <is>
          <t>VÄRMLANDS LÄN</t>
        </is>
      </c>
      <c r="E597" t="inlineStr">
        <is>
          <t>KARLSTAD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57504-2022</t>
        </is>
      </c>
      <c r="B598" s="1" t="n">
        <v>44896</v>
      </c>
      <c r="C598" s="1" t="n">
        <v>45640</v>
      </c>
      <c r="D598" t="inlineStr">
        <is>
          <t>VÄRMLANDS LÄN</t>
        </is>
      </c>
      <c r="E598" t="inlineStr">
        <is>
          <t>KARLSTAD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58369-2022</t>
        </is>
      </c>
      <c r="B599" s="1" t="n">
        <v>44901</v>
      </c>
      <c r="C599" s="1" t="n">
        <v>45640</v>
      </c>
      <c r="D599" t="inlineStr">
        <is>
          <t>VÄRMLANDS LÄN</t>
        </is>
      </c>
      <c r="E599" t="inlineStr">
        <is>
          <t>KARLSTAD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58459-2022</t>
        </is>
      </c>
      <c r="B600" s="1" t="n">
        <v>44902</v>
      </c>
      <c r="C600" s="1" t="n">
        <v>45640</v>
      </c>
      <c r="D600" t="inlineStr">
        <is>
          <t>VÄRMLANDS LÄN</t>
        </is>
      </c>
      <c r="E600" t="inlineStr">
        <is>
          <t>KARLSTAD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58456-2022</t>
        </is>
      </c>
      <c r="B601" s="1" t="n">
        <v>44902</v>
      </c>
      <c r="C601" s="1" t="n">
        <v>45640</v>
      </c>
      <c r="D601" t="inlineStr">
        <is>
          <t>VÄRMLANDS LÄN</t>
        </is>
      </c>
      <c r="E601" t="inlineStr">
        <is>
          <t>KARLSTAD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59305-2022</t>
        </is>
      </c>
      <c r="B602" s="1" t="n">
        <v>44904</v>
      </c>
      <c r="C602" s="1" t="n">
        <v>45640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59319-2022</t>
        </is>
      </c>
      <c r="B603" s="1" t="n">
        <v>44904</v>
      </c>
      <c r="C603" s="1" t="n">
        <v>45640</v>
      </c>
      <c r="D603" t="inlineStr">
        <is>
          <t>VÄRMLANDS LÄN</t>
        </is>
      </c>
      <c r="E603" t="inlineStr">
        <is>
          <t>KARLSTAD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59299-2022</t>
        </is>
      </c>
      <c r="B604" s="1" t="n">
        <v>44904</v>
      </c>
      <c r="C604" s="1" t="n">
        <v>45640</v>
      </c>
      <c r="D604" t="inlineStr">
        <is>
          <t>VÄRMLANDS LÄN</t>
        </is>
      </c>
      <c r="E604" t="inlineStr">
        <is>
          <t>KARLSTAD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59295-2022</t>
        </is>
      </c>
      <c r="B605" s="1" t="n">
        <v>44904</v>
      </c>
      <c r="C605" s="1" t="n">
        <v>45640</v>
      </c>
      <c r="D605" t="inlineStr">
        <is>
          <t>VÄRMLANDS LÄN</t>
        </is>
      </c>
      <c r="E605" t="inlineStr">
        <is>
          <t>KARLSTAD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59301-2022</t>
        </is>
      </c>
      <c r="B606" s="1" t="n">
        <v>44904</v>
      </c>
      <c r="C606" s="1" t="n">
        <v>45640</v>
      </c>
      <c r="D606" t="inlineStr">
        <is>
          <t>VÄRMLANDS LÄN</t>
        </is>
      </c>
      <c r="E606" t="inlineStr">
        <is>
          <t>KARLSTAD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59674-2022</t>
        </is>
      </c>
      <c r="B607" s="1" t="n">
        <v>44908</v>
      </c>
      <c r="C607" s="1" t="n">
        <v>45640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59857-2022</t>
        </is>
      </c>
      <c r="B608" s="1" t="n">
        <v>44908</v>
      </c>
      <c r="C608" s="1" t="n">
        <v>45640</v>
      </c>
      <c r="D608" t="inlineStr">
        <is>
          <t>VÄRMLANDS LÄN</t>
        </is>
      </c>
      <c r="E608" t="inlineStr">
        <is>
          <t>KARLSTAD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60724-2022</t>
        </is>
      </c>
      <c r="B609" s="1" t="n">
        <v>44913</v>
      </c>
      <c r="C609" s="1" t="n">
        <v>45640</v>
      </c>
      <c r="D609" t="inlineStr">
        <is>
          <t>VÄRMLANDS LÄN</t>
        </is>
      </c>
      <c r="E609" t="inlineStr">
        <is>
          <t>KARLSTAD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61032-2022</t>
        </is>
      </c>
      <c r="B610" s="1" t="n">
        <v>44914</v>
      </c>
      <c r="C610" s="1" t="n">
        <v>45640</v>
      </c>
      <c r="D610" t="inlineStr">
        <is>
          <t>VÄRMLANDS LÄN</t>
        </is>
      </c>
      <c r="E610" t="inlineStr">
        <is>
          <t>KARLSTAD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61287-2022</t>
        </is>
      </c>
      <c r="B611" s="1" t="n">
        <v>44915</v>
      </c>
      <c r="C611" s="1" t="n">
        <v>45640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61350-2022</t>
        </is>
      </c>
      <c r="B612" s="1" t="n">
        <v>44915</v>
      </c>
      <c r="C612" s="1" t="n">
        <v>45640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355-2023</t>
        </is>
      </c>
      <c r="B613" s="1" t="n">
        <v>44923</v>
      </c>
      <c r="C613" s="1" t="n">
        <v>45640</v>
      </c>
      <c r="D613" t="inlineStr">
        <is>
          <t>VÄRMLANDS LÄN</t>
        </is>
      </c>
      <c r="E613" t="inlineStr">
        <is>
          <t>KARLSTAD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126-2023</t>
        </is>
      </c>
      <c r="B614" s="1" t="n">
        <v>44928</v>
      </c>
      <c r="C614" s="1" t="n">
        <v>45640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1144-2023</t>
        </is>
      </c>
      <c r="B615" s="1" t="n">
        <v>44935</v>
      </c>
      <c r="C615" s="1" t="n">
        <v>45640</v>
      </c>
      <c r="D615" t="inlineStr">
        <is>
          <t>VÄRMLANDS LÄN</t>
        </is>
      </c>
      <c r="E615" t="inlineStr">
        <is>
          <t>KARLSTAD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1450-2023</t>
        </is>
      </c>
      <c r="B616" s="1" t="n">
        <v>44937</v>
      </c>
      <c r="C616" s="1" t="n">
        <v>45640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1446-2023</t>
        </is>
      </c>
      <c r="B617" s="1" t="n">
        <v>44937</v>
      </c>
      <c r="C617" s="1" t="n">
        <v>45640</v>
      </c>
      <c r="D617" t="inlineStr">
        <is>
          <t>VÄRMLANDS LÄN</t>
        </is>
      </c>
      <c r="E617" t="inlineStr">
        <is>
          <t>KARLSTAD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1675-2023</t>
        </is>
      </c>
      <c r="B618" s="1" t="n">
        <v>44938</v>
      </c>
      <c r="C618" s="1" t="n">
        <v>45640</v>
      </c>
      <c r="D618" t="inlineStr">
        <is>
          <t>VÄRMLANDS LÄN</t>
        </is>
      </c>
      <c r="E618" t="inlineStr">
        <is>
          <t>KARLSTAD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2978-2023</t>
        </is>
      </c>
      <c r="B619" s="1" t="n">
        <v>44945</v>
      </c>
      <c r="C619" s="1" t="n">
        <v>45640</v>
      </c>
      <c r="D619" t="inlineStr">
        <is>
          <t>VÄRMLANDS LÄN</t>
        </is>
      </c>
      <c r="E619" t="inlineStr">
        <is>
          <t>KARLSTAD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2984-2023</t>
        </is>
      </c>
      <c r="B620" s="1" t="n">
        <v>44945</v>
      </c>
      <c r="C620" s="1" t="n">
        <v>45640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3736-2023</t>
        </is>
      </c>
      <c r="B621" s="1" t="n">
        <v>44949</v>
      </c>
      <c r="C621" s="1" t="n">
        <v>45640</v>
      </c>
      <c r="D621" t="inlineStr">
        <is>
          <t>VÄRMLANDS LÄN</t>
        </is>
      </c>
      <c r="E621" t="inlineStr">
        <is>
          <t>KARLSTAD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3962-2023</t>
        </is>
      </c>
      <c r="B622" s="1" t="n">
        <v>44952</v>
      </c>
      <c r="C622" s="1" t="n">
        <v>45640</v>
      </c>
      <c r="D622" t="inlineStr">
        <is>
          <t>VÄRMLANDS LÄN</t>
        </is>
      </c>
      <c r="E622" t="inlineStr">
        <is>
          <t>KARLSTAD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3961-2023</t>
        </is>
      </c>
      <c r="B623" s="1" t="n">
        <v>44952</v>
      </c>
      <c r="C623" s="1" t="n">
        <v>45640</v>
      </c>
      <c r="D623" t="inlineStr">
        <is>
          <t>VÄRMLANDS LÄN</t>
        </is>
      </c>
      <c r="E623" t="inlineStr">
        <is>
          <t>KARLSTAD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4071-2023</t>
        </is>
      </c>
      <c r="B624" s="1" t="n">
        <v>44952</v>
      </c>
      <c r="C624" s="1" t="n">
        <v>45640</v>
      </c>
      <c r="D624" t="inlineStr">
        <is>
          <t>VÄRMLANDS LÄN</t>
        </is>
      </c>
      <c r="E624" t="inlineStr">
        <is>
          <t>KARLSTAD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3954-2023</t>
        </is>
      </c>
      <c r="B625" s="1" t="n">
        <v>44952</v>
      </c>
      <c r="C625" s="1" t="n">
        <v>45640</v>
      </c>
      <c r="D625" t="inlineStr">
        <is>
          <t>VÄRMLANDS LÄN</t>
        </is>
      </c>
      <c r="E625" t="inlineStr">
        <is>
          <t>KARLSTAD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6263-2023</t>
        </is>
      </c>
      <c r="B626" s="1" t="n">
        <v>44959</v>
      </c>
      <c r="C626" s="1" t="n">
        <v>45640</v>
      </c>
      <c r="D626" t="inlineStr">
        <is>
          <t>VÄRMLANDS LÄN</t>
        </is>
      </c>
      <c r="E626" t="inlineStr">
        <is>
          <t>KARLSTAD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6260-2023</t>
        </is>
      </c>
      <c r="B627" s="1" t="n">
        <v>44959</v>
      </c>
      <c r="C627" s="1" t="n">
        <v>45640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6276-2023</t>
        </is>
      </c>
      <c r="B628" s="1" t="n">
        <v>44965</v>
      </c>
      <c r="C628" s="1" t="n">
        <v>45640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7097-2023</t>
        </is>
      </c>
      <c r="B629" s="1" t="n">
        <v>44970</v>
      </c>
      <c r="C629" s="1" t="n">
        <v>45640</v>
      </c>
      <c r="D629" t="inlineStr">
        <is>
          <t>VÄRMLANDS LÄN</t>
        </is>
      </c>
      <c r="E629" t="inlineStr">
        <is>
          <t>KARLSTAD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7840-2023</t>
        </is>
      </c>
      <c r="B630" s="1" t="n">
        <v>44973</v>
      </c>
      <c r="C630" s="1" t="n">
        <v>45640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7866-2023</t>
        </is>
      </c>
      <c r="B631" s="1" t="n">
        <v>44973</v>
      </c>
      <c r="C631" s="1" t="n">
        <v>45640</v>
      </c>
      <c r="D631" t="inlineStr">
        <is>
          <t>VÄRMLANDS LÄN</t>
        </is>
      </c>
      <c r="E631" t="inlineStr">
        <is>
          <t>KARLSTAD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7892-2023</t>
        </is>
      </c>
      <c r="B632" s="1" t="n">
        <v>44973</v>
      </c>
      <c r="C632" s="1" t="n">
        <v>45640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8195-2023</t>
        </is>
      </c>
      <c r="B633" s="1" t="n">
        <v>44974</v>
      </c>
      <c r="C633" s="1" t="n">
        <v>45640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8892-2023</t>
        </is>
      </c>
      <c r="B634" s="1" t="n">
        <v>44979</v>
      </c>
      <c r="C634" s="1" t="n">
        <v>45640</v>
      </c>
      <c r="D634" t="inlineStr">
        <is>
          <t>VÄRMLANDS LÄN</t>
        </is>
      </c>
      <c r="E634" t="inlineStr">
        <is>
          <t>KARLSTAD</t>
        </is>
      </c>
      <c r="F634" t="inlineStr">
        <is>
          <t>Kyrkan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9470-2023</t>
        </is>
      </c>
      <c r="B635" s="1" t="n">
        <v>44981</v>
      </c>
      <c r="C635" s="1" t="n">
        <v>45640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9571-2023</t>
        </is>
      </c>
      <c r="B636" s="1" t="n">
        <v>44982</v>
      </c>
      <c r="C636" s="1" t="n">
        <v>45640</v>
      </c>
      <c r="D636" t="inlineStr">
        <is>
          <t>VÄRMLANDS LÄN</t>
        </is>
      </c>
      <c r="E636" t="inlineStr">
        <is>
          <t>KARLSTAD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11370-2023</t>
        </is>
      </c>
      <c r="B637" s="1" t="n">
        <v>44985</v>
      </c>
      <c r="C637" s="1" t="n">
        <v>45640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11359-2023</t>
        </is>
      </c>
      <c r="B638" s="1" t="n">
        <v>44985</v>
      </c>
      <c r="C638" s="1" t="n">
        <v>45640</v>
      </c>
      <c r="D638" t="inlineStr">
        <is>
          <t>VÄRMLANDS LÄN</t>
        </is>
      </c>
      <c r="E638" t="inlineStr">
        <is>
          <t>KARLSTAD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11355-2023</t>
        </is>
      </c>
      <c r="B639" s="1" t="n">
        <v>44985</v>
      </c>
      <c r="C639" s="1" t="n">
        <v>45640</v>
      </c>
      <c r="D639" t="inlineStr">
        <is>
          <t>VÄRMLANDS LÄN</t>
        </is>
      </c>
      <c r="E639" t="inlineStr">
        <is>
          <t>KARLSTAD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10284-2023</t>
        </is>
      </c>
      <c r="B640" s="1" t="n">
        <v>44986</v>
      </c>
      <c r="C640" s="1" t="n">
        <v>45640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10288-2023</t>
        </is>
      </c>
      <c r="B641" s="1" t="n">
        <v>44986</v>
      </c>
      <c r="C641" s="1" t="n">
        <v>45640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11616-2023</t>
        </is>
      </c>
      <c r="B642" s="1" t="n">
        <v>44994</v>
      </c>
      <c r="C642" s="1" t="n">
        <v>45640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11620-2023</t>
        </is>
      </c>
      <c r="B643" s="1" t="n">
        <v>44994</v>
      </c>
      <c r="C643" s="1" t="n">
        <v>45640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11617-2023</t>
        </is>
      </c>
      <c r="B644" s="1" t="n">
        <v>44994</v>
      </c>
      <c r="C644" s="1" t="n">
        <v>45640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11621-2023</t>
        </is>
      </c>
      <c r="B645" s="1" t="n">
        <v>44994</v>
      </c>
      <c r="C645" s="1" t="n">
        <v>45640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12029-2023</t>
        </is>
      </c>
      <c r="B646" s="1" t="n">
        <v>44995</v>
      </c>
      <c r="C646" s="1" t="n">
        <v>45640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12110-2023</t>
        </is>
      </c>
      <c r="B647" s="1" t="n">
        <v>44998</v>
      </c>
      <c r="C647" s="1" t="n">
        <v>45640</v>
      </c>
      <c r="D647" t="inlineStr">
        <is>
          <t>VÄRMLANDS LÄN</t>
        </is>
      </c>
      <c r="E647" t="inlineStr">
        <is>
          <t>KARLSTAD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12255-2023</t>
        </is>
      </c>
      <c r="B648" s="1" t="n">
        <v>44998</v>
      </c>
      <c r="C648" s="1" t="n">
        <v>45640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12475-2023</t>
        </is>
      </c>
      <c r="B649" s="1" t="n">
        <v>44999</v>
      </c>
      <c r="C649" s="1" t="n">
        <v>45640</v>
      </c>
      <c r="D649" t="inlineStr">
        <is>
          <t>VÄRMLANDS LÄN</t>
        </is>
      </c>
      <c r="E649" t="inlineStr">
        <is>
          <t>KARLSTAD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13118-2023</t>
        </is>
      </c>
      <c r="B650" s="1" t="n">
        <v>45002</v>
      </c>
      <c r="C650" s="1" t="n">
        <v>45640</v>
      </c>
      <c r="D650" t="inlineStr">
        <is>
          <t>VÄRMLANDS LÄN</t>
        </is>
      </c>
      <c r="E650" t="inlineStr">
        <is>
          <t>KARLSTAD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13325-2023</t>
        </is>
      </c>
      <c r="B651" s="1" t="n">
        <v>45005</v>
      </c>
      <c r="C651" s="1" t="n">
        <v>45640</v>
      </c>
      <c r="D651" t="inlineStr">
        <is>
          <t>VÄRMLANDS LÄN</t>
        </is>
      </c>
      <c r="E651" t="inlineStr">
        <is>
          <t>KARLSTAD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13863-2023</t>
        </is>
      </c>
      <c r="B652" s="1" t="n">
        <v>45007</v>
      </c>
      <c r="C652" s="1" t="n">
        <v>45640</v>
      </c>
      <c r="D652" t="inlineStr">
        <is>
          <t>VÄRMLANDS LÄN</t>
        </is>
      </c>
      <c r="E652" t="inlineStr">
        <is>
          <t>KARLSTAD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14320-2023</t>
        </is>
      </c>
      <c r="B653" s="1" t="n">
        <v>45012</v>
      </c>
      <c r="C653" s="1" t="n">
        <v>45640</v>
      </c>
      <c r="D653" t="inlineStr">
        <is>
          <t>VÄRMLANDS LÄN</t>
        </is>
      </c>
      <c r="E653" t="inlineStr">
        <is>
          <t>KARLSTAD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14580-2023</t>
        </is>
      </c>
      <c r="B654" s="1" t="n">
        <v>45013</v>
      </c>
      <c r="C654" s="1" t="n">
        <v>45640</v>
      </c>
      <c r="D654" t="inlineStr">
        <is>
          <t>VÄRMLANDS LÄN</t>
        </is>
      </c>
      <c r="E654" t="inlineStr">
        <is>
          <t>KARLSTAD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14582-2023</t>
        </is>
      </c>
      <c r="B655" s="1" t="n">
        <v>45013</v>
      </c>
      <c r="C655" s="1" t="n">
        <v>45640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14966-2023</t>
        </is>
      </c>
      <c r="B656" s="1" t="n">
        <v>45015</v>
      </c>
      <c r="C656" s="1" t="n">
        <v>45640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15636-2023</t>
        </is>
      </c>
      <c r="B657" s="1" t="n">
        <v>45019</v>
      </c>
      <c r="C657" s="1" t="n">
        <v>45640</v>
      </c>
      <c r="D657" t="inlineStr">
        <is>
          <t>VÄRMLANDS LÄN</t>
        </is>
      </c>
      <c r="E657" t="inlineStr">
        <is>
          <t>KARLSTAD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15733-2023</t>
        </is>
      </c>
      <c r="B658" s="1" t="n">
        <v>45020</v>
      </c>
      <c r="C658" s="1" t="n">
        <v>45640</v>
      </c>
      <c r="D658" t="inlineStr">
        <is>
          <t>VÄRMLANDS LÄN</t>
        </is>
      </c>
      <c r="E658" t="inlineStr">
        <is>
          <t>KARLSTAD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15725-2023</t>
        </is>
      </c>
      <c r="B659" s="1" t="n">
        <v>45020</v>
      </c>
      <c r="C659" s="1" t="n">
        <v>45640</v>
      </c>
      <c r="D659" t="inlineStr">
        <is>
          <t>VÄRMLANDS LÄN</t>
        </is>
      </c>
      <c r="E659" t="inlineStr">
        <is>
          <t>KARLSTAD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16312-2023</t>
        </is>
      </c>
      <c r="B660" s="1" t="n">
        <v>45028</v>
      </c>
      <c r="C660" s="1" t="n">
        <v>45640</v>
      </c>
      <c r="D660" t="inlineStr">
        <is>
          <t>VÄRMLANDS LÄN</t>
        </is>
      </c>
      <c r="E660" t="inlineStr">
        <is>
          <t>KARLSTAD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17249-2023</t>
        </is>
      </c>
      <c r="B661" s="1" t="n">
        <v>45035</v>
      </c>
      <c r="C661" s="1" t="n">
        <v>45640</v>
      </c>
      <c r="D661" t="inlineStr">
        <is>
          <t>VÄRMLANDS LÄN</t>
        </is>
      </c>
      <c r="E661" t="inlineStr">
        <is>
          <t>KARLSTAD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17354-2023</t>
        </is>
      </c>
      <c r="B662" s="1" t="n">
        <v>45035</v>
      </c>
      <c r="C662" s="1" t="n">
        <v>45640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17364-2023</t>
        </is>
      </c>
      <c r="B663" s="1" t="n">
        <v>45035</v>
      </c>
      <c r="C663" s="1" t="n">
        <v>45640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17474-2023</t>
        </is>
      </c>
      <c r="B664" s="1" t="n">
        <v>45036</v>
      </c>
      <c r="C664" s="1" t="n">
        <v>45640</v>
      </c>
      <c r="D664" t="inlineStr">
        <is>
          <t>VÄRMLANDS LÄN</t>
        </is>
      </c>
      <c r="E664" t="inlineStr">
        <is>
          <t>KARLSTAD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17679-2023</t>
        </is>
      </c>
      <c r="B665" s="1" t="n">
        <v>45037</v>
      </c>
      <c r="C665" s="1" t="n">
        <v>45640</v>
      </c>
      <c r="D665" t="inlineStr">
        <is>
          <t>VÄRMLANDS LÄN</t>
        </is>
      </c>
      <c r="E665" t="inlineStr">
        <is>
          <t>KARLSTAD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17900-2023</t>
        </is>
      </c>
      <c r="B666" s="1" t="n">
        <v>45037</v>
      </c>
      <c r="C666" s="1" t="n">
        <v>45640</v>
      </c>
      <c r="D666" t="inlineStr">
        <is>
          <t>VÄRMLANDS LÄN</t>
        </is>
      </c>
      <c r="E666" t="inlineStr">
        <is>
          <t>KARLSTAD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17892-2023</t>
        </is>
      </c>
      <c r="B667" s="1" t="n">
        <v>45039</v>
      </c>
      <c r="C667" s="1" t="n">
        <v>45640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17890-2023</t>
        </is>
      </c>
      <c r="B668" s="1" t="n">
        <v>45039</v>
      </c>
      <c r="C668" s="1" t="n">
        <v>45640</v>
      </c>
      <c r="D668" t="inlineStr">
        <is>
          <t>VÄRMLANDS LÄN</t>
        </is>
      </c>
      <c r="E668" t="inlineStr">
        <is>
          <t>KARLSTAD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17995-2023</t>
        </is>
      </c>
      <c r="B669" s="1" t="n">
        <v>45040</v>
      </c>
      <c r="C669" s="1" t="n">
        <v>45640</v>
      </c>
      <c r="D669" t="inlineStr">
        <is>
          <t>VÄRMLANDS LÄN</t>
        </is>
      </c>
      <c r="E669" t="inlineStr">
        <is>
          <t>KARLSTAD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17991-2023</t>
        </is>
      </c>
      <c r="B670" s="1" t="n">
        <v>45040</v>
      </c>
      <c r="C670" s="1" t="n">
        <v>45640</v>
      </c>
      <c r="D670" t="inlineStr">
        <is>
          <t>VÄRMLANDS LÄN</t>
        </is>
      </c>
      <c r="E670" t="inlineStr">
        <is>
          <t>KARLSTAD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18317-2023</t>
        </is>
      </c>
      <c r="B671" s="1" t="n">
        <v>45041</v>
      </c>
      <c r="C671" s="1" t="n">
        <v>45640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18356-2023</t>
        </is>
      </c>
      <c r="B672" s="1" t="n">
        <v>45041</v>
      </c>
      <c r="C672" s="1" t="n">
        <v>45640</v>
      </c>
      <c r="D672" t="inlineStr">
        <is>
          <t>VÄRMLANDS LÄN</t>
        </is>
      </c>
      <c r="E672" t="inlineStr">
        <is>
          <t>KARLSTAD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18633-2023</t>
        </is>
      </c>
      <c r="B673" s="1" t="n">
        <v>45041</v>
      </c>
      <c r="C673" s="1" t="n">
        <v>45640</v>
      </c>
      <c r="D673" t="inlineStr">
        <is>
          <t>VÄRMLANDS LÄN</t>
        </is>
      </c>
      <c r="E673" t="inlineStr">
        <is>
          <t>KARLSTAD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18625-2023</t>
        </is>
      </c>
      <c r="B674" s="1" t="n">
        <v>45041</v>
      </c>
      <c r="C674" s="1" t="n">
        <v>45640</v>
      </c>
      <c r="D674" t="inlineStr">
        <is>
          <t>VÄRMLANDS LÄN</t>
        </is>
      </c>
      <c r="E674" t="inlineStr">
        <is>
          <t>KARLSTAD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19166-2023</t>
        </is>
      </c>
      <c r="B675" s="1" t="n">
        <v>45044</v>
      </c>
      <c r="C675" s="1" t="n">
        <v>45640</v>
      </c>
      <c r="D675" t="inlineStr">
        <is>
          <t>VÄRMLANDS LÄN</t>
        </is>
      </c>
      <c r="E675" t="inlineStr">
        <is>
          <t>KARLSTAD</t>
        </is>
      </c>
      <c r="F675" t="inlineStr">
        <is>
          <t>Övriga statliga verk och myndigheter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19143-2023</t>
        </is>
      </c>
      <c r="B676" s="1" t="n">
        <v>45048</v>
      </c>
      <c r="C676" s="1" t="n">
        <v>45640</v>
      </c>
      <c r="D676" t="inlineStr">
        <is>
          <t>VÄRMLANDS LÄN</t>
        </is>
      </c>
      <c r="E676" t="inlineStr">
        <is>
          <t>KARLSTAD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19292-2023</t>
        </is>
      </c>
      <c r="B677" s="1" t="n">
        <v>45049</v>
      </c>
      <c r="C677" s="1" t="n">
        <v>45640</v>
      </c>
      <c r="D677" t="inlineStr">
        <is>
          <t>VÄRMLANDS LÄN</t>
        </is>
      </c>
      <c r="E677" t="inlineStr">
        <is>
          <t>KARLSTAD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19291-2023</t>
        </is>
      </c>
      <c r="B678" s="1" t="n">
        <v>45049</v>
      </c>
      <c r="C678" s="1" t="n">
        <v>45640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19666-2023</t>
        </is>
      </c>
      <c r="B679" s="1" t="n">
        <v>45051</v>
      </c>
      <c r="C679" s="1" t="n">
        <v>45640</v>
      </c>
      <c r="D679" t="inlineStr">
        <is>
          <t>VÄRMLANDS LÄN</t>
        </is>
      </c>
      <c r="E679" t="inlineStr">
        <is>
          <t>KARLSTAD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21094-2023</t>
        </is>
      </c>
      <c r="B680" s="1" t="n">
        <v>45061</v>
      </c>
      <c r="C680" s="1" t="n">
        <v>45640</v>
      </c>
      <c r="D680" t="inlineStr">
        <is>
          <t>VÄRMLANDS LÄN</t>
        </is>
      </c>
      <c r="E680" t="inlineStr">
        <is>
          <t>KARLSTAD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21629-2023</t>
        </is>
      </c>
      <c r="B681" s="1" t="n">
        <v>45062</v>
      </c>
      <c r="C681" s="1" t="n">
        <v>45640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21669-2023</t>
        </is>
      </c>
      <c r="B682" s="1" t="n">
        <v>45063</v>
      </c>
      <c r="C682" s="1" t="n">
        <v>45640</v>
      </c>
      <c r="D682" t="inlineStr">
        <is>
          <t>VÄRMLANDS LÄN</t>
        </is>
      </c>
      <c r="E682" t="inlineStr">
        <is>
          <t>KARLSTAD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21670-2023</t>
        </is>
      </c>
      <c r="B683" s="1" t="n">
        <v>45064</v>
      </c>
      <c r="C683" s="1" t="n">
        <v>45640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21943-2023</t>
        </is>
      </c>
      <c r="B684" s="1" t="n">
        <v>45068</v>
      </c>
      <c r="C684" s="1" t="n">
        <v>45640</v>
      </c>
      <c r="D684" t="inlineStr">
        <is>
          <t>VÄRMLANDS LÄN</t>
        </is>
      </c>
      <c r="E684" t="inlineStr">
        <is>
          <t>KARLSTAD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22409-2023</t>
        </is>
      </c>
      <c r="B685" s="1" t="n">
        <v>45070</v>
      </c>
      <c r="C685" s="1" t="n">
        <v>45640</v>
      </c>
      <c r="D685" t="inlineStr">
        <is>
          <t>VÄRMLANDS LÄN</t>
        </is>
      </c>
      <c r="E685" t="inlineStr">
        <is>
          <t>KARLSTAD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22535-2023</t>
        </is>
      </c>
      <c r="B686" s="1" t="n">
        <v>45071</v>
      </c>
      <c r="C686" s="1" t="n">
        <v>45640</v>
      </c>
      <c r="D686" t="inlineStr">
        <is>
          <t>VÄRMLANDS LÄN</t>
        </is>
      </c>
      <c r="E686" t="inlineStr">
        <is>
          <t>KARLSTAD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22505-2023</t>
        </is>
      </c>
      <c r="B687" s="1" t="n">
        <v>45071</v>
      </c>
      <c r="C687" s="1" t="n">
        <v>45640</v>
      </c>
      <c r="D687" t="inlineStr">
        <is>
          <t>VÄRMLANDS LÄN</t>
        </is>
      </c>
      <c r="E687" t="inlineStr">
        <is>
          <t>KARLSTAD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22538-2023</t>
        </is>
      </c>
      <c r="B688" s="1" t="n">
        <v>45071</v>
      </c>
      <c r="C688" s="1" t="n">
        <v>45640</v>
      </c>
      <c r="D688" t="inlineStr">
        <is>
          <t>VÄRMLANDS LÄN</t>
        </is>
      </c>
      <c r="E688" t="inlineStr">
        <is>
          <t>KARLSTAD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22540-2023</t>
        </is>
      </c>
      <c r="B689" s="1" t="n">
        <v>45071</v>
      </c>
      <c r="C689" s="1" t="n">
        <v>45640</v>
      </c>
      <c r="D689" t="inlineStr">
        <is>
          <t>VÄRMLANDS LÄN</t>
        </is>
      </c>
      <c r="E689" t="inlineStr">
        <is>
          <t>KARLSTAD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24488-2023</t>
        </is>
      </c>
      <c r="B690" s="1" t="n">
        <v>45077</v>
      </c>
      <c r="C690" s="1" t="n">
        <v>45640</v>
      </c>
      <c r="D690" t="inlineStr">
        <is>
          <t>VÄRMLANDS LÄN</t>
        </is>
      </c>
      <c r="E690" t="inlineStr">
        <is>
          <t>KARLSTAD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24161-2023</t>
        </is>
      </c>
      <c r="B691" s="1" t="n">
        <v>45079</v>
      </c>
      <c r="C691" s="1" t="n">
        <v>45640</v>
      </c>
      <c r="D691" t="inlineStr">
        <is>
          <t>VÄRMLANDS LÄN</t>
        </is>
      </c>
      <c r="E691" t="inlineStr">
        <is>
          <t>KARLSTAD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24589-2023</t>
        </is>
      </c>
      <c r="B692" s="1" t="n">
        <v>45083</v>
      </c>
      <c r="C692" s="1" t="n">
        <v>45640</v>
      </c>
      <c r="D692" t="inlineStr">
        <is>
          <t>VÄRMLANDS LÄN</t>
        </is>
      </c>
      <c r="E692" t="inlineStr">
        <is>
          <t>KARLSTAD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24593-2023</t>
        </is>
      </c>
      <c r="B693" s="1" t="n">
        <v>45083</v>
      </c>
      <c r="C693" s="1" t="n">
        <v>45640</v>
      </c>
      <c r="D693" t="inlineStr">
        <is>
          <t>VÄRMLANDS LÄN</t>
        </is>
      </c>
      <c r="E693" t="inlineStr">
        <is>
          <t>KARLSTAD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24565-2023</t>
        </is>
      </c>
      <c r="B694" s="1" t="n">
        <v>45083</v>
      </c>
      <c r="C694" s="1" t="n">
        <v>45640</v>
      </c>
      <c r="D694" t="inlineStr">
        <is>
          <t>VÄRMLANDS LÄN</t>
        </is>
      </c>
      <c r="E694" t="inlineStr">
        <is>
          <t>KARLSTAD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24592-2023</t>
        </is>
      </c>
      <c r="B695" s="1" t="n">
        <v>45083</v>
      </c>
      <c r="C695" s="1" t="n">
        <v>45640</v>
      </c>
      <c r="D695" t="inlineStr">
        <is>
          <t>VÄRMLANDS LÄN</t>
        </is>
      </c>
      <c r="E695" t="inlineStr">
        <is>
          <t>KARLSTAD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24590-2023</t>
        </is>
      </c>
      <c r="B696" s="1" t="n">
        <v>45083</v>
      </c>
      <c r="C696" s="1" t="n">
        <v>45640</v>
      </c>
      <c r="D696" t="inlineStr">
        <is>
          <t>VÄRMLANDS LÄN</t>
        </is>
      </c>
      <c r="E696" t="inlineStr">
        <is>
          <t>KARLSTAD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24987-2023</t>
        </is>
      </c>
      <c r="B697" s="1" t="n">
        <v>45085</v>
      </c>
      <c r="C697" s="1" t="n">
        <v>45640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25178-2023</t>
        </is>
      </c>
      <c r="B698" s="1" t="n">
        <v>45086</v>
      </c>
      <c r="C698" s="1" t="n">
        <v>45640</v>
      </c>
      <c r="D698" t="inlineStr">
        <is>
          <t>VÄRMLANDS LÄN</t>
        </is>
      </c>
      <c r="E698" t="inlineStr">
        <is>
          <t>KARLSTAD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25932-2023</t>
        </is>
      </c>
      <c r="B699" s="1" t="n">
        <v>45090</v>
      </c>
      <c r="C699" s="1" t="n">
        <v>45640</v>
      </c>
      <c r="D699" t="inlineStr">
        <is>
          <t>VÄRMLANDS LÄN</t>
        </is>
      </c>
      <c r="E699" t="inlineStr">
        <is>
          <t>KARLSTAD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26222-2023</t>
        </is>
      </c>
      <c r="B700" s="1" t="n">
        <v>45091</v>
      </c>
      <c r="C700" s="1" t="n">
        <v>45640</v>
      </c>
      <c r="D700" t="inlineStr">
        <is>
          <t>VÄRMLANDS LÄN</t>
        </is>
      </c>
      <c r="E700" t="inlineStr">
        <is>
          <t>KARLSTAD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26059-2023</t>
        </is>
      </c>
      <c r="B701" s="1" t="n">
        <v>45091</v>
      </c>
      <c r="C701" s="1" t="n">
        <v>45640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26112-2023</t>
        </is>
      </c>
      <c r="B702" s="1" t="n">
        <v>45091</v>
      </c>
      <c r="C702" s="1" t="n">
        <v>45640</v>
      </c>
      <c r="D702" t="inlineStr">
        <is>
          <t>VÄRMLANDS LÄN</t>
        </is>
      </c>
      <c r="E702" t="inlineStr">
        <is>
          <t>KARLSTAD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26144-2023</t>
        </is>
      </c>
      <c r="B703" s="1" t="n">
        <v>45091</v>
      </c>
      <c r="C703" s="1" t="n">
        <v>45640</v>
      </c>
      <c r="D703" t="inlineStr">
        <is>
          <t>VÄRMLANDS LÄN</t>
        </is>
      </c>
      <c r="E703" t="inlineStr">
        <is>
          <t>KARLSTAD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26515-2023</t>
        </is>
      </c>
      <c r="B704" s="1" t="n">
        <v>45092</v>
      </c>
      <c r="C704" s="1" t="n">
        <v>45640</v>
      </c>
      <c r="D704" t="inlineStr">
        <is>
          <t>VÄRMLANDS LÄN</t>
        </is>
      </c>
      <c r="E704" t="inlineStr">
        <is>
          <t>KARLSTAD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26540-2023</t>
        </is>
      </c>
      <c r="B705" s="1" t="n">
        <v>45092</v>
      </c>
      <c r="C705" s="1" t="n">
        <v>45640</v>
      </c>
      <c r="D705" t="inlineStr">
        <is>
          <t>VÄRMLANDS LÄN</t>
        </is>
      </c>
      <c r="E705" t="inlineStr">
        <is>
          <t>KARLSTAD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26617-2023</t>
        </is>
      </c>
      <c r="B706" s="1" t="n">
        <v>45092</v>
      </c>
      <c r="C706" s="1" t="n">
        <v>45640</v>
      </c>
      <c r="D706" t="inlineStr">
        <is>
          <t>VÄRMLANDS LÄN</t>
        </is>
      </c>
      <c r="E706" t="inlineStr">
        <is>
          <t>KARLSTAD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26670-2023</t>
        </is>
      </c>
      <c r="B707" s="1" t="n">
        <v>45093</v>
      </c>
      <c r="C707" s="1" t="n">
        <v>45640</v>
      </c>
      <c r="D707" t="inlineStr">
        <is>
          <t>VÄRMLANDS LÄN</t>
        </is>
      </c>
      <c r="E707" t="inlineStr">
        <is>
          <t>KARLSTAD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26672-2023</t>
        </is>
      </c>
      <c r="B708" s="1" t="n">
        <v>45093</v>
      </c>
      <c r="C708" s="1" t="n">
        <v>45640</v>
      </c>
      <c r="D708" t="inlineStr">
        <is>
          <t>VÄRMLANDS LÄN</t>
        </is>
      </c>
      <c r="E708" t="inlineStr">
        <is>
          <t>KARLSTAD</t>
        </is>
      </c>
      <c r="G708" t="n">
        <v>22.7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27049-2023</t>
        </is>
      </c>
      <c r="B709" s="1" t="n">
        <v>45095</v>
      </c>
      <c r="C709" s="1" t="n">
        <v>45640</v>
      </c>
      <c r="D709" t="inlineStr">
        <is>
          <t>VÄRMLANDS LÄN</t>
        </is>
      </c>
      <c r="E709" t="inlineStr">
        <is>
          <t>KARLSTAD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27050-2023</t>
        </is>
      </c>
      <c r="B710" s="1" t="n">
        <v>45095</v>
      </c>
      <c r="C710" s="1" t="n">
        <v>45640</v>
      </c>
      <c r="D710" t="inlineStr">
        <is>
          <t>VÄRMLANDS LÄN</t>
        </is>
      </c>
      <c r="E710" t="inlineStr">
        <is>
          <t>KARLSTAD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27344-2023</t>
        </is>
      </c>
      <c r="B711" s="1" t="n">
        <v>45096</v>
      </c>
      <c r="C711" s="1" t="n">
        <v>45640</v>
      </c>
      <c r="D711" t="inlineStr">
        <is>
          <t>VÄRMLANDS LÄN</t>
        </is>
      </c>
      <c r="E711" t="inlineStr">
        <is>
          <t>KARLSTAD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27314-2023</t>
        </is>
      </c>
      <c r="B712" s="1" t="n">
        <v>45096</v>
      </c>
      <c r="C712" s="1" t="n">
        <v>45640</v>
      </c>
      <c r="D712" t="inlineStr">
        <is>
          <t>VÄRMLANDS LÄN</t>
        </is>
      </c>
      <c r="E712" t="inlineStr">
        <is>
          <t>KARLSTAD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27507-2023</t>
        </is>
      </c>
      <c r="B713" s="1" t="n">
        <v>45097</v>
      </c>
      <c r="C713" s="1" t="n">
        <v>45640</v>
      </c>
      <c r="D713" t="inlineStr">
        <is>
          <t>VÄRMLANDS LÄN</t>
        </is>
      </c>
      <c r="E713" t="inlineStr">
        <is>
          <t>KARLSTAD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29749-2023</t>
        </is>
      </c>
      <c r="B714" s="1" t="n">
        <v>45098</v>
      </c>
      <c r="C714" s="1" t="n">
        <v>45640</v>
      </c>
      <c r="D714" t="inlineStr">
        <is>
          <t>VÄRMLANDS LÄN</t>
        </is>
      </c>
      <c r="E714" t="inlineStr">
        <is>
          <t>KARLSTAD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29554-2023</t>
        </is>
      </c>
      <c r="B715" s="1" t="n">
        <v>45098</v>
      </c>
      <c r="C715" s="1" t="n">
        <v>45640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29550-2023</t>
        </is>
      </c>
      <c r="B716" s="1" t="n">
        <v>45098</v>
      </c>
      <c r="C716" s="1" t="n">
        <v>45640</v>
      </c>
      <c r="D716" t="inlineStr">
        <is>
          <t>VÄRMLANDS LÄN</t>
        </is>
      </c>
      <c r="E716" t="inlineStr">
        <is>
          <t>KARLSTAD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28056-2023</t>
        </is>
      </c>
      <c r="B717" s="1" t="n">
        <v>45099</v>
      </c>
      <c r="C717" s="1" t="n">
        <v>45640</v>
      </c>
      <c r="D717" t="inlineStr">
        <is>
          <t>VÄRMLANDS LÄN</t>
        </is>
      </c>
      <c r="E717" t="inlineStr">
        <is>
          <t>KARLSTAD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28212-2023</t>
        </is>
      </c>
      <c r="B718" s="1" t="n">
        <v>45099</v>
      </c>
      <c r="C718" s="1" t="n">
        <v>45640</v>
      </c>
      <c r="D718" t="inlineStr">
        <is>
          <t>VÄRMLANDS LÄN</t>
        </is>
      </c>
      <c r="E718" t="inlineStr">
        <is>
          <t>KARLSTAD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28201-2023</t>
        </is>
      </c>
      <c r="B719" s="1" t="n">
        <v>45099</v>
      </c>
      <c r="C719" s="1" t="n">
        <v>45640</v>
      </c>
      <c r="D719" t="inlineStr">
        <is>
          <t>VÄRMLANDS LÄN</t>
        </is>
      </c>
      <c r="E719" t="inlineStr">
        <is>
          <t>KARLSTAD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28181-2023</t>
        </is>
      </c>
      <c r="B720" s="1" t="n">
        <v>45099</v>
      </c>
      <c r="C720" s="1" t="n">
        <v>45640</v>
      </c>
      <c r="D720" t="inlineStr">
        <is>
          <t>VÄRMLANDS LÄN</t>
        </is>
      </c>
      <c r="E720" t="inlineStr">
        <is>
          <t>KARLSTAD</t>
        </is>
      </c>
      <c r="G720" t="n">
        <v>14.6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28190-2023</t>
        </is>
      </c>
      <c r="B721" s="1" t="n">
        <v>45099</v>
      </c>
      <c r="C721" s="1" t="n">
        <v>45640</v>
      </c>
      <c r="D721" t="inlineStr">
        <is>
          <t>VÄRMLANDS LÄN</t>
        </is>
      </c>
      <c r="E721" t="inlineStr">
        <is>
          <t>KARLSTAD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28208-2023</t>
        </is>
      </c>
      <c r="B722" s="1" t="n">
        <v>45099</v>
      </c>
      <c r="C722" s="1" t="n">
        <v>45640</v>
      </c>
      <c r="D722" t="inlineStr">
        <is>
          <t>VÄRMLANDS LÄN</t>
        </is>
      </c>
      <c r="E722" t="inlineStr">
        <is>
          <t>KARLSTAD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28530-2023</t>
        </is>
      </c>
      <c r="B723" s="1" t="n">
        <v>45103</v>
      </c>
      <c r="C723" s="1" t="n">
        <v>45640</v>
      </c>
      <c r="D723" t="inlineStr">
        <is>
          <t>VÄRMLANDS LÄN</t>
        </is>
      </c>
      <c r="E723" t="inlineStr">
        <is>
          <t>KARLSTAD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28992-2023</t>
        </is>
      </c>
      <c r="B724" s="1" t="n">
        <v>45104</v>
      </c>
      <c r="C724" s="1" t="n">
        <v>45640</v>
      </c>
      <c r="D724" t="inlineStr">
        <is>
          <t>VÄRMLANDS LÄN</t>
        </is>
      </c>
      <c r="E724" t="inlineStr">
        <is>
          <t>KARLSTAD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28996-2023</t>
        </is>
      </c>
      <c r="B725" s="1" t="n">
        <v>45104</v>
      </c>
      <c r="C725" s="1" t="n">
        <v>45640</v>
      </c>
      <c r="D725" t="inlineStr">
        <is>
          <t>VÄRMLANDS LÄN</t>
        </is>
      </c>
      <c r="E725" t="inlineStr">
        <is>
          <t>KARLSTAD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29227-2023</t>
        </is>
      </c>
      <c r="B726" s="1" t="n">
        <v>45105</v>
      </c>
      <c r="C726" s="1" t="n">
        <v>45640</v>
      </c>
      <c r="D726" t="inlineStr">
        <is>
          <t>VÄRMLANDS LÄN</t>
        </is>
      </c>
      <c r="E726" t="inlineStr">
        <is>
          <t>KARLSTAD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29359-2023</t>
        </is>
      </c>
      <c r="B727" s="1" t="n">
        <v>45106</v>
      </c>
      <c r="C727" s="1" t="n">
        <v>45640</v>
      </c>
      <c r="D727" t="inlineStr">
        <is>
          <t>VÄRMLANDS LÄN</t>
        </is>
      </c>
      <c r="E727" t="inlineStr">
        <is>
          <t>KARLSTAD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32169-2023</t>
        </is>
      </c>
      <c r="B728" s="1" t="n">
        <v>45107</v>
      </c>
      <c r="C728" s="1" t="n">
        <v>45640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30094-2023</t>
        </is>
      </c>
      <c r="B729" s="1" t="n">
        <v>45110</v>
      </c>
      <c r="C729" s="1" t="n">
        <v>45640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30099-2023</t>
        </is>
      </c>
      <c r="B730" s="1" t="n">
        <v>45110</v>
      </c>
      <c r="C730" s="1" t="n">
        <v>45640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30339-2023</t>
        </is>
      </c>
      <c r="B731" s="1" t="n">
        <v>45111</v>
      </c>
      <c r="C731" s="1" t="n">
        <v>45640</v>
      </c>
      <c r="D731" t="inlineStr">
        <is>
          <t>VÄRMLANDS LÄN</t>
        </is>
      </c>
      <c r="E731" t="inlineStr">
        <is>
          <t>KARLSTAD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30368-2023</t>
        </is>
      </c>
      <c r="B732" s="1" t="n">
        <v>45111</v>
      </c>
      <c r="C732" s="1" t="n">
        <v>45640</v>
      </c>
      <c r="D732" t="inlineStr">
        <is>
          <t>VÄRMLANDS LÄN</t>
        </is>
      </c>
      <c r="E732" t="inlineStr">
        <is>
          <t>KARLSTAD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30533-2023</t>
        </is>
      </c>
      <c r="B733" s="1" t="n">
        <v>45111</v>
      </c>
      <c r="C733" s="1" t="n">
        <v>45640</v>
      </c>
      <c r="D733" t="inlineStr">
        <is>
          <t>VÄRMLANDS LÄN</t>
        </is>
      </c>
      <c r="E733" t="inlineStr">
        <is>
          <t>KARLSTAD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32875-2023</t>
        </is>
      </c>
      <c r="B734" s="1" t="n">
        <v>45112</v>
      </c>
      <c r="C734" s="1" t="n">
        <v>45640</v>
      </c>
      <c r="D734" t="inlineStr">
        <is>
          <t>VÄRMLANDS LÄN</t>
        </is>
      </c>
      <c r="E734" t="inlineStr">
        <is>
          <t>KARLSTAD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32878-2023</t>
        </is>
      </c>
      <c r="B735" s="1" t="n">
        <v>45112</v>
      </c>
      <c r="C735" s="1" t="n">
        <v>45640</v>
      </c>
      <c r="D735" t="inlineStr">
        <is>
          <t>VÄRMLANDS LÄN</t>
        </is>
      </c>
      <c r="E735" t="inlineStr">
        <is>
          <t>KARLSTAD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31316-2023</t>
        </is>
      </c>
      <c r="B736" s="1" t="n">
        <v>45114</v>
      </c>
      <c r="C736" s="1" t="n">
        <v>45640</v>
      </c>
      <c r="D736" t="inlineStr">
        <is>
          <t>VÄRMLANDS LÄN</t>
        </is>
      </c>
      <c r="E736" t="inlineStr">
        <is>
          <t>KARLSTAD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33564-2023</t>
        </is>
      </c>
      <c r="B737" s="1" t="n">
        <v>45118</v>
      </c>
      <c r="C737" s="1" t="n">
        <v>45640</v>
      </c>
      <c r="D737" t="inlineStr">
        <is>
          <t>VÄRMLANDS LÄN</t>
        </is>
      </c>
      <c r="E737" t="inlineStr">
        <is>
          <t>KARLSTAD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33561-2023</t>
        </is>
      </c>
      <c r="B738" s="1" t="n">
        <v>45118</v>
      </c>
      <c r="C738" s="1" t="n">
        <v>45640</v>
      </c>
      <c r="D738" t="inlineStr">
        <is>
          <t>VÄRMLANDS LÄN</t>
        </is>
      </c>
      <c r="E738" t="inlineStr">
        <is>
          <t>KARLSTAD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33567-2023</t>
        </is>
      </c>
      <c r="B739" s="1" t="n">
        <v>45118</v>
      </c>
      <c r="C739" s="1" t="n">
        <v>45640</v>
      </c>
      <c r="D739" t="inlineStr">
        <is>
          <t>VÄRMLANDS LÄN</t>
        </is>
      </c>
      <c r="E739" t="inlineStr">
        <is>
          <t>KARLSTAD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32173-2023</t>
        </is>
      </c>
      <c r="B740" s="1" t="n">
        <v>45119</v>
      </c>
      <c r="C740" s="1" t="n">
        <v>45640</v>
      </c>
      <c r="D740" t="inlineStr">
        <is>
          <t>VÄRMLANDS LÄN</t>
        </is>
      </c>
      <c r="E740" t="inlineStr">
        <is>
          <t>KARLSTAD</t>
        </is>
      </c>
      <c r="G740" t="n">
        <v>29.2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32174-2023</t>
        </is>
      </c>
      <c r="B741" s="1" t="n">
        <v>45119</v>
      </c>
      <c r="C741" s="1" t="n">
        <v>45640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32434-2023</t>
        </is>
      </c>
      <c r="B742" s="1" t="n">
        <v>45120</v>
      </c>
      <c r="C742" s="1" t="n">
        <v>45640</v>
      </c>
      <c r="D742" t="inlineStr">
        <is>
          <t>VÄRMLANDS LÄN</t>
        </is>
      </c>
      <c r="E742" t="inlineStr">
        <is>
          <t>KARLSTAD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32433-2023</t>
        </is>
      </c>
      <c r="B743" s="1" t="n">
        <v>45120</v>
      </c>
      <c r="C743" s="1" t="n">
        <v>45640</v>
      </c>
      <c r="D743" t="inlineStr">
        <is>
          <t>VÄRMLANDS LÄN</t>
        </is>
      </c>
      <c r="E743" t="inlineStr">
        <is>
          <t>KARLSTAD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32435-2023</t>
        </is>
      </c>
      <c r="B744" s="1" t="n">
        <v>45120</v>
      </c>
      <c r="C744" s="1" t="n">
        <v>45640</v>
      </c>
      <c r="D744" t="inlineStr">
        <is>
          <t>VÄRMLANDS LÄN</t>
        </is>
      </c>
      <c r="E744" t="inlineStr">
        <is>
          <t>KARLSTAD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33030-2023</t>
        </is>
      </c>
      <c r="B745" s="1" t="n">
        <v>45125</v>
      </c>
      <c r="C745" s="1" t="n">
        <v>45640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33144-2023</t>
        </is>
      </c>
      <c r="B746" s="1" t="n">
        <v>45126</v>
      </c>
      <c r="C746" s="1" t="n">
        <v>45640</v>
      </c>
      <c r="D746" t="inlineStr">
        <is>
          <t>VÄRMLANDS LÄN</t>
        </is>
      </c>
      <c r="E746" t="inlineStr">
        <is>
          <t>KARLSTAD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33147-2023</t>
        </is>
      </c>
      <c r="B747" s="1" t="n">
        <v>45126</v>
      </c>
      <c r="C747" s="1" t="n">
        <v>45640</v>
      </c>
      <c r="D747" t="inlineStr">
        <is>
          <t>VÄRMLANDS LÄN</t>
        </is>
      </c>
      <c r="E747" t="inlineStr">
        <is>
          <t>KARLSTAD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33269-2023</t>
        </is>
      </c>
      <c r="B748" s="1" t="n">
        <v>45127</v>
      </c>
      <c r="C748" s="1" t="n">
        <v>45640</v>
      </c>
      <c r="D748" t="inlineStr">
        <is>
          <t>VÄRMLANDS LÄN</t>
        </is>
      </c>
      <c r="E748" t="inlineStr">
        <is>
          <t>KARLSTAD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33515-2023</t>
        </is>
      </c>
      <c r="B749" s="1" t="n">
        <v>45131</v>
      </c>
      <c r="C749" s="1" t="n">
        <v>45640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33511-2023</t>
        </is>
      </c>
      <c r="B750" s="1" t="n">
        <v>45131</v>
      </c>
      <c r="C750" s="1" t="n">
        <v>45640</v>
      </c>
      <c r="D750" t="inlineStr">
        <is>
          <t>VÄRMLANDS LÄN</t>
        </is>
      </c>
      <c r="E750" t="inlineStr">
        <is>
          <t>KARLSTAD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34727-2023</t>
        </is>
      </c>
      <c r="B751" s="1" t="n">
        <v>45141</v>
      </c>
      <c r="C751" s="1" t="n">
        <v>45640</v>
      </c>
      <c r="D751" t="inlineStr">
        <is>
          <t>VÄRMLANDS LÄN</t>
        </is>
      </c>
      <c r="E751" t="inlineStr">
        <is>
          <t>KARLSTAD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34728-2023</t>
        </is>
      </c>
      <c r="B752" s="1" t="n">
        <v>45141</v>
      </c>
      <c r="C752" s="1" t="n">
        <v>45640</v>
      </c>
      <c r="D752" t="inlineStr">
        <is>
          <t>VÄRMLANDS LÄN</t>
        </is>
      </c>
      <c r="E752" t="inlineStr">
        <is>
          <t>KARLSTAD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34726-2023</t>
        </is>
      </c>
      <c r="B753" s="1" t="n">
        <v>45141</v>
      </c>
      <c r="C753" s="1" t="n">
        <v>45640</v>
      </c>
      <c r="D753" t="inlineStr">
        <is>
          <t>VÄRMLANDS LÄN</t>
        </is>
      </c>
      <c r="E753" t="inlineStr">
        <is>
          <t>KARLSTAD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35076-2023</t>
        </is>
      </c>
      <c r="B754" s="1" t="n">
        <v>45145</v>
      </c>
      <c r="C754" s="1" t="n">
        <v>45640</v>
      </c>
      <c r="D754" t="inlineStr">
        <is>
          <t>VÄRMLANDS LÄN</t>
        </is>
      </c>
      <c r="E754" t="inlineStr">
        <is>
          <t>KARLSTAD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35378-2023</t>
        </is>
      </c>
      <c r="B755" s="1" t="n">
        <v>45145</v>
      </c>
      <c r="C755" s="1" t="n">
        <v>45640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35616-2023</t>
        </is>
      </c>
      <c r="B756" s="1" t="n">
        <v>45147</v>
      </c>
      <c r="C756" s="1" t="n">
        <v>45640</v>
      </c>
      <c r="D756" t="inlineStr">
        <is>
          <t>VÄRMLANDS LÄN</t>
        </is>
      </c>
      <c r="E756" t="inlineStr">
        <is>
          <t>KARLSTAD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35882-2023</t>
        </is>
      </c>
      <c r="B757" s="1" t="n">
        <v>45148</v>
      </c>
      <c r="C757" s="1" t="n">
        <v>45640</v>
      </c>
      <c r="D757" t="inlineStr">
        <is>
          <t>VÄRMLANDS LÄN</t>
        </is>
      </c>
      <c r="E757" t="inlineStr">
        <is>
          <t>KARLSTAD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35879-2023</t>
        </is>
      </c>
      <c r="B758" s="1" t="n">
        <v>45148</v>
      </c>
      <c r="C758" s="1" t="n">
        <v>45640</v>
      </c>
      <c r="D758" t="inlineStr">
        <is>
          <t>VÄRMLANDS LÄN</t>
        </is>
      </c>
      <c r="E758" t="inlineStr">
        <is>
          <t>KARLSTAD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36122-2023</t>
        </is>
      </c>
      <c r="B759" s="1" t="n">
        <v>45149</v>
      </c>
      <c r="C759" s="1" t="n">
        <v>45640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36399-2023</t>
        </is>
      </c>
      <c r="B760" s="1" t="n">
        <v>45149</v>
      </c>
      <c r="C760" s="1" t="n">
        <v>45640</v>
      </c>
      <c r="D760" t="inlineStr">
        <is>
          <t>VÄRMLANDS LÄN</t>
        </is>
      </c>
      <c r="E760" t="inlineStr">
        <is>
          <t>KARLSTAD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36460-2023</t>
        </is>
      </c>
      <c r="B761" s="1" t="n">
        <v>45152</v>
      </c>
      <c r="C761" s="1" t="n">
        <v>45640</v>
      </c>
      <c r="D761" t="inlineStr">
        <is>
          <t>VÄRMLANDS LÄN</t>
        </is>
      </c>
      <c r="E761" t="inlineStr">
        <is>
          <t>KARLSTAD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36518-2023</t>
        </is>
      </c>
      <c r="B762" s="1" t="n">
        <v>45153</v>
      </c>
      <c r="C762" s="1" t="n">
        <v>45640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36917-2023</t>
        </is>
      </c>
      <c r="B763" s="1" t="n">
        <v>45154</v>
      </c>
      <c r="C763" s="1" t="n">
        <v>45640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37076-2023</t>
        </is>
      </c>
      <c r="B764" s="1" t="n">
        <v>45154</v>
      </c>
      <c r="C764" s="1" t="n">
        <v>45640</v>
      </c>
      <c r="D764" t="inlineStr">
        <is>
          <t>VÄRMLANDS LÄN</t>
        </is>
      </c>
      <c r="E764" t="inlineStr">
        <is>
          <t>KARLSTAD</t>
        </is>
      </c>
      <c r="F764" t="inlineStr">
        <is>
          <t>Övriga statliga verk och myndigheter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38020-2023</t>
        </is>
      </c>
      <c r="B765" s="1" t="n">
        <v>45160</v>
      </c>
      <c r="C765" s="1" t="n">
        <v>45640</v>
      </c>
      <c r="D765" t="inlineStr">
        <is>
          <t>VÄRMLANDS LÄN</t>
        </is>
      </c>
      <c r="E765" t="inlineStr">
        <is>
          <t>KARLSTAD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38023-2023</t>
        </is>
      </c>
      <c r="B766" s="1" t="n">
        <v>45160</v>
      </c>
      <c r="C766" s="1" t="n">
        <v>45640</v>
      </c>
      <c r="D766" t="inlineStr">
        <is>
          <t>VÄRMLANDS LÄN</t>
        </is>
      </c>
      <c r="E766" t="inlineStr">
        <is>
          <t>KARLSTAD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38025-2023</t>
        </is>
      </c>
      <c r="B767" s="1" t="n">
        <v>45160</v>
      </c>
      <c r="C767" s="1" t="n">
        <v>45640</v>
      </c>
      <c r="D767" t="inlineStr">
        <is>
          <t>VÄRMLANDS LÄN</t>
        </is>
      </c>
      <c r="E767" t="inlineStr">
        <is>
          <t>KARLSTAD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38317-2023</t>
        </is>
      </c>
      <c r="B768" s="1" t="n">
        <v>45161</v>
      </c>
      <c r="C768" s="1" t="n">
        <v>45640</v>
      </c>
      <c r="D768" t="inlineStr">
        <is>
          <t>VÄRMLANDS LÄN</t>
        </is>
      </c>
      <c r="E768" t="inlineStr">
        <is>
          <t>KARLSTAD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38316-2023</t>
        </is>
      </c>
      <c r="B769" s="1" t="n">
        <v>45161</v>
      </c>
      <c r="C769" s="1" t="n">
        <v>45640</v>
      </c>
      <c r="D769" t="inlineStr">
        <is>
          <t>VÄRMLANDS LÄN</t>
        </is>
      </c>
      <c r="E769" t="inlineStr">
        <is>
          <t>KARLSTAD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38319-2023</t>
        </is>
      </c>
      <c r="B770" s="1" t="n">
        <v>45161</v>
      </c>
      <c r="C770" s="1" t="n">
        <v>45640</v>
      </c>
      <c r="D770" t="inlineStr">
        <is>
          <t>VÄRMLANDS LÄN</t>
        </is>
      </c>
      <c r="E770" t="inlineStr">
        <is>
          <t>KARLSTAD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38883-2023</t>
        </is>
      </c>
      <c r="B771" s="1" t="n">
        <v>45163</v>
      </c>
      <c r="C771" s="1" t="n">
        <v>45640</v>
      </c>
      <c r="D771" t="inlineStr">
        <is>
          <t>VÄRMLANDS LÄN</t>
        </is>
      </c>
      <c r="E771" t="inlineStr">
        <is>
          <t>KARLSTAD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38933-2023</t>
        </is>
      </c>
      <c r="B772" s="1" t="n">
        <v>45163</v>
      </c>
      <c r="C772" s="1" t="n">
        <v>45640</v>
      </c>
      <c r="D772" t="inlineStr">
        <is>
          <t>VÄRMLANDS LÄN</t>
        </is>
      </c>
      <c r="E772" t="inlineStr">
        <is>
          <t>KARLSTAD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39106-2023</t>
        </is>
      </c>
      <c r="B773" s="1" t="n">
        <v>45164</v>
      </c>
      <c r="C773" s="1" t="n">
        <v>45640</v>
      </c>
      <c r="D773" t="inlineStr">
        <is>
          <t>VÄRMLANDS LÄN</t>
        </is>
      </c>
      <c r="E773" t="inlineStr">
        <is>
          <t>KARLSTAD</t>
        </is>
      </c>
      <c r="G773" t="n">
        <v>15.4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39248-2023</t>
        </is>
      </c>
      <c r="B774" s="1" t="n">
        <v>45166</v>
      </c>
      <c r="C774" s="1" t="n">
        <v>45640</v>
      </c>
      <c r="D774" t="inlineStr">
        <is>
          <t>VÄRMLANDS LÄN</t>
        </is>
      </c>
      <c r="E774" t="inlineStr">
        <is>
          <t>KARLSTAD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39642-2023</t>
        </is>
      </c>
      <c r="B775" s="1" t="n">
        <v>45167</v>
      </c>
      <c r="C775" s="1" t="n">
        <v>45640</v>
      </c>
      <c r="D775" t="inlineStr">
        <is>
          <t>VÄRMLANDS LÄN</t>
        </is>
      </c>
      <c r="E775" t="inlineStr">
        <is>
          <t>KARLSTAD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39755-2023</t>
        </is>
      </c>
      <c r="B776" s="1" t="n">
        <v>45167</v>
      </c>
      <c r="C776" s="1" t="n">
        <v>45640</v>
      </c>
      <c r="D776" t="inlineStr">
        <is>
          <t>VÄRMLANDS LÄN</t>
        </is>
      </c>
      <c r="E776" t="inlineStr">
        <is>
          <t>KARLSTAD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39958-2023</t>
        </is>
      </c>
      <c r="B777" s="1" t="n">
        <v>45168</v>
      </c>
      <c r="C777" s="1" t="n">
        <v>45640</v>
      </c>
      <c r="D777" t="inlineStr">
        <is>
          <t>VÄRMLANDS LÄN</t>
        </is>
      </c>
      <c r="E777" t="inlineStr">
        <is>
          <t>KARLSTAD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40001-2023</t>
        </is>
      </c>
      <c r="B778" s="1" t="n">
        <v>45168</v>
      </c>
      <c r="C778" s="1" t="n">
        <v>45640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39964-2023</t>
        </is>
      </c>
      <c r="B779" s="1" t="n">
        <v>45168</v>
      </c>
      <c r="C779" s="1" t="n">
        <v>45640</v>
      </c>
      <c r="D779" t="inlineStr">
        <is>
          <t>VÄRMLANDS LÄN</t>
        </is>
      </c>
      <c r="E779" t="inlineStr">
        <is>
          <t>KARLSTAD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39955-2023</t>
        </is>
      </c>
      <c r="B780" s="1" t="n">
        <v>45168</v>
      </c>
      <c r="C780" s="1" t="n">
        <v>45640</v>
      </c>
      <c r="D780" t="inlineStr">
        <is>
          <t>VÄRMLANDS LÄN</t>
        </is>
      </c>
      <c r="E780" t="inlineStr">
        <is>
          <t>KARLSTAD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39963-2023</t>
        </is>
      </c>
      <c r="B781" s="1" t="n">
        <v>45168</v>
      </c>
      <c r="C781" s="1" t="n">
        <v>45640</v>
      </c>
      <c r="D781" t="inlineStr">
        <is>
          <t>VÄRMLANDS LÄN</t>
        </is>
      </c>
      <c r="E781" t="inlineStr">
        <is>
          <t>KARLSTAD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39961-2023</t>
        </is>
      </c>
      <c r="B782" s="1" t="n">
        <v>45168</v>
      </c>
      <c r="C782" s="1" t="n">
        <v>45640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41230-2023</t>
        </is>
      </c>
      <c r="B783" s="1" t="n">
        <v>45174</v>
      </c>
      <c r="C783" s="1" t="n">
        <v>45640</v>
      </c>
      <c r="D783" t="inlineStr">
        <is>
          <t>VÄRMLANDS LÄN</t>
        </is>
      </c>
      <c r="E783" t="inlineStr">
        <is>
          <t>KARLSTAD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41321-2023</t>
        </is>
      </c>
      <c r="B784" s="1" t="n">
        <v>45174</v>
      </c>
      <c r="C784" s="1" t="n">
        <v>45640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41510-2023</t>
        </is>
      </c>
      <c r="B785" s="1" t="n">
        <v>45175</v>
      </c>
      <c r="C785" s="1" t="n">
        <v>45640</v>
      </c>
      <c r="D785" t="inlineStr">
        <is>
          <t>VÄRMLANDS LÄN</t>
        </is>
      </c>
      <c r="E785" t="inlineStr">
        <is>
          <t>KARLSTAD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41534-2023</t>
        </is>
      </c>
      <c r="B786" s="1" t="n">
        <v>45175</v>
      </c>
      <c r="C786" s="1" t="n">
        <v>45640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41508-2023</t>
        </is>
      </c>
      <c r="B787" s="1" t="n">
        <v>45175</v>
      </c>
      <c r="C787" s="1" t="n">
        <v>45640</v>
      </c>
      <c r="D787" t="inlineStr">
        <is>
          <t>VÄRMLANDS LÄN</t>
        </is>
      </c>
      <c r="E787" t="inlineStr">
        <is>
          <t>KARLSTAD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41565-2023</t>
        </is>
      </c>
      <c r="B788" s="1" t="n">
        <v>45175</v>
      </c>
      <c r="C788" s="1" t="n">
        <v>45640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41563-2023</t>
        </is>
      </c>
      <c r="B789" s="1" t="n">
        <v>45175</v>
      </c>
      <c r="C789" s="1" t="n">
        <v>45640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41568-2023</t>
        </is>
      </c>
      <c r="B790" s="1" t="n">
        <v>45175</v>
      </c>
      <c r="C790" s="1" t="n">
        <v>45640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41960-2023</t>
        </is>
      </c>
      <c r="B791" s="1" t="n">
        <v>45177</v>
      </c>
      <c r="C791" s="1" t="n">
        <v>45640</v>
      </c>
      <c r="D791" t="inlineStr">
        <is>
          <t>VÄRMLANDS LÄN</t>
        </is>
      </c>
      <c r="E791" t="inlineStr">
        <is>
          <t>KARLSTAD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41963-2023</t>
        </is>
      </c>
      <c r="B792" s="1" t="n">
        <v>45177</v>
      </c>
      <c r="C792" s="1" t="n">
        <v>45640</v>
      </c>
      <c r="D792" t="inlineStr">
        <is>
          <t>VÄRMLANDS LÄN</t>
        </is>
      </c>
      <c r="E792" t="inlineStr">
        <is>
          <t>KARLSTAD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43545-2023</t>
        </is>
      </c>
      <c r="B793" s="1" t="n">
        <v>45184</v>
      </c>
      <c r="C793" s="1" t="n">
        <v>45640</v>
      </c>
      <c r="D793" t="inlineStr">
        <is>
          <t>VÄRMLANDS LÄN</t>
        </is>
      </c>
      <c r="E793" t="inlineStr">
        <is>
          <t>KARLSTAD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45265-2023</t>
        </is>
      </c>
      <c r="B794" s="1" t="n">
        <v>45187</v>
      </c>
      <c r="C794" s="1" t="n">
        <v>45640</v>
      </c>
      <c r="D794" t="inlineStr">
        <is>
          <t>VÄRMLANDS LÄN</t>
        </is>
      </c>
      <c r="E794" t="inlineStr">
        <is>
          <t>KARLSTAD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45287-2023</t>
        </is>
      </c>
      <c r="B795" s="1" t="n">
        <v>45187</v>
      </c>
      <c r="C795" s="1" t="n">
        <v>45640</v>
      </c>
      <c r="D795" t="inlineStr">
        <is>
          <t>VÄRMLANDS LÄN</t>
        </is>
      </c>
      <c r="E795" t="inlineStr">
        <is>
          <t>KARLSTAD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50709-2023</t>
        </is>
      </c>
      <c r="B796" s="1" t="n">
        <v>45187</v>
      </c>
      <c r="C796" s="1" t="n">
        <v>45640</v>
      </c>
      <c r="D796" t="inlineStr">
        <is>
          <t>VÄRMLANDS LÄN</t>
        </is>
      </c>
      <c r="E796" t="inlineStr">
        <is>
          <t>KARLSTAD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44364-2023</t>
        </is>
      </c>
      <c r="B797" s="1" t="n">
        <v>45188</v>
      </c>
      <c r="C797" s="1" t="n">
        <v>45640</v>
      </c>
      <c r="D797" t="inlineStr">
        <is>
          <t>VÄRMLANDS LÄN</t>
        </is>
      </c>
      <c r="E797" t="inlineStr">
        <is>
          <t>KARLSTAD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46098-2023</t>
        </is>
      </c>
      <c r="B798" s="1" t="n">
        <v>45196</v>
      </c>
      <c r="C798" s="1" t="n">
        <v>45640</v>
      </c>
      <c r="D798" t="inlineStr">
        <is>
          <t>VÄRMLANDS LÄN</t>
        </is>
      </c>
      <c r="E798" t="inlineStr">
        <is>
          <t>KARLSTAD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46019-2023</t>
        </is>
      </c>
      <c r="B799" s="1" t="n">
        <v>45196</v>
      </c>
      <c r="C799" s="1" t="n">
        <v>45640</v>
      </c>
      <c r="D799" t="inlineStr">
        <is>
          <t>VÄRMLANDS LÄN</t>
        </is>
      </c>
      <c r="E799" t="inlineStr">
        <is>
          <t>KARLSTAD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46097-2023</t>
        </is>
      </c>
      <c r="B800" s="1" t="n">
        <v>45196</v>
      </c>
      <c r="C800" s="1" t="n">
        <v>45640</v>
      </c>
      <c r="D800" t="inlineStr">
        <is>
          <t>VÄRMLANDS LÄN</t>
        </is>
      </c>
      <c r="E800" t="inlineStr">
        <is>
          <t>KARLSTAD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46096-2023</t>
        </is>
      </c>
      <c r="B801" s="1" t="n">
        <v>45196</v>
      </c>
      <c r="C801" s="1" t="n">
        <v>45640</v>
      </c>
      <c r="D801" t="inlineStr">
        <is>
          <t>VÄRMLANDS LÄN</t>
        </is>
      </c>
      <c r="E801" t="inlineStr">
        <is>
          <t>KARLSTAD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47561-2023</t>
        </is>
      </c>
      <c r="B802" s="1" t="n">
        <v>45197</v>
      </c>
      <c r="C802" s="1" t="n">
        <v>45640</v>
      </c>
      <c r="D802" t="inlineStr">
        <is>
          <t>VÄRMLANDS LÄN</t>
        </is>
      </c>
      <c r="E802" t="inlineStr">
        <is>
          <t>KARLSTAD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46961-2023</t>
        </is>
      </c>
      <c r="B803" s="1" t="n">
        <v>45201</v>
      </c>
      <c r="C803" s="1" t="n">
        <v>45640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46967-2023</t>
        </is>
      </c>
      <c r="B804" s="1" t="n">
        <v>45201</v>
      </c>
      <c r="C804" s="1" t="n">
        <v>45640</v>
      </c>
      <c r="D804" t="inlineStr">
        <is>
          <t>VÄRMLANDS LÄN</t>
        </is>
      </c>
      <c r="E804" t="inlineStr">
        <is>
          <t>KARLSTAD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47608-2023</t>
        </is>
      </c>
      <c r="B805" s="1" t="n">
        <v>45203</v>
      </c>
      <c r="C805" s="1" t="n">
        <v>45640</v>
      </c>
      <c r="D805" t="inlineStr">
        <is>
          <t>VÄRMLANDS LÄN</t>
        </is>
      </c>
      <c r="E805" t="inlineStr">
        <is>
          <t>KARLSTAD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47520-2023</t>
        </is>
      </c>
      <c r="B806" s="1" t="n">
        <v>45203</v>
      </c>
      <c r="C806" s="1" t="n">
        <v>45640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47897-2023</t>
        </is>
      </c>
      <c r="B807" s="1" t="n">
        <v>45204</v>
      </c>
      <c r="C807" s="1" t="n">
        <v>45640</v>
      </c>
      <c r="D807" t="inlineStr">
        <is>
          <t>VÄRMLANDS LÄN</t>
        </is>
      </c>
      <c r="E807" t="inlineStr">
        <is>
          <t>KARLSTAD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47929-2023</t>
        </is>
      </c>
      <c r="B808" s="1" t="n">
        <v>45204</v>
      </c>
      <c r="C808" s="1" t="n">
        <v>45640</v>
      </c>
      <c r="D808" t="inlineStr">
        <is>
          <t>VÄRMLANDS LÄN</t>
        </is>
      </c>
      <c r="E808" t="inlineStr">
        <is>
          <t>KARLSTAD</t>
        </is>
      </c>
      <c r="F808" t="inlineStr">
        <is>
          <t>Kommuner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48616-2023</t>
        </is>
      </c>
      <c r="B809" s="1" t="n">
        <v>45208</v>
      </c>
      <c r="C809" s="1" t="n">
        <v>45640</v>
      </c>
      <c r="D809" t="inlineStr">
        <is>
          <t>VÄRMLANDS LÄN</t>
        </is>
      </c>
      <c r="E809" t="inlineStr">
        <is>
          <t>KARLSTAD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49164-2023</t>
        </is>
      </c>
      <c r="B810" s="1" t="n">
        <v>45210</v>
      </c>
      <c r="C810" s="1" t="n">
        <v>45640</v>
      </c>
      <c r="D810" t="inlineStr">
        <is>
          <t>VÄRMLANDS LÄN</t>
        </is>
      </c>
      <c r="E810" t="inlineStr">
        <is>
          <t>KARLSTAD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49628-2023</t>
        </is>
      </c>
      <c r="B811" s="1" t="n">
        <v>45211</v>
      </c>
      <c r="C811" s="1" t="n">
        <v>45640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50526-2023</t>
        </is>
      </c>
      <c r="B812" s="1" t="n">
        <v>45217</v>
      </c>
      <c r="C812" s="1" t="n">
        <v>45640</v>
      </c>
      <c r="D812" t="inlineStr">
        <is>
          <t>VÄRMLANDS LÄN</t>
        </is>
      </c>
      <c r="E812" t="inlineStr">
        <is>
          <t>KARLSTAD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50895-2023</t>
        </is>
      </c>
      <c r="B813" s="1" t="n">
        <v>45218</v>
      </c>
      <c r="C813" s="1" t="n">
        <v>45640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51088-2023</t>
        </is>
      </c>
      <c r="B814" s="1" t="n">
        <v>45218</v>
      </c>
      <c r="C814" s="1" t="n">
        <v>45640</v>
      </c>
      <c r="D814" t="inlineStr">
        <is>
          <t>VÄRMLANDS LÄN</t>
        </is>
      </c>
      <c r="E814" t="inlineStr">
        <is>
          <t>KARLSTAD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52799-2023</t>
        </is>
      </c>
      <c r="B815" s="1" t="n">
        <v>45219</v>
      </c>
      <c r="C815" s="1" t="n">
        <v>45640</v>
      </c>
      <c r="D815" t="inlineStr">
        <is>
          <t>VÄRMLANDS LÄN</t>
        </is>
      </c>
      <c r="E815" t="inlineStr">
        <is>
          <t>KARLSTAD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51349-2023</t>
        </is>
      </c>
      <c r="B816" s="1" t="n">
        <v>45219</v>
      </c>
      <c r="C816" s="1" t="n">
        <v>45640</v>
      </c>
      <c r="D816" t="inlineStr">
        <is>
          <t>VÄRMLANDS LÄN</t>
        </is>
      </c>
      <c r="E816" t="inlineStr">
        <is>
          <t>KARLSTAD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51509-2023</t>
        </is>
      </c>
      <c r="B817" s="1" t="n">
        <v>45222</v>
      </c>
      <c r="C817" s="1" t="n">
        <v>45640</v>
      </c>
      <c r="D817" t="inlineStr">
        <is>
          <t>VÄRMLANDS LÄN</t>
        </is>
      </c>
      <c r="E817" t="inlineStr">
        <is>
          <t>KARLSTAD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51651-2023</t>
        </is>
      </c>
      <c r="B818" s="1" t="n">
        <v>45222</v>
      </c>
      <c r="C818" s="1" t="n">
        <v>45640</v>
      </c>
      <c r="D818" t="inlineStr">
        <is>
          <t>VÄRMLANDS LÄN</t>
        </is>
      </c>
      <c r="E818" t="inlineStr">
        <is>
          <t>KARLSTAD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51760-2023</t>
        </is>
      </c>
      <c r="B819" s="1" t="n">
        <v>45222</v>
      </c>
      <c r="C819" s="1" t="n">
        <v>45640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51745-2023</t>
        </is>
      </c>
      <c r="B820" s="1" t="n">
        <v>45222</v>
      </c>
      <c r="C820" s="1" t="n">
        <v>45640</v>
      </c>
      <c r="D820" t="inlineStr">
        <is>
          <t>VÄRMLANDS LÄN</t>
        </is>
      </c>
      <c r="E820" t="inlineStr">
        <is>
          <t>KARLSTAD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51511-2023</t>
        </is>
      </c>
      <c r="B821" s="1" t="n">
        <v>45222</v>
      </c>
      <c r="C821" s="1" t="n">
        <v>45640</v>
      </c>
      <c r="D821" t="inlineStr">
        <is>
          <t>VÄRMLANDS LÄN</t>
        </is>
      </c>
      <c r="E821" t="inlineStr">
        <is>
          <t>KARLSTAD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51663-2023</t>
        </is>
      </c>
      <c r="B822" s="1" t="n">
        <v>45222</v>
      </c>
      <c r="C822" s="1" t="n">
        <v>45640</v>
      </c>
      <c r="D822" t="inlineStr">
        <is>
          <t>VÄRMLANDS LÄN</t>
        </is>
      </c>
      <c r="E822" t="inlineStr">
        <is>
          <t>KARLSTAD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51758-2023</t>
        </is>
      </c>
      <c r="B823" s="1" t="n">
        <v>45222</v>
      </c>
      <c r="C823" s="1" t="n">
        <v>45640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52056-2023</t>
        </is>
      </c>
      <c r="B824" s="1" t="n">
        <v>45223</v>
      </c>
      <c r="C824" s="1" t="n">
        <v>45640</v>
      </c>
      <c r="D824" t="inlineStr">
        <is>
          <t>VÄRMLANDS LÄN</t>
        </is>
      </c>
      <c r="E824" t="inlineStr">
        <is>
          <t>KARLSTAD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52757-2023</t>
        </is>
      </c>
      <c r="B825" s="1" t="n">
        <v>45226</v>
      </c>
      <c r="C825" s="1" t="n">
        <v>45640</v>
      </c>
      <c r="D825" t="inlineStr">
        <is>
          <t>VÄRMLANDS LÄN</t>
        </is>
      </c>
      <c r="E825" t="inlineStr">
        <is>
          <t>KARLSTAD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53150-2023</t>
        </is>
      </c>
      <c r="B826" s="1" t="n">
        <v>45229</v>
      </c>
      <c r="C826" s="1" t="n">
        <v>45640</v>
      </c>
      <c r="D826" t="inlineStr">
        <is>
          <t>VÄRMLANDS LÄN</t>
        </is>
      </c>
      <c r="E826" t="inlineStr">
        <is>
          <t>KARLSTAD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53250-2023</t>
        </is>
      </c>
      <c r="B827" s="1" t="n">
        <v>45229</v>
      </c>
      <c r="C827" s="1" t="n">
        <v>45640</v>
      </c>
      <c r="D827" t="inlineStr">
        <is>
          <t>VÄRMLANDS LÄN</t>
        </is>
      </c>
      <c r="E827" t="inlineStr">
        <is>
          <t>KARLSTAD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53305-2023</t>
        </is>
      </c>
      <c r="B828" s="1" t="n">
        <v>45229</v>
      </c>
      <c r="C828" s="1" t="n">
        <v>45640</v>
      </c>
      <c r="D828" t="inlineStr">
        <is>
          <t>VÄRMLANDS LÄN</t>
        </is>
      </c>
      <c r="E828" t="inlineStr">
        <is>
          <t>KARLSTAD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54103-2023</t>
        </is>
      </c>
      <c r="B829" s="1" t="n">
        <v>45232</v>
      </c>
      <c r="C829" s="1" t="n">
        <v>45640</v>
      </c>
      <c r="D829" t="inlineStr">
        <is>
          <t>VÄRMLANDS LÄN</t>
        </is>
      </c>
      <c r="E829" t="inlineStr">
        <is>
          <t>KARLSTAD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54123-2023</t>
        </is>
      </c>
      <c r="B830" s="1" t="n">
        <v>45232</v>
      </c>
      <c r="C830" s="1" t="n">
        <v>45640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56414-2023</t>
        </is>
      </c>
      <c r="B831" s="1" t="n">
        <v>45237</v>
      </c>
      <c r="C831" s="1" t="n">
        <v>45640</v>
      </c>
      <c r="D831" t="inlineStr">
        <is>
          <t>VÄRMLANDS LÄN</t>
        </is>
      </c>
      <c r="E831" t="inlineStr">
        <is>
          <t>KARLSTAD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55346-2023</t>
        </is>
      </c>
      <c r="B832" s="1" t="n">
        <v>45238</v>
      </c>
      <c r="C832" s="1" t="n">
        <v>45640</v>
      </c>
      <c r="D832" t="inlineStr">
        <is>
          <t>VÄRMLANDS LÄN</t>
        </is>
      </c>
      <c r="E832" t="inlineStr">
        <is>
          <t>KARLSTAD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55506-2023</t>
        </is>
      </c>
      <c r="B833" s="1" t="n">
        <v>45238</v>
      </c>
      <c r="C833" s="1" t="n">
        <v>45640</v>
      </c>
      <c r="D833" t="inlineStr">
        <is>
          <t>VÄRMLANDS LÄN</t>
        </is>
      </c>
      <c r="E833" t="inlineStr">
        <is>
          <t>KARLSTAD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55499-2023</t>
        </is>
      </c>
      <c r="B834" s="1" t="n">
        <v>45238</v>
      </c>
      <c r="C834" s="1" t="n">
        <v>45640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56218-2023</t>
        </is>
      </c>
      <c r="B835" s="1" t="n">
        <v>45240</v>
      </c>
      <c r="C835" s="1" t="n">
        <v>45640</v>
      </c>
      <c r="D835" t="inlineStr">
        <is>
          <t>VÄRMLANDS LÄN</t>
        </is>
      </c>
      <c r="E835" t="inlineStr">
        <is>
          <t>KARLSTAD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56041-2023</t>
        </is>
      </c>
      <c r="B836" s="1" t="n">
        <v>45240</v>
      </c>
      <c r="C836" s="1" t="n">
        <v>45640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56327-2023</t>
        </is>
      </c>
      <c r="B837" s="1" t="n">
        <v>45243</v>
      </c>
      <c r="C837" s="1" t="n">
        <v>45640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56574-2023</t>
        </is>
      </c>
      <c r="B838" s="1" t="n">
        <v>45243</v>
      </c>
      <c r="C838" s="1" t="n">
        <v>45640</v>
      </c>
      <c r="D838" t="inlineStr">
        <is>
          <t>VÄRMLANDS LÄN</t>
        </is>
      </c>
      <c r="E838" t="inlineStr">
        <is>
          <t>KARLSTAD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56521-2023</t>
        </is>
      </c>
      <c r="B839" s="1" t="n">
        <v>45243</v>
      </c>
      <c r="C839" s="1" t="n">
        <v>45640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57627-2023</t>
        </is>
      </c>
      <c r="B840" s="1" t="n">
        <v>45246</v>
      </c>
      <c r="C840" s="1" t="n">
        <v>45640</v>
      </c>
      <c r="D840" t="inlineStr">
        <is>
          <t>VÄRMLANDS LÄN</t>
        </is>
      </c>
      <c r="E840" t="inlineStr">
        <is>
          <t>KARLSTAD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58671-2023</t>
        </is>
      </c>
      <c r="B841" s="1" t="n">
        <v>45251</v>
      </c>
      <c r="C841" s="1" t="n">
        <v>45640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58690-2023</t>
        </is>
      </c>
      <c r="B842" s="1" t="n">
        <v>45251</v>
      </c>
      <c r="C842" s="1" t="n">
        <v>45640</v>
      </c>
      <c r="D842" t="inlineStr">
        <is>
          <t>VÄRMLANDS LÄN</t>
        </is>
      </c>
      <c r="E842" t="inlineStr">
        <is>
          <t>KARLSTAD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58694-2023</t>
        </is>
      </c>
      <c r="B843" s="1" t="n">
        <v>45251</v>
      </c>
      <c r="C843" s="1" t="n">
        <v>45640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59053-2023</t>
        </is>
      </c>
      <c r="B844" s="1" t="n">
        <v>45252</v>
      </c>
      <c r="C844" s="1" t="n">
        <v>45640</v>
      </c>
      <c r="D844" t="inlineStr">
        <is>
          <t>VÄRMLANDS LÄN</t>
        </is>
      </c>
      <c r="E844" t="inlineStr">
        <is>
          <t>KARLSTAD</t>
        </is>
      </c>
      <c r="G844" t="n">
        <v>21.7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59055-2023</t>
        </is>
      </c>
      <c r="B845" s="1" t="n">
        <v>45252</v>
      </c>
      <c r="C845" s="1" t="n">
        <v>45640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59204-2023</t>
        </is>
      </c>
      <c r="B846" s="1" t="n">
        <v>45253</v>
      </c>
      <c r="C846" s="1" t="n">
        <v>45640</v>
      </c>
      <c r="D846" t="inlineStr">
        <is>
          <t>VÄRMLANDS LÄN</t>
        </is>
      </c>
      <c r="E846" t="inlineStr">
        <is>
          <t>KARLSTAD</t>
        </is>
      </c>
      <c r="F846" t="inlineStr">
        <is>
          <t>Kommuner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60022-2023</t>
        </is>
      </c>
      <c r="B847" s="1" t="n">
        <v>45258</v>
      </c>
      <c r="C847" s="1" t="n">
        <v>45640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60020-2023</t>
        </is>
      </c>
      <c r="B848" s="1" t="n">
        <v>45258</v>
      </c>
      <c r="C848" s="1" t="n">
        <v>45640</v>
      </c>
      <c r="D848" t="inlineStr">
        <is>
          <t>VÄRMLANDS LÄN</t>
        </is>
      </c>
      <c r="E848" t="inlineStr">
        <is>
          <t>KARLSTAD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60025-2023</t>
        </is>
      </c>
      <c r="B849" s="1" t="n">
        <v>45258</v>
      </c>
      <c r="C849" s="1" t="n">
        <v>45640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60163-2023</t>
        </is>
      </c>
      <c r="B850" s="1" t="n">
        <v>45258</v>
      </c>
      <c r="C850" s="1" t="n">
        <v>45640</v>
      </c>
      <c r="D850" t="inlineStr">
        <is>
          <t>VÄRMLANDS LÄN</t>
        </is>
      </c>
      <c r="E850" t="inlineStr">
        <is>
          <t>KARLSTAD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60184-2023</t>
        </is>
      </c>
      <c r="B851" s="1" t="n">
        <v>45258</v>
      </c>
      <c r="C851" s="1" t="n">
        <v>45640</v>
      </c>
      <c r="D851" t="inlineStr">
        <is>
          <t>VÄRMLANDS LÄN</t>
        </is>
      </c>
      <c r="E851" t="inlineStr">
        <is>
          <t>KARLSTAD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60430-2023</t>
        </is>
      </c>
      <c r="B852" s="1" t="n">
        <v>45259</v>
      </c>
      <c r="C852" s="1" t="n">
        <v>45640</v>
      </c>
      <c r="D852" t="inlineStr">
        <is>
          <t>VÄRMLANDS LÄN</t>
        </is>
      </c>
      <c r="E852" t="inlineStr">
        <is>
          <t>KARLSTAD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60609-2023</t>
        </is>
      </c>
      <c r="B853" s="1" t="n">
        <v>45260</v>
      </c>
      <c r="C853" s="1" t="n">
        <v>45640</v>
      </c>
      <c r="D853" t="inlineStr">
        <is>
          <t>VÄRMLANDS LÄN</t>
        </is>
      </c>
      <c r="E853" t="inlineStr">
        <is>
          <t>KARLSTAD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61095-2023</t>
        </is>
      </c>
      <c r="B854" s="1" t="n">
        <v>45260</v>
      </c>
      <c r="C854" s="1" t="n">
        <v>45640</v>
      </c>
      <c r="D854" t="inlineStr">
        <is>
          <t>VÄRMLANDS LÄN</t>
        </is>
      </c>
      <c r="E854" t="inlineStr">
        <is>
          <t>KARLSTAD</t>
        </is>
      </c>
      <c r="G854" t="n">
        <v>10.4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61111-2023</t>
        </is>
      </c>
      <c r="B855" s="1" t="n">
        <v>45260</v>
      </c>
      <c r="C855" s="1" t="n">
        <v>45640</v>
      </c>
      <c r="D855" t="inlineStr">
        <is>
          <t>VÄRMLANDS LÄN</t>
        </is>
      </c>
      <c r="E855" t="inlineStr">
        <is>
          <t>KARLSTAD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61084-2023</t>
        </is>
      </c>
      <c r="B856" s="1" t="n">
        <v>45260</v>
      </c>
      <c r="C856" s="1" t="n">
        <v>45640</v>
      </c>
      <c r="D856" t="inlineStr">
        <is>
          <t>VÄRMLANDS LÄN</t>
        </is>
      </c>
      <c r="E856" t="inlineStr">
        <is>
          <t>KARLSTAD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61102-2023</t>
        </is>
      </c>
      <c r="B857" s="1" t="n">
        <v>45260</v>
      </c>
      <c r="C857" s="1" t="n">
        <v>45640</v>
      </c>
      <c r="D857" t="inlineStr">
        <is>
          <t>VÄRMLANDS LÄN</t>
        </is>
      </c>
      <c r="E857" t="inlineStr">
        <is>
          <t>KARLSTAD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61112-2023</t>
        </is>
      </c>
      <c r="B858" s="1" t="n">
        <v>45260</v>
      </c>
      <c r="C858" s="1" t="n">
        <v>45640</v>
      </c>
      <c r="D858" t="inlineStr">
        <is>
          <t>VÄRMLANDS LÄN</t>
        </is>
      </c>
      <c r="E858" t="inlineStr">
        <is>
          <t>KARLSTAD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61070-2023</t>
        </is>
      </c>
      <c r="B859" s="1" t="n">
        <v>45260</v>
      </c>
      <c r="C859" s="1" t="n">
        <v>45640</v>
      </c>
      <c r="D859" t="inlineStr">
        <is>
          <t>VÄRMLANDS LÄN</t>
        </is>
      </c>
      <c r="E859" t="inlineStr">
        <is>
          <t>KARLSTAD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61108-2023</t>
        </is>
      </c>
      <c r="B860" s="1" t="n">
        <v>45260</v>
      </c>
      <c r="C860" s="1" t="n">
        <v>45640</v>
      </c>
      <c r="D860" t="inlineStr">
        <is>
          <t>VÄRMLANDS LÄN</t>
        </is>
      </c>
      <c r="E860" t="inlineStr">
        <is>
          <t>KARLSTAD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61106-2023</t>
        </is>
      </c>
      <c r="B861" s="1" t="n">
        <v>45260</v>
      </c>
      <c r="C861" s="1" t="n">
        <v>45640</v>
      </c>
      <c r="D861" t="inlineStr">
        <is>
          <t>VÄRMLANDS LÄN</t>
        </is>
      </c>
      <c r="E861" t="inlineStr">
        <is>
          <t>KARLSTAD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60947-2023</t>
        </is>
      </c>
      <c r="B862" s="1" t="n">
        <v>45261</v>
      </c>
      <c r="C862" s="1" t="n">
        <v>45640</v>
      </c>
      <c r="D862" t="inlineStr">
        <is>
          <t>VÄRMLANDS LÄN</t>
        </is>
      </c>
      <c r="E862" t="inlineStr">
        <is>
          <t>KARLSTAD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61023-2023</t>
        </is>
      </c>
      <c r="B863" s="1" t="n">
        <v>45261</v>
      </c>
      <c r="C863" s="1" t="n">
        <v>45640</v>
      </c>
      <c r="D863" t="inlineStr">
        <is>
          <t>VÄRMLANDS LÄN</t>
        </is>
      </c>
      <c r="E863" t="inlineStr">
        <is>
          <t>KARLSTAD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61005-2023</t>
        </is>
      </c>
      <c r="B864" s="1" t="n">
        <v>45261</v>
      </c>
      <c r="C864" s="1" t="n">
        <v>45640</v>
      </c>
      <c r="D864" t="inlineStr">
        <is>
          <t>VÄRMLANDS LÄN</t>
        </is>
      </c>
      <c r="E864" t="inlineStr">
        <is>
          <t>KARLSTAD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61009-2023</t>
        </is>
      </c>
      <c r="B865" s="1" t="n">
        <v>45261</v>
      </c>
      <c r="C865" s="1" t="n">
        <v>45640</v>
      </c>
      <c r="D865" t="inlineStr">
        <is>
          <t>VÄRMLANDS LÄN</t>
        </is>
      </c>
      <c r="E865" t="inlineStr">
        <is>
          <t>KARLSTAD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61022-2023</t>
        </is>
      </c>
      <c r="B866" s="1" t="n">
        <v>45261</v>
      </c>
      <c r="C866" s="1" t="n">
        <v>45640</v>
      </c>
      <c r="D866" t="inlineStr">
        <is>
          <t>VÄRMLANDS LÄN</t>
        </is>
      </c>
      <c r="E866" t="inlineStr">
        <is>
          <t>KARLSTAD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61330-2023</t>
        </is>
      </c>
      <c r="B867" s="1" t="n">
        <v>45264</v>
      </c>
      <c r="C867" s="1" t="n">
        <v>45640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61294-2023</t>
        </is>
      </c>
      <c r="B868" s="1" t="n">
        <v>45264</v>
      </c>
      <c r="C868" s="1" t="n">
        <v>45640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61291-2023</t>
        </is>
      </c>
      <c r="B869" s="1" t="n">
        <v>45264</v>
      </c>
      <c r="C869" s="1" t="n">
        <v>45640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61296-2023</t>
        </is>
      </c>
      <c r="B870" s="1" t="n">
        <v>45264</v>
      </c>
      <c r="C870" s="1" t="n">
        <v>45640</v>
      </c>
      <c r="D870" t="inlineStr">
        <is>
          <t>VÄRMLANDS LÄN</t>
        </is>
      </c>
      <c r="E870" t="inlineStr">
        <is>
          <t>KARLSTAD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61826-2023</t>
        </is>
      </c>
      <c r="B871" s="1" t="n">
        <v>45264</v>
      </c>
      <c r="C871" s="1" t="n">
        <v>45640</v>
      </c>
      <c r="D871" t="inlineStr">
        <is>
          <t>VÄRMLANDS LÄN</t>
        </is>
      </c>
      <c r="E871" t="inlineStr">
        <is>
          <t>KARLSTAD</t>
        </is>
      </c>
      <c r="G871" t="n">
        <v>15.1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62304-2023</t>
        </is>
      </c>
      <c r="B872" s="1" t="n">
        <v>45267</v>
      </c>
      <c r="C872" s="1" t="n">
        <v>45640</v>
      </c>
      <c r="D872" t="inlineStr">
        <is>
          <t>VÄRMLANDS LÄN</t>
        </is>
      </c>
      <c r="E872" t="inlineStr">
        <is>
          <t>KARLSTAD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62920-2023</t>
        </is>
      </c>
      <c r="B873" s="1" t="n">
        <v>45272</v>
      </c>
      <c r="C873" s="1" t="n">
        <v>45640</v>
      </c>
      <c r="D873" t="inlineStr">
        <is>
          <t>VÄRMLANDS LÄN</t>
        </is>
      </c>
      <c r="E873" t="inlineStr">
        <is>
          <t>KARLSTAD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62897-2023</t>
        </is>
      </c>
      <c r="B874" s="1" t="n">
        <v>45272</v>
      </c>
      <c r="C874" s="1" t="n">
        <v>45640</v>
      </c>
      <c r="D874" t="inlineStr">
        <is>
          <t>VÄRMLANDS LÄN</t>
        </is>
      </c>
      <c r="E874" t="inlineStr">
        <is>
          <t>KARLSTAD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62917-2023</t>
        </is>
      </c>
      <c r="B875" s="1" t="n">
        <v>45272</v>
      </c>
      <c r="C875" s="1" t="n">
        <v>45640</v>
      </c>
      <c r="D875" t="inlineStr">
        <is>
          <t>VÄRMLANDS LÄN</t>
        </is>
      </c>
      <c r="E875" t="inlineStr">
        <is>
          <t>KARLSTAD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62923-2023</t>
        </is>
      </c>
      <c r="B876" s="1" t="n">
        <v>45272</v>
      </c>
      <c r="C876" s="1" t="n">
        <v>45640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62902-2023</t>
        </is>
      </c>
      <c r="B877" s="1" t="n">
        <v>45272</v>
      </c>
      <c r="C877" s="1" t="n">
        <v>45640</v>
      </c>
      <c r="D877" t="inlineStr">
        <is>
          <t>VÄRMLANDS LÄN</t>
        </is>
      </c>
      <c r="E877" t="inlineStr">
        <is>
          <t>KARLSTAD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63282-2023</t>
        </is>
      </c>
      <c r="B878" s="1" t="n">
        <v>45273</v>
      </c>
      <c r="C878" s="1" t="n">
        <v>45640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63280-2023</t>
        </is>
      </c>
      <c r="B879" s="1" t="n">
        <v>45273</v>
      </c>
      <c r="C879" s="1" t="n">
        <v>45640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64059-2023</t>
        </is>
      </c>
      <c r="B880" s="1" t="n">
        <v>45279</v>
      </c>
      <c r="C880" s="1" t="n">
        <v>45640</v>
      </c>
      <c r="D880" t="inlineStr">
        <is>
          <t>VÄRMLANDS LÄN</t>
        </is>
      </c>
      <c r="E880" t="inlineStr">
        <is>
          <t>KARLSTAD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64061-2023</t>
        </is>
      </c>
      <c r="B881" s="1" t="n">
        <v>45279</v>
      </c>
      <c r="C881" s="1" t="n">
        <v>45640</v>
      </c>
      <c r="D881" t="inlineStr">
        <is>
          <t>VÄRMLANDS LÄN</t>
        </is>
      </c>
      <c r="E881" t="inlineStr">
        <is>
          <t>KARLSTAD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64525-2023</t>
        </is>
      </c>
      <c r="B882" s="1" t="n">
        <v>45281</v>
      </c>
      <c r="C882" s="1" t="n">
        <v>45640</v>
      </c>
      <c r="D882" t="inlineStr">
        <is>
          <t>VÄRMLANDS LÄN</t>
        </is>
      </c>
      <c r="E882" t="inlineStr">
        <is>
          <t>KARLSTAD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64741-2023</t>
        </is>
      </c>
      <c r="B883" s="1" t="n">
        <v>45281</v>
      </c>
      <c r="C883" s="1" t="n">
        <v>45640</v>
      </c>
      <c r="D883" t="inlineStr">
        <is>
          <t>VÄRMLANDS LÄN</t>
        </is>
      </c>
      <c r="E883" t="inlineStr">
        <is>
          <t>KARLSTAD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64777-2023</t>
        </is>
      </c>
      <c r="B884" s="1" t="n">
        <v>45282</v>
      </c>
      <c r="C884" s="1" t="n">
        <v>45640</v>
      </c>
      <c r="D884" t="inlineStr">
        <is>
          <t>VÄRMLANDS LÄN</t>
        </is>
      </c>
      <c r="E884" t="inlineStr">
        <is>
          <t>KARLSTAD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64778-2023</t>
        </is>
      </c>
      <c r="B885" s="1" t="n">
        <v>45282</v>
      </c>
      <c r="C885" s="1" t="n">
        <v>45640</v>
      </c>
      <c r="D885" t="inlineStr">
        <is>
          <t>VÄRMLANDS LÄN</t>
        </is>
      </c>
      <c r="E885" t="inlineStr">
        <is>
          <t>KARLSTAD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64775-2023</t>
        </is>
      </c>
      <c r="B886" s="1" t="n">
        <v>45282</v>
      </c>
      <c r="C886" s="1" t="n">
        <v>45640</v>
      </c>
      <c r="D886" t="inlineStr">
        <is>
          <t>VÄRMLANDS LÄN</t>
        </is>
      </c>
      <c r="E886" t="inlineStr">
        <is>
          <t>KARLSTAD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64807-2023</t>
        </is>
      </c>
      <c r="B887" s="1" t="n">
        <v>45282</v>
      </c>
      <c r="C887" s="1" t="n">
        <v>45640</v>
      </c>
      <c r="D887" t="inlineStr">
        <is>
          <t>VÄRMLANDS LÄN</t>
        </is>
      </c>
      <c r="E887" t="inlineStr">
        <is>
          <t>KARLSTAD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65085-2023</t>
        </is>
      </c>
      <c r="B888" s="1" t="n">
        <v>45288</v>
      </c>
      <c r="C888" s="1" t="n">
        <v>45640</v>
      </c>
      <c r="D888" t="inlineStr">
        <is>
          <t>VÄRMLANDS LÄN</t>
        </is>
      </c>
      <c r="E888" t="inlineStr">
        <is>
          <t>KARLSTAD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65086-2023</t>
        </is>
      </c>
      <c r="B889" s="1" t="n">
        <v>45288</v>
      </c>
      <c r="C889" s="1" t="n">
        <v>45640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509-2024</t>
        </is>
      </c>
      <c r="B890" s="1" t="n">
        <v>45299</v>
      </c>
      <c r="C890" s="1" t="n">
        <v>45640</v>
      </c>
      <c r="D890" t="inlineStr">
        <is>
          <t>VÄRMLANDS LÄN</t>
        </is>
      </c>
      <c r="E890" t="inlineStr">
        <is>
          <t>KARLSTAD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610-2024</t>
        </is>
      </c>
      <c r="B891" s="1" t="n">
        <v>45299</v>
      </c>
      <c r="C891" s="1" t="n">
        <v>45640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618-2024</t>
        </is>
      </c>
      <c r="B892" s="1" t="n">
        <v>45299</v>
      </c>
      <c r="C892" s="1" t="n">
        <v>45640</v>
      </c>
      <c r="D892" t="inlineStr">
        <is>
          <t>VÄRMLANDS LÄN</t>
        </is>
      </c>
      <c r="E892" t="inlineStr">
        <is>
          <t>KARLSTAD</t>
        </is>
      </c>
      <c r="G892" t="n">
        <v>10.9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512-2024</t>
        </is>
      </c>
      <c r="B893" s="1" t="n">
        <v>45299</v>
      </c>
      <c r="C893" s="1" t="n">
        <v>45640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621-2024</t>
        </is>
      </c>
      <c r="B894" s="1" t="n">
        <v>45299</v>
      </c>
      <c r="C894" s="1" t="n">
        <v>45640</v>
      </c>
      <c r="D894" t="inlineStr">
        <is>
          <t>VÄRMLANDS LÄN</t>
        </is>
      </c>
      <c r="E894" t="inlineStr">
        <is>
          <t>KARLSTAD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596-2024</t>
        </is>
      </c>
      <c r="B895" s="1" t="n">
        <v>45299</v>
      </c>
      <c r="C895" s="1" t="n">
        <v>45640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553-2024</t>
        </is>
      </c>
      <c r="B896" s="1" t="n">
        <v>45299</v>
      </c>
      <c r="C896" s="1" t="n">
        <v>45640</v>
      </c>
      <c r="D896" t="inlineStr">
        <is>
          <t>VÄRMLANDS LÄN</t>
        </is>
      </c>
      <c r="E896" t="inlineStr">
        <is>
          <t>KARLSTAD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744-2024</t>
        </is>
      </c>
      <c r="B897" s="1" t="n">
        <v>45300</v>
      </c>
      <c r="C897" s="1" t="n">
        <v>45640</v>
      </c>
      <c r="D897" t="inlineStr">
        <is>
          <t>VÄRMLANDS LÄN</t>
        </is>
      </c>
      <c r="E897" t="inlineStr">
        <is>
          <t>KARLSTAD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1165-2024</t>
        </is>
      </c>
      <c r="B898" s="1" t="n">
        <v>45302</v>
      </c>
      <c r="C898" s="1" t="n">
        <v>45640</v>
      </c>
      <c r="D898" t="inlineStr">
        <is>
          <t>VÄRMLANDS LÄN</t>
        </is>
      </c>
      <c r="E898" t="inlineStr">
        <is>
          <t>KARLSTAD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1649-2024</t>
        </is>
      </c>
      <c r="B899" s="1" t="n">
        <v>45306</v>
      </c>
      <c r="C899" s="1" t="n">
        <v>45640</v>
      </c>
      <c r="D899" t="inlineStr">
        <is>
          <t>VÄRMLANDS LÄN</t>
        </is>
      </c>
      <c r="E899" t="inlineStr">
        <is>
          <t>KARLSTAD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1648-2024</t>
        </is>
      </c>
      <c r="B900" s="1" t="n">
        <v>45306</v>
      </c>
      <c r="C900" s="1" t="n">
        <v>45640</v>
      </c>
      <c r="D900" t="inlineStr">
        <is>
          <t>VÄRMLANDS LÄN</t>
        </is>
      </c>
      <c r="E900" t="inlineStr">
        <is>
          <t>KARLSTAD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1841-2024</t>
        </is>
      </c>
      <c r="B901" s="1" t="n">
        <v>45307</v>
      </c>
      <c r="C901" s="1" t="n">
        <v>45640</v>
      </c>
      <c r="D901" t="inlineStr">
        <is>
          <t>VÄRMLANDS LÄN</t>
        </is>
      </c>
      <c r="E901" t="inlineStr">
        <is>
          <t>KARLSTAD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1690-2024</t>
        </is>
      </c>
      <c r="B902" s="1" t="n">
        <v>45307</v>
      </c>
      <c r="C902" s="1" t="n">
        <v>45640</v>
      </c>
      <c r="D902" t="inlineStr">
        <is>
          <t>VÄRMLANDS LÄN</t>
        </is>
      </c>
      <c r="E902" t="inlineStr">
        <is>
          <t>KARLSTAD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1816-2024</t>
        </is>
      </c>
      <c r="B903" s="1" t="n">
        <v>45307</v>
      </c>
      <c r="C903" s="1" t="n">
        <v>45640</v>
      </c>
      <c r="D903" t="inlineStr">
        <is>
          <t>VÄRMLANDS LÄN</t>
        </is>
      </c>
      <c r="E903" t="inlineStr">
        <is>
          <t>KARLSTAD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1982-2024</t>
        </is>
      </c>
      <c r="B904" s="1" t="n">
        <v>45308</v>
      </c>
      <c r="C904" s="1" t="n">
        <v>45640</v>
      </c>
      <c r="D904" t="inlineStr">
        <is>
          <t>VÄRMLANDS LÄN</t>
        </is>
      </c>
      <c r="E904" t="inlineStr">
        <is>
          <t>KARLSTAD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1983-2024</t>
        </is>
      </c>
      <c r="B905" s="1" t="n">
        <v>45308</v>
      </c>
      <c r="C905" s="1" t="n">
        <v>45640</v>
      </c>
      <c r="D905" t="inlineStr">
        <is>
          <t>VÄRMLANDS LÄN</t>
        </is>
      </c>
      <c r="E905" t="inlineStr">
        <is>
          <t>KARLSTAD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3541-2024</t>
        </is>
      </c>
      <c r="B906" s="1" t="n">
        <v>45320</v>
      </c>
      <c r="C906" s="1" t="n">
        <v>45640</v>
      </c>
      <c r="D906" t="inlineStr">
        <is>
          <t>VÄRMLANDS LÄN</t>
        </is>
      </c>
      <c r="E906" t="inlineStr">
        <is>
          <t>KARLSTAD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3550-2024</t>
        </is>
      </c>
      <c r="B907" s="1" t="n">
        <v>45320</v>
      </c>
      <c r="C907" s="1" t="n">
        <v>45640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3861-2024</t>
        </is>
      </c>
      <c r="B908" s="1" t="n">
        <v>45322</v>
      </c>
      <c r="C908" s="1" t="n">
        <v>45640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3885-2024</t>
        </is>
      </c>
      <c r="B909" s="1" t="n">
        <v>45322</v>
      </c>
      <c r="C909" s="1" t="n">
        <v>45640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4389-2024</t>
        </is>
      </c>
      <c r="B910" s="1" t="n">
        <v>45326</v>
      </c>
      <c r="C910" s="1" t="n">
        <v>45640</v>
      </c>
      <c r="D910" t="inlineStr">
        <is>
          <t>VÄRMLANDS LÄN</t>
        </is>
      </c>
      <c r="E910" t="inlineStr">
        <is>
          <t>KARLSTAD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5387-2024</t>
        </is>
      </c>
      <c r="B911" s="1" t="n">
        <v>45331</v>
      </c>
      <c r="C911" s="1" t="n">
        <v>45640</v>
      </c>
      <c r="D911" t="inlineStr">
        <is>
          <t>VÄRMLANDS LÄN</t>
        </is>
      </c>
      <c r="E911" t="inlineStr">
        <is>
          <t>KARLSTAD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5783-2024</t>
        </is>
      </c>
      <c r="B912" s="1" t="n">
        <v>45335</v>
      </c>
      <c r="C912" s="1" t="n">
        <v>45640</v>
      </c>
      <c r="D912" t="inlineStr">
        <is>
          <t>VÄRMLANDS LÄN</t>
        </is>
      </c>
      <c r="E912" t="inlineStr">
        <is>
          <t>KARLSTAD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6220-2024</t>
        </is>
      </c>
      <c r="B913" s="1" t="n">
        <v>45337</v>
      </c>
      <c r="C913" s="1" t="n">
        <v>45640</v>
      </c>
      <c r="D913" t="inlineStr">
        <is>
          <t>VÄRMLANDS LÄN</t>
        </is>
      </c>
      <c r="E913" t="inlineStr">
        <is>
          <t>KARLSTAD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6946-2024</t>
        </is>
      </c>
      <c r="B914" s="1" t="n">
        <v>45343</v>
      </c>
      <c r="C914" s="1" t="n">
        <v>45640</v>
      </c>
      <c r="D914" t="inlineStr">
        <is>
          <t>VÄRMLANDS LÄN</t>
        </is>
      </c>
      <c r="E914" t="inlineStr">
        <is>
          <t>KARLSTAD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8007-2024</t>
        </is>
      </c>
      <c r="B915" s="1" t="n">
        <v>45350</v>
      </c>
      <c r="C915" s="1" t="n">
        <v>45640</v>
      </c>
      <c r="D915" t="inlineStr">
        <is>
          <t>VÄRMLANDS LÄN</t>
        </is>
      </c>
      <c r="E915" t="inlineStr">
        <is>
          <t>KARLSTAD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8173-2024</t>
        </is>
      </c>
      <c r="B916" s="1" t="n">
        <v>45351</v>
      </c>
      <c r="C916" s="1" t="n">
        <v>45640</v>
      </c>
      <c r="D916" t="inlineStr">
        <is>
          <t>VÄRMLANDS LÄN</t>
        </is>
      </c>
      <c r="E916" t="inlineStr">
        <is>
          <t>KARLSTAD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8804-2024</t>
        </is>
      </c>
      <c r="B917" s="1" t="n">
        <v>45356</v>
      </c>
      <c r="C917" s="1" t="n">
        <v>45640</v>
      </c>
      <c r="D917" t="inlineStr">
        <is>
          <t>VÄRMLANDS LÄN</t>
        </is>
      </c>
      <c r="E917" t="inlineStr">
        <is>
          <t>KARLSTAD</t>
        </is>
      </c>
      <c r="G917" t="n">
        <v>12.5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8798-2024</t>
        </is>
      </c>
      <c r="B918" s="1" t="n">
        <v>45356</v>
      </c>
      <c r="C918" s="1" t="n">
        <v>45640</v>
      </c>
      <c r="D918" t="inlineStr">
        <is>
          <t>VÄRMLANDS LÄN</t>
        </is>
      </c>
      <c r="E918" t="inlineStr">
        <is>
          <t>KARLSTAD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9460-2024</t>
        </is>
      </c>
      <c r="B919" s="1" t="n">
        <v>45359</v>
      </c>
      <c r="C919" s="1" t="n">
        <v>45640</v>
      </c>
      <c r="D919" t="inlineStr">
        <is>
          <t>VÄRMLANDS LÄN</t>
        </is>
      </c>
      <c r="E919" t="inlineStr">
        <is>
          <t>KARLSTAD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9459-2024</t>
        </is>
      </c>
      <c r="B920" s="1" t="n">
        <v>45359</v>
      </c>
      <c r="C920" s="1" t="n">
        <v>45640</v>
      </c>
      <c r="D920" t="inlineStr">
        <is>
          <t>VÄRMLANDS LÄN</t>
        </is>
      </c>
      <c r="E920" t="inlineStr">
        <is>
          <t>KARLSTAD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9499-2024</t>
        </is>
      </c>
      <c r="B921" s="1" t="n">
        <v>45359</v>
      </c>
      <c r="C921" s="1" t="n">
        <v>45640</v>
      </c>
      <c r="D921" t="inlineStr">
        <is>
          <t>VÄRMLANDS LÄN</t>
        </is>
      </c>
      <c r="E921" t="inlineStr">
        <is>
          <t>KARLSTAD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9945-2024</t>
        </is>
      </c>
      <c r="B922" s="1" t="n">
        <v>45363</v>
      </c>
      <c r="C922" s="1" t="n">
        <v>45640</v>
      </c>
      <c r="D922" t="inlineStr">
        <is>
          <t>VÄRMLANDS LÄN</t>
        </is>
      </c>
      <c r="E922" t="inlineStr">
        <is>
          <t>KARLSTAD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10461-2024</t>
        </is>
      </c>
      <c r="B923" s="1" t="n">
        <v>45366</v>
      </c>
      <c r="C923" s="1" t="n">
        <v>45640</v>
      </c>
      <c r="D923" t="inlineStr">
        <is>
          <t>VÄRMLANDS LÄN</t>
        </is>
      </c>
      <c r="E923" t="inlineStr">
        <is>
          <t>KARLSTAD</t>
        </is>
      </c>
      <c r="F923" t="inlineStr">
        <is>
          <t>Övriga statliga verk och myndigheter</t>
        </is>
      </c>
      <c r="G923" t="n">
        <v>17.8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10511-2024</t>
        </is>
      </c>
      <c r="B924" s="1" t="n">
        <v>45366</v>
      </c>
      <c r="C924" s="1" t="n">
        <v>45640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10722-2024</t>
        </is>
      </c>
      <c r="B925" s="1" t="n">
        <v>45369</v>
      </c>
      <c r="C925" s="1" t="n">
        <v>45640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10729-2024</t>
        </is>
      </c>
      <c r="B926" s="1" t="n">
        <v>45369</v>
      </c>
      <c r="C926" s="1" t="n">
        <v>45640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11053-2024</t>
        </is>
      </c>
      <c r="B927" s="1" t="n">
        <v>45370</v>
      </c>
      <c r="C927" s="1" t="n">
        <v>45640</v>
      </c>
      <c r="D927" t="inlineStr">
        <is>
          <t>VÄRMLANDS LÄN</t>
        </is>
      </c>
      <c r="E927" t="inlineStr">
        <is>
          <t>KARLSTAD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11190-2024</t>
        </is>
      </c>
      <c r="B928" s="1" t="n">
        <v>45371</v>
      </c>
      <c r="C928" s="1" t="n">
        <v>45640</v>
      </c>
      <c r="D928" t="inlineStr">
        <is>
          <t>VÄRMLANDS LÄN</t>
        </is>
      </c>
      <c r="E928" t="inlineStr">
        <is>
          <t>KARLSTAD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11194-2024</t>
        </is>
      </c>
      <c r="B929" s="1" t="n">
        <v>45371</v>
      </c>
      <c r="C929" s="1" t="n">
        <v>45640</v>
      </c>
      <c r="D929" t="inlineStr">
        <is>
          <t>VÄRMLANDS LÄN</t>
        </is>
      </c>
      <c r="E929" t="inlineStr">
        <is>
          <t>KARLSTAD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11250-2024</t>
        </is>
      </c>
      <c r="B930" s="1" t="n">
        <v>45371</v>
      </c>
      <c r="C930" s="1" t="n">
        <v>45640</v>
      </c>
      <c r="D930" t="inlineStr">
        <is>
          <t>VÄRMLANDS LÄN</t>
        </is>
      </c>
      <c r="E930" t="inlineStr">
        <is>
          <t>KARLSTAD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11160-2024</t>
        </is>
      </c>
      <c r="B931" s="1" t="n">
        <v>45371</v>
      </c>
      <c r="C931" s="1" t="n">
        <v>45640</v>
      </c>
      <c r="D931" t="inlineStr">
        <is>
          <t>VÄRMLANDS LÄN</t>
        </is>
      </c>
      <c r="E931" t="inlineStr">
        <is>
          <t>KARLSTAD</t>
        </is>
      </c>
      <c r="F931" t="inlineStr">
        <is>
          <t>Bergvik skog väst AB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11810-2024</t>
        </is>
      </c>
      <c r="B932" s="1" t="n">
        <v>45375</v>
      </c>
      <c r="C932" s="1" t="n">
        <v>45640</v>
      </c>
      <c r="D932" t="inlineStr">
        <is>
          <t>VÄRMLANDS LÄN</t>
        </is>
      </c>
      <c r="E932" t="inlineStr">
        <is>
          <t>KARLSTAD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11841-2024</t>
        </is>
      </c>
      <c r="B933" s="1" t="n">
        <v>45376</v>
      </c>
      <c r="C933" s="1" t="n">
        <v>45640</v>
      </c>
      <c r="D933" t="inlineStr">
        <is>
          <t>VÄRMLANDS LÄN</t>
        </is>
      </c>
      <c r="E933" t="inlineStr">
        <is>
          <t>KARLSTAD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12219-2024</t>
        </is>
      </c>
      <c r="B934" s="1" t="n">
        <v>45378</v>
      </c>
      <c r="C934" s="1" t="n">
        <v>45640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12410-2024</t>
        </is>
      </c>
      <c r="B935" s="1" t="n">
        <v>45379</v>
      </c>
      <c r="C935" s="1" t="n">
        <v>45640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12506-2024</t>
        </is>
      </c>
      <c r="B936" s="1" t="n">
        <v>45379</v>
      </c>
      <c r="C936" s="1" t="n">
        <v>45640</v>
      </c>
      <c r="D936" t="inlineStr">
        <is>
          <t>VÄRMLANDS LÄN</t>
        </is>
      </c>
      <c r="E936" t="inlineStr">
        <is>
          <t>KARLSTAD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12397-2024</t>
        </is>
      </c>
      <c r="B937" s="1" t="n">
        <v>45379</v>
      </c>
      <c r="C937" s="1" t="n">
        <v>45640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12399-2024</t>
        </is>
      </c>
      <c r="B938" s="1" t="n">
        <v>45379</v>
      </c>
      <c r="C938" s="1" t="n">
        <v>45640</v>
      </c>
      <c r="D938" t="inlineStr">
        <is>
          <t>VÄRMLANDS LÄN</t>
        </is>
      </c>
      <c r="E938" t="inlineStr">
        <is>
          <t>KARLSTAD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12613-2024</t>
        </is>
      </c>
      <c r="B939" s="1" t="n">
        <v>45382</v>
      </c>
      <c r="C939" s="1" t="n">
        <v>45640</v>
      </c>
      <c r="D939" t="inlineStr">
        <is>
          <t>VÄRMLANDS LÄN</t>
        </is>
      </c>
      <c r="E939" t="inlineStr">
        <is>
          <t>KARLSTAD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12612-2024</t>
        </is>
      </c>
      <c r="B940" s="1" t="n">
        <v>45382</v>
      </c>
      <c r="C940" s="1" t="n">
        <v>45640</v>
      </c>
      <c r="D940" t="inlineStr">
        <is>
          <t>VÄRMLANDS LÄN</t>
        </is>
      </c>
      <c r="E940" t="inlineStr">
        <is>
          <t>KARLSTAD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12611-2024</t>
        </is>
      </c>
      <c r="B941" s="1" t="n">
        <v>45382</v>
      </c>
      <c r="C941" s="1" t="n">
        <v>45640</v>
      </c>
      <c r="D941" t="inlineStr">
        <is>
          <t>VÄRMLANDS LÄN</t>
        </is>
      </c>
      <c r="E941" t="inlineStr">
        <is>
          <t>KARLSTAD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12829-2024</t>
        </is>
      </c>
      <c r="B942" s="1" t="n">
        <v>45384</v>
      </c>
      <c r="C942" s="1" t="n">
        <v>45640</v>
      </c>
      <c r="D942" t="inlineStr">
        <is>
          <t>VÄRMLANDS LÄN</t>
        </is>
      </c>
      <c r="E942" t="inlineStr">
        <is>
          <t>KARLSTAD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12836-2024</t>
        </is>
      </c>
      <c r="B943" s="1" t="n">
        <v>45384</v>
      </c>
      <c r="C943" s="1" t="n">
        <v>45640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12764-2024</t>
        </is>
      </c>
      <c r="B944" s="1" t="n">
        <v>45384</v>
      </c>
      <c r="C944" s="1" t="n">
        <v>45640</v>
      </c>
      <c r="D944" t="inlineStr">
        <is>
          <t>VÄRMLANDS LÄN</t>
        </is>
      </c>
      <c r="E944" t="inlineStr">
        <is>
          <t>KARLSTAD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13089-2024</t>
        </is>
      </c>
      <c r="B945" s="1" t="n">
        <v>45385</v>
      </c>
      <c r="C945" s="1" t="n">
        <v>45640</v>
      </c>
      <c r="D945" t="inlineStr">
        <is>
          <t>VÄRMLANDS LÄN</t>
        </is>
      </c>
      <c r="E945" t="inlineStr">
        <is>
          <t>KARLSTAD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13191-2024</t>
        </is>
      </c>
      <c r="B946" s="1" t="n">
        <v>45386</v>
      </c>
      <c r="C946" s="1" t="n">
        <v>45640</v>
      </c>
      <c r="D946" t="inlineStr">
        <is>
          <t>VÄRMLANDS LÄN</t>
        </is>
      </c>
      <c r="E946" t="inlineStr">
        <is>
          <t>KARLSTAD</t>
        </is>
      </c>
      <c r="F946" t="inlineStr">
        <is>
          <t>Kommuner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13283-2024</t>
        </is>
      </c>
      <c r="B947" s="1" t="n">
        <v>45386</v>
      </c>
      <c r="C947" s="1" t="n">
        <v>45640</v>
      </c>
      <c r="D947" t="inlineStr">
        <is>
          <t>VÄRMLANDS LÄN</t>
        </is>
      </c>
      <c r="E947" t="inlineStr">
        <is>
          <t>KARLSTAD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13287-2024</t>
        </is>
      </c>
      <c r="B948" s="1" t="n">
        <v>45386</v>
      </c>
      <c r="C948" s="1" t="n">
        <v>45640</v>
      </c>
      <c r="D948" t="inlineStr">
        <is>
          <t>VÄRMLANDS LÄN</t>
        </is>
      </c>
      <c r="E948" t="inlineStr">
        <is>
          <t>KARLSTAD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13291-2024</t>
        </is>
      </c>
      <c r="B949" s="1" t="n">
        <v>45386</v>
      </c>
      <c r="C949" s="1" t="n">
        <v>45640</v>
      </c>
      <c r="D949" t="inlineStr">
        <is>
          <t>VÄRMLANDS LÄN</t>
        </is>
      </c>
      <c r="E949" t="inlineStr">
        <is>
          <t>KARLSTAD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13534-2024</t>
        </is>
      </c>
      <c r="B950" s="1" t="n">
        <v>45387</v>
      </c>
      <c r="C950" s="1" t="n">
        <v>45640</v>
      </c>
      <c r="D950" t="inlineStr">
        <is>
          <t>VÄRMLANDS LÄN</t>
        </is>
      </c>
      <c r="E950" t="inlineStr">
        <is>
          <t>KARLSTAD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13532-2024</t>
        </is>
      </c>
      <c r="B951" s="1" t="n">
        <v>45387</v>
      </c>
      <c r="C951" s="1" t="n">
        <v>45640</v>
      </c>
      <c r="D951" t="inlineStr">
        <is>
          <t>VÄRMLANDS LÄN</t>
        </is>
      </c>
      <c r="E951" t="inlineStr">
        <is>
          <t>KARLSTAD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13402-2024</t>
        </is>
      </c>
      <c r="B952" s="1" t="n">
        <v>45387</v>
      </c>
      <c r="C952" s="1" t="n">
        <v>45640</v>
      </c>
      <c r="D952" t="inlineStr">
        <is>
          <t>VÄRMLANDS LÄN</t>
        </is>
      </c>
      <c r="E952" t="inlineStr">
        <is>
          <t>KARLSTAD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13849-2024</t>
        </is>
      </c>
      <c r="B953" s="1" t="n">
        <v>45390</v>
      </c>
      <c r="C953" s="1" t="n">
        <v>45640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13853-2024</t>
        </is>
      </c>
      <c r="B954" s="1" t="n">
        <v>45390</v>
      </c>
      <c r="C954" s="1" t="n">
        <v>45640</v>
      </c>
      <c r="D954" t="inlineStr">
        <is>
          <t>VÄRMLANDS LÄN</t>
        </is>
      </c>
      <c r="E954" t="inlineStr">
        <is>
          <t>KARLSTAD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13787-2024</t>
        </is>
      </c>
      <c r="B955" s="1" t="n">
        <v>45391</v>
      </c>
      <c r="C955" s="1" t="n">
        <v>45640</v>
      </c>
      <c r="D955" t="inlineStr">
        <is>
          <t>VÄRMLANDS LÄN</t>
        </is>
      </c>
      <c r="E955" t="inlineStr">
        <is>
          <t>KARLSTAD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14235-2024</t>
        </is>
      </c>
      <c r="B956" s="1" t="n">
        <v>45393</v>
      </c>
      <c r="C956" s="1" t="n">
        <v>45640</v>
      </c>
      <c r="D956" t="inlineStr">
        <is>
          <t>VÄRMLANDS LÄN</t>
        </is>
      </c>
      <c r="E956" t="inlineStr">
        <is>
          <t>KARLSTAD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15811-2024</t>
        </is>
      </c>
      <c r="B957" s="1" t="n">
        <v>45404</v>
      </c>
      <c r="C957" s="1" t="n">
        <v>45640</v>
      </c>
      <c r="D957" t="inlineStr">
        <is>
          <t>VÄRMLANDS LÄN</t>
        </is>
      </c>
      <c r="E957" t="inlineStr">
        <is>
          <t>KARLSTAD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16029-2024</t>
        </is>
      </c>
      <c r="B958" s="1" t="n">
        <v>45405</v>
      </c>
      <c r="C958" s="1" t="n">
        <v>45640</v>
      </c>
      <c r="D958" t="inlineStr">
        <is>
          <t>VÄRMLANDS LÄN</t>
        </is>
      </c>
      <c r="E958" t="inlineStr">
        <is>
          <t>KARLSTAD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16033-2024</t>
        </is>
      </c>
      <c r="B959" s="1" t="n">
        <v>45405</v>
      </c>
      <c r="C959" s="1" t="n">
        <v>45640</v>
      </c>
      <c r="D959" t="inlineStr">
        <is>
          <t>VÄRMLANDS LÄN</t>
        </is>
      </c>
      <c r="E959" t="inlineStr">
        <is>
          <t>KARLSTAD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15944-2024</t>
        </is>
      </c>
      <c r="B960" s="1" t="n">
        <v>45405</v>
      </c>
      <c r="C960" s="1" t="n">
        <v>45640</v>
      </c>
      <c r="D960" t="inlineStr">
        <is>
          <t>VÄRMLANDS LÄN</t>
        </is>
      </c>
      <c r="E960" t="inlineStr">
        <is>
          <t>KARLSTAD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16032-2024</t>
        </is>
      </c>
      <c r="B961" s="1" t="n">
        <v>45405</v>
      </c>
      <c r="C961" s="1" t="n">
        <v>45640</v>
      </c>
      <c r="D961" t="inlineStr">
        <is>
          <t>VÄRMLANDS LÄN</t>
        </is>
      </c>
      <c r="E961" t="inlineStr">
        <is>
          <t>KARLSTAD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16031-2024</t>
        </is>
      </c>
      <c r="B962" s="1" t="n">
        <v>45405</v>
      </c>
      <c r="C962" s="1" t="n">
        <v>45640</v>
      </c>
      <c r="D962" t="inlineStr">
        <is>
          <t>VÄRMLANDS LÄN</t>
        </is>
      </c>
      <c r="E962" t="inlineStr">
        <is>
          <t>KARLSTAD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15929-2024</t>
        </is>
      </c>
      <c r="B963" s="1" t="n">
        <v>45405</v>
      </c>
      <c r="C963" s="1" t="n">
        <v>45640</v>
      </c>
      <c r="D963" t="inlineStr">
        <is>
          <t>VÄRMLANDS LÄN</t>
        </is>
      </c>
      <c r="E963" t="inlineStr">
        <is>
          <t>KARLSTAD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16302-2024</t>
        </is>
      </c>
      <c r="B964" s="1" t="n">
        <v>45407</v>
      </c>
      <c r="C964" s="1" t="n">
        <v>45640</v>
      </c>
      <c r="D964" t="inlineStr">
        <is>
          <t>VÄRMLANDS LÄN</t>
        </is>
      </c>
      <c r="E964" t="inlineStr">
        <is>
          <t>KARLSTAD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16520-2024</t>
        </is>
      </c>
      <c r="B965" s="1" t="n">
        <v>45408</v>
      </c>
      <c r="C965" s="1" t="n">
        <v>45640</v>
      </c>
      <c r="D965" t="inlineStr">
        <is>
          <t>VÄRMLANDS LÄN</t>
        </is>
      </c>
      <c r="E965" t="inlineStr">
        <is>
          <t>KARLSTAD</t>
        </is>
      </c>
      <c r="F965" t="inlineStr">
        <is>
          <t>Övriga statliga verk och myndigheter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16616-2024</t>
        </is>
      </c>
      <c r="B966" s="1" t="n">
        <v>45408</v>
      </c>
      <c r="C966" s="1" t="n">
        <v>45640</v>
      </c>
      <c r="D966" t="inlineStr">
        <is>
          <t>VÄRMLANDS LÄN</t>
        </is>
      </c>
      <c r="E966" t="inlineStr">
        <is>
          <t>KARLSTAD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16952-2024</t>
        </is>
      </c>
      <c r="B967" s="1" t="n">
        <v>45411</v>
      </c>
      <c r="C967" s="1" t="n">
        <v>45640</v>
      </c>
      <c r="D967" t="inlineStr">
        <is>
          <t>VÄRMLANDS LÄN</t>
        </is>
      </c>
      <c r="E967" t="inlineStr">
        <is>
          <t>KARLSTAD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16757-2024</t>
        </is>
      </c>
      <c r="B968" s="1" t="n">
        <v>45411</v>
      </c>
      <c r="C968" s="1" t="n">
        <v>45640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17459-2024</t>
        </is>
      </c>
      <c r="B969" s="1" t="n">
        <v>45415</v>
      </c>
      <c r="C969" s="1" t="n">
        <v>45640</v>
      </c>
      <c r="D969" t="inlineStr">
        <is>
          <t>VÄRMLANDS LÄN</t>
        </is>
      </c>
      <c r="E969" t="inlineStr">
        <is>
          <t>KARLSTAD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17463-2024</t>
        </is>
      </c>
      <c r="B970" s="1" t="n">
        <v>45415</v>
      </c>
      <c r="C970" s="1" t="n">
        <v>45640</v>
      </c>
      <c r="D970" t="inlineStr">
        <is>
          <t>VÄRMLANDS LÄN</t>
        </is>
      </c>
      <c r="E970" t="inlineStr">
        <is>
          <t>KARLSTAD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17474-2024</t>
        </is>
      </c>
      <c r="B971" s="1" t="n">
        <v>45415</v>
      </c>
      <c r="C971" s="1" t="n">
        <v>45640</v>
      </c>
      <c r="D971" t="inlineStr">
        <is>
          <t>VÄRMLANDS LÄN</t>
        </is>
      </c>
      <c r="E971" t="inlineStr">
        <is>
          <t>KARLSTAD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17633-2024</t>
        </is>
      </c>
      <c r="B972" s="1" t="n">
        <v>45418</v>
      </c>
      <c r="C972" s="1" t="n">
        <v>45640</v>
      </c>
      <c r="D972" t="inlineStr">
        <is>
          <t>VÄRMLANDS LÄN</t>
        </is>
      </c>
      <c r="E972" t="inlineStr">
        <is>
          <t>KARLSTAD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17815-2024</t>
        </is>
      </c>
      <c r="B973" s="1" t="n">
        <v>45418</v>
      </c>
      <c r="C973" s="1" t="n">
        <v>45640</v>
      </c>
      <c r="D973" t="inlineStr">
        <is>
          <t>VÄRMLANDS LÄN</t>
        </is>
      </c>
      <c r="E973" t="inlineStr">
        <is>
          <t>KARLSTAD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18114-2024</t>
        </is>
      </c>
      <c r="B974" s="1" t="n">
        <v>45420</v>
      </c>
      <c r="C974" s="1" t="n">
        <v>45640</v>
      </c>
      <c r="D974" t="inlineStr">
        <is>
          <t>VÄRMLANDS LÄN</t>
        </is>
      </c>
      <c r="E974" t="inlineStr">
        <is>
          <t>KARLSTAD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18164-2024</t>
        </is>
      </c>
      <c r="B975" s="1" t="n">
        <v>45420</v>
      </c>
      <c r="C975" s="1" t="n">
        <v>45640</v>
      </c>
      <c r="D975" t="inlineStr">
        <is>
          <t>VÄRMLANDS LÄN</t>
        </is>
      </c>
      <c r="E975" t="inlineStr">
        <is>
          <t>KARLSTAD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18793-2024</t>
        </is>
      </c>
      <c r="B976" s="1" t="n">
        <v>45426</v>
      </c>
      <c r="C976" s="1" t="n">
        <v>45640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19844-2024</t>
        </is>
      </c>
      <c r="B977" s="1" t="n">
        <v>45432</v>
      </c>
      <c r="C977" s="1" t="n">
        <v>45640</v>
      </c>
      <c r="D977" t="inlineStr">
        <is>
          <t>VÄRMLANDS LÄN</t>
        </is>
      </c>
      <c r="E977" t="inlineStr">
        <is>
          <t>KARLSTAD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20140-2024</t>
        </is>
      </c>
      <c r="B978" s="1" t="n">
        <v>45434</v>
      </c>
      <c r="C978" s="1" t="n">
        <v>45640</v>
      </c>
      <c r="D978" t="inlineStr">
        <is>
          <t>VÄRMLANDS LÄN</t>
        </is>
      </c>
      <c r="E978" t="inlineStr">
        <is>
          <t>KARLSTAD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20364-2024</t>
        </is>
      </c>
      <c r="B979" s="1" t="n">
        <v>45435</v>
      </c>
      <c r="C979" s="1" t="n">
        <v>45640</v>
      </c>
      <c r="D979" t="inlineStr">
        <is>
          <t>VÄRMLANDS LÄN</t>
        </is>
      </c>
      <c r="E979" t="inlineStr">
        <is>
          <t>KARLSTAD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22196-2024</t>
        </is>
      </c>
      <c r="B980" s="1" t="n">
        <v>45446</v>
      </c>
      <c r="C980" s="1" t="n">
        <v>45640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22193-2024</t>
        </is>
      </c>
      <c r="B981" s="1" t="n">
        <v>45446</v>
      </c>
      <c r="C981" s="1" t="n">
        <v>45640</v>
      </c>
      <c r="D981" t="inlineStr">
        <is>
          <t>VÄRMLANDS LÄN</t>
        </is>
      </c>
      <c r="E981" t="inlineStr">
        <is>
          <t>KARLSTAD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22210-2024</t>
        </is>
      </c>
      <c r="B982" s="1" t="n">
        <v>45446</v>
      </c>
      <c r="C982" s="1" t="n">
        <v>45640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22200-2024</t>
        </is>
      </c>
      <c r="B983" s="1" t="n">
        <v>45446</v>
      </c>
      <c r="C983" s="1" t="n">
        <v>45640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22795-2024</t>
        </is>
      </c>
      <c r="B984" s="1" t="n">
        <v>45448</v>
      </c>
      <c r="C984" s="1" t="n">
        <v>45640</v>
      </c>
      <c r="D984" t="inlineStr">
        <is>
          <t>VÄRMLANDS LÄN</t>
        </is>
      </c>
      <c r="E984" t="inlineStr">
        <is>
          <t>KARLSTAD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22799-2024</t>
        </is>
      </c>
      <c r="B985" s="1" t="n">
        <v>45448</v>
      </c>
      <c r="C985" s="1" t="n">
        <v>45640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23114-2024</t>
        </is>
      </c>
      <c r="B986" s="1" t="n">
        <v>45450</v>
      </c>
      <c r="C986" s="1" t="n">
        <v>45640</v>
      </c>
      <c r="D986" t="inlineStr">
        <is>
          <t>VÄRMLANDS LÄN</t>
        </is>
      </c>
      <c r="E986" t="inlineStr">
        <is>
          <t>KARLSTAD</t>
        </is>
      </c>
      <c r="G986" t="n">
        <v>10.7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23777-2024</t>
        </is>
      </c>
      <c r="B987" s="1" t="n">
        <v>45455</v>
      </c>
      <c r="C987" s="1" t="n">
        <v>45640</v>
      </c>
      <c r="D987" t="inlineStr">
        <is>
          <t>VÄRMLANDS LÄN</t>
        </is>
      </c>
      <c r="E987" t="inlineStr">
        <is>
          <t>KARLSTAD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24270-2024</t>
        </is>
      </c>
      <c r="B988" s="1" t="n">
        <v>45457</v>
      </c>
      <c r="C988" s="1" t="n">
        <v>45640</v>
      </c>
      <c r="D988" t="inlineStr">
        <is>
          <t>VÄRMLANDS LÄN</t>
        </is>
      </c>
      <c r="E988" t="inlineStr">
        <is>
          <t>KARLSTAD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24268-2024</t>
        </is>
      </c>
      <c r="B989" s="1" t="n">
        <v>45457</v>
      </c>
      <c r="C989" s="1" t="n">
        <v>45640</v>
      </c>
      <c r="D989" t="inlineStr">
        <is>
          <t>VÄRMLANDS LÄN</t>
        </is>
      </c>
      <c r="E989" t="inlineStr">
        <is>
          <t>KARLSTAD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HYPERLINK("https://klasma.github.io/Logging_1780/knärot/A 24268-2024 karta knärot.png", "A 24268-2024")</f>
        <v/>
      </c>
      <c r="V989">
        <f>HYPERLINK("https://klasma.github.io/Logging_1780/klagomål/A 24268-2024 FSC-klagomål.docx", "A 24268-2024")</f>
        <v/>
      </c>
      <c r="W989">
        <f>HYPERLINK("https://klasma.github.io/Logging_1780/klagomålsmail/A 24268-2024 FSC-klagomål mail.docx", "A 24268-2024")</f>
        <v/>
      </c>
      <c r="X989">
        <f>HYPERLINK("https://klasma.github.io/Logging_1780/tillsyn/A 24268-2024 tillsynsbegäran.docx", "A 24268-2024")</f>
        <v/>
      </c>
      <c r="Y989">
        <f>HYPERLINK("https://klasma.github.io/Logging_1780/tillsynsmail/A 24268-2024 tillsynsbegäran mail.docx", "A 24268-2024")</f>
        <v/>
      </c>
    </row>
    <row r="990" ht="15" customHeight="1">
      <c r="A990" t="inlineStr">
        <is>
          <t>A 24497-2024</t>
        </is>
      </c>
      <c r="B990" s="1" t="n">
        <v>45459</v>
      </c>
      <c r="C990" s="1" t="n">
        <v>45640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25016-2024</t>
        </is>
      </c>
      <c r="B991" s="1" t="n">
        <v>45461</v>
      </c>
      <c r="C991" s="1" t="n">
        <v>45640</v>
      </c>
      <c r="D991" t="inlineStr">
        <is>
          <t>VÄRMLANDS LÄN</t>
        </is>
      </c>
      <c r="E991" t="inlineStr">
        <is>
          <t>KARLSTAD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25330-2024</t>
        </is>
      </c>
      <c r="B992" s="1" t="n">
        <v>45462</v>
      </c>
      <c r="C992" s="1" t="n">
        <v>45640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25040-2024</t>
        </is>
      </c>
      <c r="B993" s="1" t="n">
        <v>45462</v>
      </c>
      <c r="C993" s="1" t="n">
        <v>45640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25786-2024</t>
        </is>
      </c>
      <c r="B994" s="1" t="n">
        <v>45466</v>
      </c>
      <c r="C994" s="1" t="n">
        <v>45640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27201-2024</t>
        </is>
      </c>
      <c r="B995" s="1" t="n">
        <v>45471</v>
      </c>
      <c r="C995" s="1" t="n">
        <v>45640</v>
      </c>
      <c r="D995" t="inlineStr">
        <is>
          <t>VÄRMLANDS LÄN</t>
        </is>
      </c>
      <c r="E995" t="inlineStr">
        <is>
          <t>KARLSTAD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26996-2024</t>
        </is>
      </c>
      <c r="B996" s="1" t="n">
        <v>45471</v>
      </c>
      <c r="C996" s="1" t="n">
        <v>45640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27484-2024</t>
        </is>
      </c>
      <c r="B997" s="1" t="n">
        <v>45474</v>
      </c>
      <c r="C997" s="1" t="n">
        <v>45640</v>
      </c>
      <c r="D997" t="inlineStr">
        <is>
          <t>VÄRMLANDS LÄN</t>
        </is>
      </c>
      <c r="E997" t="inlineStr">
        <is>
          <t>KARLSTAD</t>
        </is>
      </c>
      <c r="F997" t="inlineStr">
        <is>
          <t>Bergvik skog väst AB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27569-2024</t>
        </is>
      </c>
      <c r="B998" s="1" t="n">
        <v>45474</v>
      </c>
      <c r="C998" s="1" t="n">
        <v>45640</v>
      </c>
      <c r="D998" t="inlineStr">
        <is>
          <t>VÄRMLANDS LÄN</t>
        </is>
      </c>
      <c r="E998" t="inlineStr">
        <is>
          <t>KARLSTAD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27682-2024</t>
        </is>
      </c>
      <c r="B999" s="1" t="n">
        <v>45475</v>
      </c>
      <c r="C999" s="1" t="n">
        <v>45640</v>
      </c>
      <c r="D999" t="inlineStr">
        <is>
          <t>VÄRMLANDS LÄN</t>
        </is>
      </c>
      <c r="E999" t="inlineStr">
        <is>
          <t>KARLSTAD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28451-2024</t>
        </is>
      </c>
      <c r="B1000" s="1" t="n">
        <v>45477</v>
      </c>
      <c r="C1000" s="1" t="n">
        <v>45640</v>
      </c>
      <c r="D1000" t="inlineStr">
        <is>
          <t>VÄRMLANDS LÄN</t>
        </is>
      </c>
      <c r="E1000" t="inlineStr">
        <is>
          <t>KARLSTAD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28454-2024</t>
        </is>
      </c>
      <c r="B1001" s="1" t="n">
        <v>45477</v>
      </c>
      <c r="C1001" s="1" t="n">
        <v>45640</v>
      </c>
      <c r="D1001" t="inlineStr">
        <is>
          <t>VÄRMLANDS LÄN</t>
        </is>
      </c>
      <c r="E1001" t="inlineStr">
        <is>
          <t>KARLSTAD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29893-2024</t>
        </is>
      </c>
      <c r="B1002" s="1" t="n">
        <v>45487</v>
      </c>
      <c r="C1002" s="1" t="n">
        <v>45640</v>
      </c>
      <c r="D1002" t="inlineStr">
        <is>
          <t>VÄRMLANDS LÄN</t>
        </is>
      </c>
      <c r="E1002" t="inlineStr">
        <is>
          <t>KARLSTAD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29939-2024</t>
        </is>
      </c>
      <c r="B1003" s="1" t="n">
        <v>45488</v>
      </c>
      <c r="C1003" s="1" t="n">
        <v>45640</v>
      </c>
      <c r="D1003" t="inlineStr">
        <is>
          <t>VÄRMLANDS LÄN</t>
        </is>
      </c>
      <c r="E1003" t="inlineStr">
        <is>
          <t>KARLSTAD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31744-2024</t>
        </is>
      </c>
      <c r="B1004" s="1" t="n">
        <v>45509</v>
      </c>
      <c r="C1004" s="1" t="n">
        <v>45640</v>
      </c>
      <c r="D1004" t="inlineStr">
        <is>
          <t>VÄRMLANDS LÄN</t>
        </is>
      </c>
      <c r="E1004" t="inlineStr">
        <is>
          <t>KARLSTAD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31986-2024</t>
        </is>
      </c>
      <c r="B1005" s="1" t="n">
        <v>45510</v>
      </c>
      <c r="C1005" s="1" t="n">
        <v>45640</v>
      </c>
      <c r="D1005" t="inlineStr">
        <is>
          <t>VÄRMLANDS LÄN</t>
        </is>
      </c>
      <c r="E1005" t="inlineStr">
        <is>
          <t>KARLSTAD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32369-2024</t>
        </is>
      </c>
      <c r="B1006" s="1" t="n">
        <v>45512</v>
      </c>
      <c r="C1006" s="1" t="n">
        <v>45640</v>
      </c>
      <c r="D1006" t="inlineStr">
        <is>
          <t>VÄRMLANDS LÄN</t>
        </is>
      </c>
      <c r="E1006" t="inlineStr">
        <is>
          <t>KARLSTAD</t>
        </is>
      </c>
      <c r="F1006" t="inlineStr">
        <is>
          <t>Bergvik skog väst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32562-2024</t>
        </is>
      </c>
      <c r="B1007" s="1" t="n">
        <v>45513</v>
      </c>
      <c r="C1007" s="1" t="n">
        <v>45640</v>
      </c>
      <c r="D1007" t="inlineStr">
        <is>
          <t>VÄRMLANDS LÄN</t>
        </is>
      </c>
      <c r="E1007" t="inlineStr">
        <is>
          <t>KARLSTAD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32539-2024</t>
        </is>
      </c>
      <c r="B1008" s="1" t="n">
        <v>45513</v>
      </c>
      <c r="C1008" s="1" t="n">
        <v>45640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33804-2024</t>
        </is>
      </c>
      <c r="B1009" s="1" t="n">
        <v>45520</v>
      </c>
      <c r="C1009" s="1" t="n">
        <v>45640</v>
      </c>
      <c r="D1009" t="inlineStr">
        <is>
          <t>VÄRMLANDS LÄN</t>
        </is>
      </c>
      <c r="E1009" t="inlineStr">
        <is>
          <t>KARLSTAD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33809-2024</t>
        </is>
      </c>
      <c r="B1010" s="1" t="n">
        <v>45520</v>
      </c>
      <c r="C1010" s="1" t="n">
        <v>45640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33807-2024</t>
        </is>
      </c>
      <c r="B1011" s="1" t="n">
        <v>45520</v>
      </c>
      <c r="C1011" s="1" t="n">
        <v>45640</v>
      </c>
      <c r="D1011" t="inlineStr">
        <is>
          <t>VÄRMLANDS LÄN</t>
        </is>
      </c>
      <c r="E1011" t="inlineStr">
        <is>
          <t>KARLSTAD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33942-2024</t>
        </is>
      </c>
      <c r="B1012" s="1" t="n">
        <v>45523</v>
      </c>
      <c r="C1012" s="1" t="n">
        <v>45640</v>
      </c>
      <c r="D1012" t="inlineStr">
        <is>
          <t>VÄRMLANDS LÄN</t>
        </is>
      </c>
      <c r="E1012" t="inlineStr">
        <is>
          <t>KARLSTAD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34321-2024</t>
        </is>
      </c>
      <c r="B1013" s="1" t="n">
        <v>45524</v>
      </c>
      <c r="C1013" s="1" t="n">
        <v>45640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34335-2024</t>
        </is>
      </c>
      <c r="B1014" s="1" t="n">
        <v>45525</v>
      </c>
      <c r="C1014" s="1" t="n">
        <v>45640</v>
      </c>
      <c r="D1014" t="inlineStr">
        <is>
          <t>VÄRMLANDS LÄN</t>
        </is>
      </c>
      <c r="E1014" t="inlineStr">
        <is>
          <t>KARLSTAD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34334-2024</t>
        </is>
      </c>
      <c r="B1015" s="1" t="n">
        <v>45525</v>
      </c>
      <c r="C1015" s="1" t="n">
        <v>45640</v>
      </c>
      <c r="D1015" t="inlineStr">
        <is>
          <t>VÄRMLANDS LÄN</t>
        </is>
      </c>
      <c r="E1015" t="inlineStr">
        <is>
          <t>KARLSTAD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35525-2024</t>
        </is>
      </c>
      <c r="B1016" s="1" t="n">
        <v>45531</v>
      </c>
      <c r="C1016" s="1" t="n">
        <v>45640</v>
      </c>
      <c r="D1016" t="inlineStr">
        <is>
          <t>VÄRMLANDS LÄN</t>
        </is>
      </c>
      <c r="E1016" t="inlineStr">
        <is>
          <t>KARLSTAD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36072-2024</t>
        </is>
      </c>
      <c r="B1017" s="1" t="n">
        <v>45533</v>
      </c>
      <c r="C1017" s="1" t="n">
        <v>45640</v>
      </c>
      <c r="D1017" t="inlineStr">
        <is>
          <t>VÄRMLANDS LÄN</t>
        </is>
      </c>
      <c r="E1017" t="inlineStr">
        <is>
          <t>KARLSTAD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36118-2024</t>
        </is>
      </c>
      <c r="B1018" s="1" t="n">
        <v>45534</v>
      </c>
      <c r="C1018" s="1" t="n">
        <v>45640</v>
      </c>
      <c r="D1018" t="inlineStr">
        <is>
          <t>VÄRMLANDS LÄN</t>
        </is>
      </c>
      <c r="E1018" t="inlineStr">
        <is>
          <t>KARLSTAD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37102-2024</t>
        </is>
      </c>
      <c r="B1019" s="1" t="n">
        <v>45539</v>
      </c>
      <c r="C1019" s="1" t="n">
        <v>45640</v>
      </c>
      <c r="D1019" t="inlineStr">
        <is>
          <t>VÄRMLANDS LÄN</t>
        </is>
      </c>
      <c r="E1019" t="inlineStr">
        <is>
          <t>KARLSTAD</t>
        </is>
      </c>
      <c r="F1019" t="inlineStr">
        <is>
          <t>Bergvik skog väst AB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37701-2024</t>
        </is>
      </c>
      <c r="B1020" s="1" t="n">
        <v>45541</v>
      </c>
      <c r="C1020" s="1" t="n">
        <v>45640</v>
      </c>
      <c r="D1020" t="inlineStr">
        <is>
          <t>VÄRMLANDS LÄN</t>
        </is>
      </c>
      <c r="E1020" t="inlineStr">
        <is>
          <t>KARLSTAD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37982-2024</t>
        </is>
      </c>
      <c r="B1021" s="1" t="n">
        <v>45544</v>
      </c>
      <c r="C1021" s="1" t="n">
        <v>45640</v>
      </c>
      <c r="D1021" t="inlineStr">
        <is>
          <t>VÄRMLANDS LÄN</t>
        </is>
      </c>
      <c r="E1021" t="inlineStr">
        <is>
          <t>KARLSTAD</t>
        </is>
      </c>
      <c r="G1021" t="n">
        <v>6.3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38215-2024</t>
        </is>
      </c>
      <c r="B1022" s="1" t="n">
        <v>45545</v>
      </c>
      <c r="C1022" s="1" t="n">
        <v>45640</v>
      </c>
      <c r="D1022" t="inlineStr">
        <is>
          <t>VÄRMLANDS LÄN</t>
        </is>
      </c>
      <c r="E1022" t="inlineStr">
        <is>
          <t>KARLSTAD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38469-2024</t>
        </is>
      </c>
      <c r="B1023" s="1" t="n">
        <v>45546</v>
      </c>
      <c r="C1023" s="1" t="n">
        <v>45640</v>
      </c>
      <c r="D1023" t="inlineStr">
        <is>
          <t>VÄRMLANDS LÄN</t>
        </is>
      </c>
      <c r="E1023" t="inlineStr">
        <is>
          <t>KARLSTAD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38495-2024</t>
        </is>
      </c>
      <c r="B1024" s="1" t="n">
        <v>45546</v>
      </c>
      <c r="C1024" s="1" t="n">
        <v>45640</v>
      </c>
      <c r="D1024" t="inlineStr">
        <is>
          <t>VÄRMLANDS LÄN</t>
        </is>
      </c>
      <c r="E1024" t="inlineStr">
        <is>
          <t>KARLSTAD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38561-2024</t>
        </is>
      </c>
      <c r="B1025" s="1" t="n">
        <v>45546</v>
      </c>
      <c r="C1025" s="1" t="n">
        <v>45640</v>
      </c>
      <c r="D1025" t="inlineStr">
        <is>
          <t>VÄRMLANDS LÄN</t>
        </is>
      </c>
      <c r="E1025" t="inlineStr">
        <is>
          <t>KARLSTAD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39038-2024</t>
        </is>
      </c>
      <c r="B1026" s="1" t="n">
        <v>45548</v>
      </c>
      <c r="C1026" s="1" t="n">
        <v>45640</v>
      </c>
      <c r="D1026" t="inlineStr">
        <is>
          <t>VÄRMLANDS LÄN</t>
        </is>
      </c>
      <c r="E1026" t="inlineStr">
        <is>
          <t>KARLSTAD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39504-2024</t>
        </is>
      </c>
      <c r="B1027" s="1" t="n">
        <v>45551</v>
      </c>
      <c r="C1027" s="1" t="n">
        <v>45640</v>
      </c>
      <c r="D1027" t="inlineStr">
        <is>
          <t>VÄRMLANDS LÄN</t>
        </is>
      </c>
      <c r="E1027" t="inlineStr">
        <is>
          <t>KARLSTAD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39555-2024</t>
        </is>
      </c>
      <c r="B1028" s="1" t="n">
        <v>45551</v>
      </c>
      <c r="C1028" s="1" t="n">
        <v>45640</v>
      </c>
      <c r="D1028" t="inlineStr">
        <is>
          <t>VÄRMLANDS LÄN</t>
        </is>
      </c>
      <c r="E1028" t="inlineStr">
        <is>
          <t>KARLSTAD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39795-2024</t>
        </is>
      </c>
      <c r="B1029" s="1" t="n">
        <v>45553</v>
      </c>
      <c r="C1029" s="1" t="n">
        <v>45640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39886-2024</t>
        </is>
      </c>
      <c r="B1030" s="1" t="n">
        <v>45553</v>
      </c>
      <c r="C1030" s="1" t="n">
        <v>45640</v>
      </c>
      <c r="D1030" t="inlineStr">
        <is>
          <t>VÄRMLANDS LÄN</t>
        </is>
      </c>
      <c r="E1030" t="inlineStr">
        <is>
          <t>KARLSTAD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39792-2024</t>
        </is>
      </c>
      <c r="B1031" s="1" t="n">
        <v>45553</v>
      </c>
      <c r="C1031" s="1" t="n">
        <v>45640</v>
      </c>
      <c r="D1031" t="inlineStr">
        <is>
          <t>VÄRMLANDS LÄN</t>
        </is>
      </c>
      <c r="E1031" t="inlineStr">
        <is>
          <t>KARLSTAD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39796-2024</t>
        </is>
      </c>
      <c r="B1032" s="1" t="n">
        <v>45553</v>
      </c>
      <c r="C1032" s="1" t="n">
        <v>45640</v>
      </c>
      <c r="D1032" t="inlineStr">
        <is>
          <t>VÄRMLANDS LÄN</t>
        </is>
      </c>
      <c r="E1032" t="inlineStr">
        <is>
          <t>KARLSTAD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41376-2024</t>
        </is>
      </c>
      <c r="B1033" s="1" t="n">
        <v>45559</v>
      </c>
      <c r="C1033" s="1" t="n">
        <v>45640</v>
      </c>
      <c r="D1033" t="inlineStr">
        <is>
          <t>VÄRMLANDS LÄN</t>
        </is>
      </c>
      <c r="E1033" t="inlineStr">
        <is>
          <t>KARLSTAD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41514-2024</t>
        </is>
      </c>
      <c r="B1034" s="1" t="n">
        <v>45560</v>
      </c>
      <c r="C1034" s="1" t="n">
        <v>45640</v>
      </c>
      <c r="D1034" t="inlineStr">
        <is>
          <t>VÄRMLANDS LÄN</t>
        </is>
      </c>
      <c r="E1034" t="inlineStr">
        <is>
          <t>KARLSTAD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41654-2024</t>
        </is>
      </c>
      <c r="B1035" s="1" t="n">
        <v>45560</v>
      </c>
      <c r="C1035" s="1" t="n">
        <v>45640</v>
      </c>
      <c r="D1035" t="inlineStr">
        <is>
          <t>VÄRMLANDS LÄN</t>
        </is>
      </c>
      <c r="E1035" t="inlineStr">
        <is>
          <t>KARLSTAD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41491-2024</t>
        </is>
      </c>
      <c r="B1036" s="1" t="n">
        <v>45560</v>
      </c>
      <c r="C1036" s="1" t="n">
        <v>45640</v>
      </c>
      <c r="D1036" t="inlineStr">
        <is>
          <t>VÄRMLANDS LÄN</t>
        </is>
      </c>
      <c r="E1036" t="inlineStr">
        <is>
          <t>KARLSTAD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41457-2024</t>
        </is>
      </c>
      <c r="B1037" s="1" t="n">
        <v>45560</v>
      </c>
      <c r="C1037" s="1" t="n">
        <v>45640</v>
      </c>
      <c r="D1037" t="inlineStr">
        <is>
          <t>VÄRMLANDS LÄN</t>
        </is>
      </c>
      <c r="E1037" t="inlineStr">
        <is>
          <t>KARLSTAD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42465-2024</t>
        </is>
      </c>
      <c r="B1038" s="1" t="n">
        <v>45565</v>
      </c>
      <c r="C1038" s="1" t="n">
        <v>45640</v>
      </c>
      <c r="D1038" t="inlineStr">
        <is>
          <t>VÄRMLANDS LÄN</t>
        </is>
      </c>
      <c r="E1038" t="inlineStr">
        <is>
          <t>KARLSTAD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42929-2024</t>
        </is>
      </c>
      <c r="B1039" s="1" t="n">
        <v>45567</v>
      </c>
      <c r="C1039" s="1" t="n">
        <v>45640</v>
      </c>
      <c r="D1039" t="inlineStr">
        <is>
          <t>VÄRMLANDS LÄN</t>
        </is>
      </c>
      <c r="E1039" t="inlineStr">
        <is>
          <t>KARLSTAD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43376-2024</t>
        </is>
      </c>
      <c r="B1040" s="1" t="n">
        <v>45568</v>
      </c>
      <c r="C1040" s="1" t="n">
        <v>45640</v>
      </c>
      <c r="D1040" t="inlineStr">
        <is>
          <t>VÄRMLANDS LÄN</t>
        </is>
      </c>
      <c r="E1040" t="inlineStr">
        <is>
          <t>KARLSTAD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44085-2024</t>
        </is>
      </c>
      <c r="B1041" s="1" t="n">
        <v>45572</v>
      </c>
      <c r="C1041" s="1" t="n">
        <v>45640</v>
      </c>
      <c r="D1041" t="inlineStr">
        <is>
          <t>VÄRMLANDS LÄN</t>
        </is>
      </c>
      <c r="E1041" t="inlineStr">
        <is>
          <t>KARLSTAD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44097-2024</t>
        </is>
      </c>
      <c r="B1042" s="1" t="n">
        <v>45572</v>
      </c>
      <c r="C1042" s="1" t="n">
        <v>45640</v>
      </c>
      <c r="D1042" t="inlineStr">
        <is>
          <t>VÄRMLANDS LÄN</t>
        </is>
      </c>
      <c r="E1042" t="inlineStr">
        <is>
          <t>KARLSTAD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44101-2024</t>
        </is>
      </c>
      <c r="B1043" s="1" t="n">
        <v>45572</v>
      </c>
      <c r="C1043" s="1" t="n">
        <v>45640</v>
      </c>
      <c r="D1043" t="inlineStr">
        <is>
          <t>VÄRMLANDS LÄN</t>
        </is>
      </c>
      <c r="E1043" t="inlineStr">
        <is>
          <t>KARLSTAD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44099-2024</t>
        </is>
      </c>
      <c r="B1044" s="1" t="n">
        <v>45572</v>
      </c>
      <c r="C1044" s="1" t="n">
        <v>45640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44094-2024</t>
        </is>
      </c>
      <c r="B1045" s="1" t="n">
        <v>45572</v>
      </c>
      <c r="C1045" s="1" t="n">
        <v>45640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45231-2024</t>
        </is>
      </c>
      <c r="B1046" s="1" t="n">
        <v>45575</v>
      </c>
      <c r="C1046" s="1" t="n">
        <v>45640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44857-2024</t>
        </is>
      </c>
      <c r="B1047" s="1" t="n">
        <v>45575</v>
      </c>
      <c r="C1047" s="1" t="n">
        <v>45640</v>
      </c>
      <c r="D1047" t="inlineStr">
        <is>
          <t>VÄRMLANDS LÄN</t>
        </is>
      </c>
      <c r="E1047" t="inlineStr">
        <is>
          <t>KARLSTAD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45365-2024</t>
        </is>
      </c>
      <c r="B1048" s="1" t="n">
        <v>45576</v>
      </c>
      <c r="C1048" s="1" t="n">
        <v>45640</v>
      </c>
      <c r="D1048" t="inlineStr">
        <is>
          <t>VÄRMLANDS LÄN</t>
        </is>
      </c>
      <c r="E1048" t="inlineStr">
        <is>
          <t>KARLSTAD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45769-2024</t>
        </is>
      </c>
      <c r="B1049" s="1" t="n">
        <v>45579</v>
      </c>
      <c r="C1049" s="1" t="n">
        <v>45640</v>
      </c>
      <c r="D1049" t="inlineStr">
        <is>
          <t>VÄRMLANDS LÄN</t>
        </is>
      </c>
      <c r="E1049" t="inlineStr">
        <is>
          <t>KARLSTAD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46098-2024</t>
        </is>
      </c>
      <c r="B1050" s="1" t="n">
        <v>45581</v>
      </c>
      <c r="C1050" s="1" t="n">
        <v>45640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46173-2024</t>
        </is>
      </c>
      <c r="B1051" s="1" t="n">
        <v>45581</v>
      </c>
      <c r="C1051" s="1" t="n">
        <v>45640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46109-2024</t>
        </is>
      </c>
      <c r="B1052" s="1" t="n">
        <v>45581</v>
      </c>
      <c r="C1052" s="1" t="n">
        <v>45640</v>
      </c>
      <c r="D1052" t="inlineStr">
        <is>
          <t>VÄRMLANDS LÄN</t>
        </is>
      </c>
      <c r="E1052" t="inlineStr">
        <is>
          <t>KARLSTAD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46176-2024</t>
        </is>
      </c>
      <c r="B1053" s="1" t="n">
        <v>45581</v>
      </c>
      <c r="C1053" s="1" t="n">
        <v>45640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46174-2024</t>
        </is>
      </c>
      <c r="B1054" s="1" t="n">
        <v>45581</v>
      </c>
      <c r="C1054" s="1" t="n">
        <v>45640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45640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46335-2024</t>
        </is>
      </c>
      <c r="B1056" s="1" t="n">
        <v>45582</v>
      </c>
      <c r="C1056" s="1" t="n">
        <v>45640</v>
      </c>
      <c r="D1056" t="inlineStr">
        <is>
          <t>VÄRMLANDS LÄN</t>
        </is>
      </c>
      <c r="E1056" t="inlineStr">
        <is>
          <t>KARLSTAD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46336-2024</t>
        </is>
      </c>
      <c r="B1057" s="1" t="n">
        <v>45582</v>
      </c>
      <c r="C1057" s="1" t="n">
        <v>45640</v>
      </c>
      <c r="D1057" t="inlineStr">
        <is>
          <t>VÄRMLANDS LÄN</t>
        </is>
      </c>
      <c r="E1057" t="inlineStr">
        <is>
          <t>KARLSTAD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46898-2024</t>
        </is>
      </c>
      <c r="B1058" s="1" t="n">
        <v>45583</v>
      </c>
      <c r="C1058" s="1" t="n">
        <v>45640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Kommuner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48327-2024</t>
        </is>
      </c>
      <c r="B1059" s="1" t="n">
        <v>45590</v>
      </c>
      <c r="C1059" s="1" t="n">
        <v>45640</v>
      </c>
      <c r="D1059" t="inlineStr">
        <is>
          <t>VÄRMLANDS LÄN</t>
        </is>
      </c>
      <c r="E1059" t="inlineStr">
        <is>
          <t>KARLSTAD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48477-2024</t>
        </is>
      </c>
      <c r="B1060" s="1" t="n">
        <v>45591</v>
      </c>
      <c r="C1060" s="1" t="n">
        <v>45640</v>
      </c>
      <c r="D1060" t="inlineStr">
        <is>
          <t>VÄRMLANDS LÄN</t>
        </is>
      </c>
      <c r="E1060" t="inlineStr">
        <is>
          <t>KARLSTAD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49173-2024</t>
        </is>
      </c>
      <c r="B1061" s="1" t="n">
        <v>45595</v>
      </c>
      <c r="C1061" s="1" t="n">
        <v>45640</v>
      </c>
      <c r="D1061" t="inlineStr">
        <is>
          <t>VÄRMLANDS LÄN</t>
        </is>
      </c>
      <c r="E1061" t="inlineStr">
        <is>
          <t>KARLSTAD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49644-2024</t>
        </is>
      </c>
      <c r="B1062" s="1" t="n">
        <v>45596</v>
      </c>
      <c r="C1062" s="1" t="n">
        <v>45640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50224-2024</t>
        </is>
      </c>
      <c r="B1063" s="1" t="n">
        <v>45600</v>
      </c>
      <c r="C1063" s="1" t="n">
        <v>45640</v>
      </c>
      <c r="D1063" t="inlineStr">
        <is>
          <t>VÄRMLANDS LÄN</t>
        </is>
      </c>
      <c r="E1063" t="inlineStr">
        <is>
          <t>KARLSTAD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50236-2024</t>
        </is>
      </c>
      <c r="B1064" s="1" t="n">
        <v>45600</v>
      </c>
      <c r="C1064" s="1" t="n">
        <v>45640</v>
      </c>
      <c r="D1064" t="inlineStr">
        <is>
          <t>VÄRMLANDS LÄN</t>
        </is>
      </c>
      <c r="E1064" t="inlineStr">
        <is>
          <t>KARLSTAD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50475-2024</t>
        </is>
      </c>
      <c r="B1065" s="1" t="n">
        <v>45601</v>
      </c>
      <c r="C1065" s="1" t="n">
        <v>45640</v>
      </c>
      <c r="D1065" t="inlineStr">
        <is>
          <t>VÄRMLANDS LÄN</t>
        </is>
      </c>
      <c r="E1065" t="inlineStr">
        <is>
          <t>KARLSTAD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50478-2024</t>
        </is>
      </c>
      <c r="B1066" s="1" t="n">
        <v>45601</v>
      </c>
      <c r="C1066" s="1" t="n">
        <v>45640</v>
      </c>
      <c r="D1066" t="inlineStr">
        <is>
          <t>VÄRMLANDS LÄN</t>
        </is>
      </c>
      <c r="E1066" t="inlineStr">
        <is>
          <t>KARLSTAD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50683-2024</t>
        </is>
      </c>
      <c r="B1067" s="1" t="n">
        <v>45602</v>
      </c>
      <c r="C1067" s="1" t="n">
        <v>45640</v>
      </c>
      <c r="D1067" t="inlineStr">
        <is>
          <t>VÄRMLANDS LÄN</t>
        </is>
      </c>
      <c r="E1067" t="inlineStr">
        <is>
          <t>KARLSTAD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51031-2024</t>
        </is>
      </c>
      <c r="B1068" s="1" t="n">
        <v>45603</v>
      </c>
      <c r="C1068" s="1" t="n">
        <v>45640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51895-2024</t>
        </is>
      </c>
      <c r="B1069" s="1" t="n">
        <v>45607</v>
      </c>
      <c r="C1069" s="1" t="n">
        <v>45640</v>
      </c>
      <c r="D1069" t="inlineStr">
        <is>
          <t>VÄRMLANDS LÄN</t>
        </is>
      </c>
      <c r="E1069" t="inlineStr">
        <is>
          <t>KARLSTAD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51877-2024</t>
        </is>
      </c>
      <c r="B1070" s="1" t="n">
        <v>45607</v>
      </c>
      <c r="C1070" s="1" t="n">
        <v>45640</v>
      </c>
      <c r="D1070" t="inlineStr">
        <is>
          <t>VÄRMLANDS LÄN</t>
        </is>
      </c>
      <c r="E1070" t="inlineStr">
        <is>
          <t>KARLSTAD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52397-2024</t>
        </is>
      </c>
      <c r="B1071" s="1" t="n">
        <v>45609</v>
      </c>
      <c r="C1071" s="1" t="n">
        <v>45640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52505-2024</t>
        </is>
      </c>
      <c r="B1072" s="1" t="n">
        <v>45609</v>
      </c>
      <c r="C1072" s="1" t="n">
        <v>45640</v>
      </c>
      <c r="D1072" t="inlineStr">
        <is>
          <t>VÄRMLANDS LÄN</t>
        </is>
      </c>
      <c r="E1072" t="inlineStr">
        <is>
          <t>KARLSTAD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53202-2024</t>
        </is>
      </c>
      <c r="B1073" s="1" t="n">
        <v>45612</v>
      </c>
      <c r="C1073" s="1" t="n">
        <v>45640</v>
      </c>
      <c r="D1073" t="inlineStr">
        <is>
          <t>VÄRMLANDS LÄN</t>
        </is>
      </c>
      <c r="E1073" t="inlineStr">
        <is>
          <t>KARLSTAD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53456-2024</t>
        </is>
      </c>
      <c r="B1074" s="1" t="n">
        <v>45614</v>
      </c>
      <c r="C1074" s="1" t="n">
        <v>45640</v>
      </c>
      <c r="D1074" t="inlineStr">
        <is>
          <t>VÄRMLANDS LÄN</t>
        </is>
      </c>
      <c r="E1074" t="inlineStr">
        <is>
          <t>KARLSTAD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53654-2024</t>
        </is>
      </c>
      <c r="B1075" s="1" t="n">
        <v>45615</v>
      </c>
      <c r="C1075" s="1" t="n">
        <v>45640</v>
      </c>
      <c r="D1075" t="inlineStr">
        <is>
          <t>VÄRMLANDS LÄN</t>
        </is>
      </c>
      <c r="E1075" t="inlineStr">
        <is>
          <t>KARLSTAD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53656-2024</t>
        </is>
      </c>
      <c r="B1076" s="1" t="n">
        <v>45615</v>
      </c>
      <c r="C1076" s="1" t="n">
        <v>45640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54141-2024</t>
        </is>
      </c>
      <c r="B1077" s="1" t="n">
        <v>45616</v>
      </c>
      <c r="C1077" s="1" t="n">
        <v>45640</v>
      </c>
      <c r="D1077" t="inlineStr">
        <is>
          <t>VÄRMLANDS LÄN</t>
        </is>
      </c>
      <c r="E1077" t="inlineStr">
        <is>
          <t>KARLSTAD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54225-2024</t>
        </is>
      </c>
      <c r="B1078" s="1" t="n">
        <v>45616</v>
      </c>
      <c r="C1078" s="1" t="n">
        <v>45640</v>
      </c>
      <c r="D1078" t="inlineStr">
        <is>
          <t>VÄRMLANDS LÄN</t>
        </is>
      </c>
      <c r="E1078" t="inlineStr">
        <is>
          <t>KARLSTAD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45640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54219-2024</t>
        </is>
      </c>
      <c r="B1080" s="1" t="n">
        <v>45616</v>
      </c>
      <c r="C1080" s="1" t="n">
        <v>45640</v>
      </c>
      <c r="D1080" t="inlineStr">
        <is>
          <t>VÄRMLANDS LÄN</t>
        </is>
      </c>
      <c r="E1080" t="inlineStr">
        <is>
          <t>KARLSTAD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54292-2024</t>
        </is>
      </c>
      <c r="B1081" s="1" t="n">
        <v>45617</v>
      </c>
      <c r="C1081" s="1" t="n">
        <v>45640</v>
      </c>
      <c r="D1081" t="inlineStr">
        <is>
          <t>VÄRMLANDS LÄN</t>
        </is>
      </c>
      <c r="E1081" t="inlineStr">
        <is>
          <t>KARLSTAD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54611-2024</t>
        </is>
      </c>
      <c r="B1082" s="1" t="n">
        <v>45617</v>
      </c>
      <c r="C1082" s="1" t="n">
        <v>45640</v>
      </c>
      <c r="D1082" t="inlineStr">
        <is>
          <t>VÄRMLANDS LÄN</t>
        </is>
      </c>
      <c r="E1082" t="inlineStr">
        <is>
          <t>KARLSTAD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54648-2024</t>
        </is>
      </c>
      <c r="B1083" s="1" t="n">
        <v>45617</v>
      </c>
      <c r="C1083" s="1" t="n">
        <v>45640</v>
      </c>
      <c r="D1083" t="inlineStr">
        <is>
          <t>VÄRMLANDS LÄN</t>
        </is>
      </c>
      <c r="E1083" t="inlineStr">
        <is>
          <t>KARLSTAD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54668-2024</t>
        </is>
      </c>
      <c r="B1084" s="1" t="n">
        <v>45618</v>
      </c>
      <c r="C1084" s="1" t="n">
        <v>45640</v>
      </c>
      <c r="D1084" t="inlineStr">
        <is>
          <t>VÄRMLANDS LÄN</t>
        </is>
      </c>
      <c r="E1084" t="inlineStr">
        <is>
          <t>KARLSTAD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45640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45640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55081-2024</t>
        </is>
      </c>
      <c r="B1087" s="1" t="n">
        <v>45621</v>
      </c>
      <c r="C1087" s="1" t="n">
        <v>45640</v>
      </c>
      <c r="D1087" t="inlineStr">
        <is>
          <t>VÄRMLANDS LÄN</t>
        </is>
      </c>
      <c r="E1087" t="inlineStr">
        <is>
          <t>KARLSTAD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55646-2024</t>
        </is>
      </c>
      <c r="B1088" s="1" t="n">
        <v>45622</v>
      </c>
      <c r="C1088" s="1" t="n">
        <v>45640</v>
      </c>
      <c r="D1088" t="inlineStr">
        <is>
          <t>VÄRMLANDS LÄN</t>
        </is>
      </c>
      <c r="E1088" t="inlineStr">
        <is>
          <t>KARLSTAD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45640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45640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55891-2024</t>
        </is>
      </c>
      <c r="B1091" s="1" t="n">
        <v>45622</v>
      </c>
      <c r="C1091" s="1" t="n">
        <v>45640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55728-2024</t>
        </is>
      </c>
      <c r="B1092" s="1" t="n">
        <v>45622</v>
      </c>
      <c r="C1092" s="1" t="n">
        <v>45640</v>
      </c>
      <c r="D1092" t="inlineStr">
        <is>
          <t>VÄRMLANDS LÄN</t>
        </is>
      </c>
      <c r="E1092" t="inlineStr">
        <is>
          <t>KARLSTAD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55746-2024</t>
        </is>
      </c>
      <c r="B1093" s="1" t="n">
        <v>45623</v>
      </c>
      <c r="C1093" s="1" t="n">
        <v>45640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55885-2024</t>
        </is>
      </c>
      <c r="B1094" s="1" t="n">
        <v>45623</v>
      </c>
      <c r="C1094" s="1" t="n">
        <v>45640</v>
      </c>
      <c r="D1094" t="inlineStr">
        <is>
          <t>VÄRMLANDS LÄN</t>
        </is>
      </c>
      <c r="E1094" t="inlineStr">
        <is>
          <t>KARLSTAD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55763-2024</t>
        </is>
      </c>
      <c r="B1095" s="1" t="n">
        <v>45623</v>
      </c>
      <c r="C1095" s="1" t="n">
        <v>45640</v>
      </c>
      <c r="D1095" t="inlineStr">
        <is>
          <t>VÄRMLANDS LÄN</t>
        </is>
      </c>
      <c r="E1095" t="inlineStr">
        <is>
          <t>KARLSTAD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55765-2024</t>
        </is>
      </c>
      <c r="B1096" s="1" t="n">
        <v>45623</v>
      </c>
      <c r="C1096" s="1" t="n">
        <v>45640</v>
      </c>
      <c r="D1096" t="inlineStr">
        <is>
          <t>VÄRMLANDS LÄN</t>
        </is>
      </c>
      <c r="E1096" t="inlineStr">
        <is>
          <t>KARLSTAD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55953-2024</t>
        </is>
      </c>
      <c r="B1097" s="1" t="n">
        <v>45623</v>
      </c>
      <c r="C1097" s="1" t="n">
        <v>45640</v>
      </c>
      <c r="D1097" t="inlineStr">
        <is>
          <t>VÄRMLANDS LÄN</t>
        </is>
      </c>
      <c r="E1097" t="inlineStr">
        <is>
          <t>KARLSTAD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56541-2024</t>
        </is>
      </c>
      <c r="B1098" s="1" t="n">
        <v>45625</v>
      </c>
      <c r="C1098" s="1" t="n">
        <v>45640</v>
      </c>
      <c r="D1098" t="inlineStr">
        <is>
          <t>VÄRMLANDS LÄN</t>
        </is>
      </c>
      <c r="E1098" t="inlineStr">
        <is>
          <t>KARLSTAD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45640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45640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56718-2024</t>
        </is>
      </c>
      <c r="B1101" s="1" t="n">
        <v>45628</v>
      </c>
      <c r="C1101" s="1" t="n">
        <v>45640</v>
      </c>
      <c r="D1101" t="inlineStr">
        <is>
          <t>VÄRMLANDS LÄN</t>
        </is>
      </c>
      <c r="E1101" t="inlineStr">
        <is>
          <t>KARLSTAD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57145-2024</t>
        </is>
      </c>
      <c r="B1102" s="1" t="n">
        <v>45629</v>
      </c>
      <c r="C1102" s="1" t="n">
        <v>45640</v>
      </c>
      <c r="D1102" t="inlineStr">
        <is>
          <t>VÄRMLANDS LÄN</t>
        </is>
      </c>
      <c r="E1102" t="inlineStr">
        <is>
          <t>KARLSTAD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57148-2024</t>
        </is>
      </c>
      <c r="B1103" s="1" t="n">
        <v>45629</v>
      </c>
      <c r="C1103" s="1" t="n">
        <v>45640</v>
      </c>
      <c r="D1103" t="inlineStr">
        <is>
          <t>VÄRMLANDS LÄN</t>
        </is>
      </c>
      <c r="E1103" t="inlineStr">
        <is>
          <t>KARLSTAD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57153-2024</t>
        </is>
      </c>
      <c r="B1104" s="1" t="n">
        <v>45629</v>
      </c>
      <c r="C1104" s="1" t="n">
        <v>45640</v>
      </c>
      <c r="D1104" t="inlineStr">
        <is>
          <t>VÄRMLANDS LÄN</t>
        </is>
      </c>
      <c r="E1104" t="inlineStr">
        <is>
          <t>KARLSTAD</t>
        </is>
      </c>
      <c r="G1104" t="n">
        <v>8.6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57149-2024</t>
        </is>
      </c>
      <c r="B1105" s="1" t="n">
        <v>45629</v>
      </c>
      <c r="C1105" s="1" t="n">
        <v>45640</v>
      </c>
      <c r="D1105" t="inlineStr">
        <is>
          <t>VÄRMLANDS LÄN</t>
        </is>
      </c>
      <c r="E1105" t="inlineStr">
        <is>
          <t>KARLSTAD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45640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45640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57322-2024</t>
        </is>
      </c>
      <c r="B1108" s="1" t="n">
        <v>45629</v>
      </c>
      <c r="C1108" s="1" t="n">
        <v>45640</v>
      </c>
      <c r="D1108" t="inlineStr">
        <is>
          <t>VÄRMLANDS LÄN</t>
        </is>
      </c>
      <c r="E1108" t="inlineStr">
        <is>
          <t>KARLSTAD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57587-2024</t>
        </is>
      </c>
      <c r="B1109" s="1" t="n">
        <v>45630</v>
      </c>
      <c r="C1109" s="1" t="n">
        <v>45640</v>
      </c>
      <c r="D1109" t="inlineStr">
        <is>
          <t>VÄRMLANDS LÄN</t>
        </is>
      </c>
      <c r="E1109" t="inlineStr">
        <is>
          <t>KARLSTAD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57607-2024</t>
        </is>
      </c>
      <c r="B1110" s="1" t="n">
        <v>45630</v>
      </c>
      <c r="C1110" s="1" t="n">
        <v>45640</v>
      </c>
      <c r="D1110" t="inlineStr">
        <is>
          <t>VÄRMLANDS LÄN</t>
        </is>
      </c>
      <c r="E1110" t="inlineStr">
        <is>
          <t>KARLSTAD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57611-2024</t>
        </is>
      </c>
      <c r="B1111" s="1" t="n">
        <v>45630</v>
      </c>
      <c r="C1111" s="1" t="n">
        <v>45640</v>
      </c>
      <c r="D1111" t="inlineStr">
        <is>
          <t>VÄRMLANDS LÄN</t>
        </is>
      </c>
      <c r="E1111" t="inlineStr">
        <is>
          <t>KARLSTAD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57548-2024</t>
        </is>
      </c>
      <c r="B1112" s="1" t="n">
        <v>45630</v>
      </c>
      <c r="C1112" s="1" t="n">
        <v>45640</v>
      </c>
      <c r="D1112" t="inlineStr">
        <is>
          <t>VÄRMLANDS LÄN</t>
        </is>
      </c>
      <c r="E1112" t="inlineStr">
        <is>
          <t>KARLSTAD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57503-2024</t>
        </is>
      </c>
      <c r="B1113" s="1" t="n">
        <v>45630</v>
      </c>
      <c r="C1113" s="1" t="n">
        <v>45640</v>
      </c>
      <c r="D1113" t="inlineStr">
        <is>
          <t>VÄRMLANDS LÄN</t>
        </is>
      </c>
      <c r="E1113" t="inlineStr">
        <is>
          <t>KARLSTAD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57541-2024</t>
        </is>
      </c>
      <c r="B1114" s="1" t="n">
        <v>45630</v>
      </c>
      <c r="C1114" s="1" t="n">
        <v>45640</v>
      </c>
      <c r="D1114" t="inlineStr">
        <is>
          <t>VÄRMLANDS LÄN</t>
        </is>
      </c>
      <c r="E1114" t="inlineStr">
        <is>
          <t>KARLSTAD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58109-2024</t>
        </is>
      </c>
      <c r="B1115" s="1" t="n">
        <v>45632</v>
      </c>
      <c r="C1115" s="1" t="n">
        <v>45640</v>
      </c>
      <c r="D1115" t="inlineStr">
        <is>
          <t>VÄRMLANDS LÄN</t>
        </is>
      </c>
      <c r="E1115" t="inlineStr">
        <is>
          <t>KARLSTAD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58656-2024</t>
        </is>
      </c>
      <c r="B1116" s="1" t="n">
        <v>45635</v>
      </c>
      <c r="C1116" s="1" t="n">
        <v>45640</v>
      </c>
      <c r="D1116" t="inlineStr">
        <is>
          <t>VÄRMLANDS LÄN</t>
        </is>
      </c>
      <c r="E1116" t="inlineStr">
        <is>
          <t>KARLSTAD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58653-2024</t>
        </is>
      </c>
      <c r="B1117" s="1" t="n">
        <v>45635</v>
      </c>
      <c r="C1117" s="1" t="n">
        <v>45640</v>
      </c>
      <c r="D1117" t="inlineStr">
        <is>
          <t>VÄRMLANDS LÄN</t>
        </is>
      </c>
      <c r="E1117" t="inlineStr">
        <is>
          <t>KARLSTAD</t>
        </is>
      </c>
      <c r="G1117" t="n">
        <v>18.5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59055-2024</t>
        </is>
      </c>
      <c r="B1118" s="1" t="n">
        <v>45636</v>
      </c>
      <c r="C1118" s="1" t="n">
        <v>45640</v>
      </c>
      <c r="D1118" t="inlineStr">
        <is>
          <t>VÄRMLANDS LÄN</t>
        </is>
      </c>
      <c r="E1118" t="inlineStr">
        <is>
          <t>KARLSTAD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59528-2024</t>
        </is>
      </c>
      <c r="B1119" s="1" t="n">
        <v>45638</v>
      </c>
      <c r="C1119" s="1" t="n">
        <v>45640</v>
      </c>
      <c r="D1119" t="inlineStr">
        <is>
          <t>VÄRMLANDS LÄN</t>
        </is>
      </c>
      <c r="E1119" t="inlineStr">
        <is>
          <t>KARLSTAD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2024-12-14T15:58:21Z</dcterms:created>
  <dcterms:modified xmlns:dcterms="http://purl.org/dc/terms/" xmlns:xsi="http://www.w3.org/2001/XMLSchema-instance" xsi:type="dcterms:W3CDTF">2024-12-14T15:58:22Z</dcterms:modified>
</cp:coreProperties>
</file>