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45567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45567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45567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45567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45567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45567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45567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45567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45567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45567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45567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31896-2021</t>
        </is>
      </c>
      <c r="B13" s="1" t="n">
        <v>44370</v>
      </c>
      <c r="C13" s="1" t="n">
        <v>45567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3.3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Vågticka
Brun gräsfjäril
Vågbandad barkbock</t>
        </is>
      </c>
      <c r="S13">
        <f>HYPERLINK("https://klasma.github.io/Logging_1780/artfynd/A 31896-2021 artfynd.xlsx", "A 31896-2021")</f>
        <v/>
      </c>
      <c r="T13">
        <f>HYPERLINK("https://klasma.github.io/Logging_1780/kartor/A 31896-2021 karta.png", "A 31896-2021")</f>
        <v/>
      </c>
      <c r="V13">
        <f>HYPERLINK("https://klasma.github.io/Logging_1780/klagomål/A 31896-2021 FSC-klagomål.docx", "A 31896-2021")</f>
        <v/>
      </c>
      <c r="W13">
        <f>HYPERLINK("https://klasma.github.io/Logging_1780/klagomålsmail/A 31896-2021 FSC-klagomål mail.docx", "A 31896-2021")</f>
        <v/>
      </c>
      <c r="X13">
        <f>HYPERLINK("https://klasma.github.io/Logging_1780/tillsyn/A 31896-2021 tillsynsbegäran.docx", "A 31896-2021")</f>
        <v/>
      </c>
      <c r="Y13">
        <f>HYPERLINK("https://klasma.github.io/Logging_1780/tillsynsmail/A 31896-2021 tillsynsbegäran mail.docx", "A 31896-2021")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45567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45567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45567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45567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45567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45567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20946-2024</t>
        </is>
      </c>
      <c r="B20" s="1" t="n">
        <v>45439</v>
      </c>
      <c r="C20" s="1" t="n">
        <v>45567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4.9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Spillkråka
Vågbandad barkbock</t>
        </is>
      </c>
      <c r="S20">
        <f>HYPERLINK("https://klasma.github.io/Logging_1780/artfynd/A 20946-2024 artfynd.xlsx", "A 20946-2024")</f>
        <v/>
      </c>
      <c r="T20">
        <f>HYPERLINK("https://klasma.github.io/Logging_1780/kartor/A 20946-2024 karta.png", "A 20946-2024")</f>
        <v/>
      </c>
      <c r="V20">
        <f>HYPERLINK("https://klasma.github.io/Logging_1780/klagomål/A 20946-2024 FSC-klagomål.docx", "A 20946-2024")</f>
        <v/>
      </c>
      <c r="W20">
        <f>HYPERLINK("https://klasma.github.io/Logging_1780/klagomålsmail/A 20946-2024 FSC-klagomål mail.docx", "A 20946-2024")</f>
        <v/>
      </c>
      <c r="X20">
        <f>HYPERLINK("https://klasma.github.io/Logging_1780/tillsyn/A 20946-2024 tillsynsbegäran.docx", "A 20946-2024")</f>
        <v/>
      </c>
      <c r="Y20">
        <f>HYPERLINK("https://klasma.github.io/Logging_1780/tillsynsmail/A 20946-2024 tillsynsbegäran mail.docx", "A 20946-2024")</f>
        <v/>
      </c>
      <c r="Z20">
        <f>HYPERLINK("https://klasma.github.io/Logging_1780/fåglar/A 20946-2024 prioriterade fågelarter.docx", "A 20946-2024")</f>
        <v/>
      </c>
    </row>
    <row r="21" ht="15" customHeight="1">
      <c r="A21" t="inlineStr">
        <is>
          <t>A 18231-2020</t>
        </is>
      </c>
      <c r="B21" s="1" t="n">
        <v>43928</v>
      </c>
      <c r="C21" s="1" t="n">
        <v>45567</v>
      </c>
      <c r="D21" t="inlineStr">
        <is>
          <t>VÄRMLANDS LÄN</t>
        </is>
      </c>
      <c r="E21" t="inlineStr">
        <is>
          <t>KARLSTAD</t>
        </is>
      </c>
      <c r="G21" t="n">
        <v>0.5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HYPERLINK("https://klasma.github.io/Logging_1780/artfynd/A 18231-2020 artfynd.xlsx", "A 18231-2020")</f>
        <v/>
      </c>
      <c r="T21">
        <f>HYPERLINK("https://klasma.github.io/Logging_1780/kartor/A 18231-2020 karta.png", "A 18231-2020")</f>
        <v/>
      </c>
      <c r="U21">
        <f>HYPERLINK("https://klasma.github.io/Logging_1780/knärot/A 18231-2020 karta knärot.png", "A 18231-2020")</f>
        <v/>
      </c>
      <c r="V21">
        <f>HYPERLINK("https://klasma.github.io/Logging_1780/klagomål/A 18231-2020 FSC-klagomål.docx", "A 18231-2020")</f>
        <v/>
      </c>
      <c r="W21">
        <f>HYPERLINK("https://klasma.github.io/Logging_1780/klagomålsmail/A 18231-2020 FSC-klagomål mail.docx", "A 18231-2020")</f>
        <v/>
      </c>
      <c r="X21">
        <f>HYPERLINK("https://klasma.github.io/Logging_1780/tillsyn/A 18231-2020 tillsynsbegäran.docx", "A 18231-2020")</f>
        <v/>
      </c>
      <c r="Y21">
        <f>HYPERLINK("https://klasma.github.io/Logging_1780/tillsynsmail/A 18231-2020 tillsynsbegäran mail.docx", "A 18231-2020")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45567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45567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45567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45567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45567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45567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45567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45567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45567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45567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45567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45567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45567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45567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45567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45567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45567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45567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45567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45567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45567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45567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45567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45567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45567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45567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45567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45567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45567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45567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45567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45567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45567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45567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45567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45567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45567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45567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45567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45567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45567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45567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45567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45567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45567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45567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45567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45567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45567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45567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45567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45567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45567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45567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45567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45567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45567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45567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45567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45567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45567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45567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45567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45567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45567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45567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45567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45567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45567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45567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45567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45567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45567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45567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45567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45567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45567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45567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45567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45567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45567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45567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45567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45567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45567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45567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45567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45567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45567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45567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45567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45567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45567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45567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45567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45567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45567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45567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45567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45567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45567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45567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45567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45567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45567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45567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45567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45567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45567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45567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45567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45567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45567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45567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45567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45567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45567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45567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45567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45567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45567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45567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45567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45567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45567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45567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45567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45567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45567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45567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45567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45567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45567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45567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45567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45567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45567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45567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45567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45567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45567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45567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45567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45567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45567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45567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45567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45567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45567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45567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45567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45567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45567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45567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45567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45567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45567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45567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45567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45567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45567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45567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45567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45567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45567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45567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45567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45567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45567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45567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45567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45567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45567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45567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45567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45567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45567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45567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45567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45567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45567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45567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45567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45567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45567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45567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45567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45567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45567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45567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45567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45567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45567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45567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45567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45567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45567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45567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45567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45567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45567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45567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45567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45567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45567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45567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45567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45567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45567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45567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45567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45567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45567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45567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45567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45567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45567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45567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45567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45567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45567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45567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45567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45567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45567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45567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45567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45567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45567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45567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45567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45567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45567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45567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45567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45567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45567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45567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45567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45567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45567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45567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45567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45567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45567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45567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45567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45567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45567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45567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45567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45567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45567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45567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45567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45567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45567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45567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45567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45567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45567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45567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45567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45567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45567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45567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45567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45567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45567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45567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45567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45567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45567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45567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45567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45567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45567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45567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45567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45567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45567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45567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45567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45567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45567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45567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45567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45567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45567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45567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45567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45567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45567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45567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45567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45567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45567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45567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45567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45567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45567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45567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45567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45567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45567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45567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45567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45567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45567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45567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45567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45567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45567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45567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45567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45567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45567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45567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45567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45567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45567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45567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45567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45567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45567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45567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45567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45567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45567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45567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45567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45567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45567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45567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45567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45567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45567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45567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45567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45567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45567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45567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45567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45567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45567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45567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45567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45567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45567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45567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45567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45567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45567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45567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45567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45567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45567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45567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45567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45567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45567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45567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45567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45567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45567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45567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45567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45567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45567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45567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45567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45567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45567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45567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45567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45567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45567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45567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45567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45567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45567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45567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45567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45567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45567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45567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45567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45567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45567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45567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45567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45567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45567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45567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45567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45567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45567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45567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45567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45567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45567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45567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45567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45567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45567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45567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45567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45567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45567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45567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45567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45567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45567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45567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45567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45567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45567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45567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45567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45567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45567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45567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45567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45567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45567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45567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45567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45567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45567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45567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45567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45567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45567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45567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45567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45567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45567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45567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45567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45567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45567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45567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45567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45567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45567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45567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45567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45567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45567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45567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45567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45567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45567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45567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45567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45567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45567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45567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45567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45567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45567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45567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45567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45567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45567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45567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45567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45567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45567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45567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45567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45567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45567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45567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45567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45567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45567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45567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45567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45567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45567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45567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45567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45567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45567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45567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45567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45567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45567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45567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45567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45567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45567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45567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45567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45567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45567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45567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45567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45567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45567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45567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45567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45567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45567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45567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45567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45567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45567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45567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45567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45567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45567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45567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45567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45567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45567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45567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45567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45567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45567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45567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45567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45567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45567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45567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45567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45567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45567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45567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45567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45567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45567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45567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45567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45567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45567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45567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45567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45567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45567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45567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45567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45567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45567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45567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45567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45567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45567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45567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45567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45567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45567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45567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45567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45567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45567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45567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45567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45567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45567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45567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45567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45567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45567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45567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45567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45567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45567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45567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45567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45567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45567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45567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45567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45567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45567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45567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45567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45567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45567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45567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45567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45567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45567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45567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45567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45567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45567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45567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45567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45567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45567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45567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45567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45567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45567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45567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45567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45567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45567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45567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45567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45567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45567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45567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45567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45567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45567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45567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45567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45567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45567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45567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45567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45567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45567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45567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45567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45567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45567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45567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45567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45567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45567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45567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45567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45567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45567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45567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45567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45567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45567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45567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45567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45567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45567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45567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45567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45567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45567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45567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45567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45567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45567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45567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45567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45567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45567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45567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45567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45567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45567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45567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45567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45567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45567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45567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45567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45567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45567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45567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45567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45567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45567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45567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45567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45567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45567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45567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45567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45567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45567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45567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45567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45567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45567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45567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45567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45567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45567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45567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45567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45567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45567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45567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45567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45567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45567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45567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45567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45567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45567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45567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45567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45567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45567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45567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45567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45567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45567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45567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45567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45567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45567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45567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45567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45567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45567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45567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45567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45567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45567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45567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45567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45567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45567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45567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45567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45567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45567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45567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45567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45567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45567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45567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45567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45567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45567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45567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45567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45567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45567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45567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45567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45567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45567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45567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45567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45567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45567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45567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45567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45567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45567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45567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45567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45567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45567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45567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45567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45567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45567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45567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45567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45567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45567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45567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45567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45567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45567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45567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45567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45567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45567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45567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45567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45567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45567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45567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45567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45567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45567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45567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45567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45567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45567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45567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45567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45567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45567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45567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45567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45567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45567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45567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45567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45567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45567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45567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45567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45567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45567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45567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45567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45567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45567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45567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45567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45567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45567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45567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45567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45567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45567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45567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45567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45567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45567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45567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45567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45567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45567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45567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45567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45567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45567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45567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45567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45567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45567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45567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45567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45567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45567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45567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45567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45567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45567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45567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45567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45567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45567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45567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45567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45567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45567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45567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45567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45567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45567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45567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45567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45567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45567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45567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45567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45567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45567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45567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45567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45567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45567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45567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45567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45567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45567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45567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45567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45567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45567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45567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45567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45567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45567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45567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45567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45567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45567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45567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45567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45567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45567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45567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45567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45567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45567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45567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45567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45567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45567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45567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45567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45567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45567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45567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45567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45567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45567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45567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45567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45567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45567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45567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45567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45567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45567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45567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45567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45567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45567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45567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45567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45567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45567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45567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45567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45567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45567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45567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45567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45567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45567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45567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45567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45567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45567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45567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45567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45567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45567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45567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45567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45567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45567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45567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45567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45567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45567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45567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45567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45567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45567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45567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45567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45567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45567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45567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45567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45567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45567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45567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45567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45567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45567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45567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45567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45567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45567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45567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45567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45567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45567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45567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45567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45567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45567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45567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45567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45567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45567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45567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45567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45567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45567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45567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45567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45567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45567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45567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45567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45567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45567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45567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45567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45567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45567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45567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45567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32369-2024</t>
        </is>
      </c>
      <c r="B1001" s="1" t="n">
        <v>45512</v>
      </c>
      <c r="C1001" s="1" t="n">
        <v>45567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32562-2024</t>
        </is>
      </c>
      <c r="B1002" s="1" t="n">
        <v>45513</v>
      </c>
      <c r="C1002" s="1" t="n">
        <v>45567</v>
      </c>
      <c r="D1002" t="inlineStr">
        <is>
          <t>VÄRMLANDS LÄN</t>
        </is>
      </c>
      <c r="E1002" t="inlineStr">
        <is>
          <t>KARLSTAD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32539-2024</t>
        </is>
      </c>
      <c r="B1003" s="1" t="n">
        <v>45513</v>
      </c>
      <c r="C1003" s="1" t="n">
        <v>45567</v>
      </c>
      <c r="D1003" t="inlineStr">
        <is>
          <t>VÄRMLANDS LÄN</t>
        </is>
      </c>
      <c r="E1003" t="inlineStr">
        <is>
          <t>KARLSTAD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33804-2024</t>
        </is>
      </c>
      <c r="B1004" s="1" t="n">
        <v>45520</v>
      </c>
      <c r="C1004" s="1" t="n">
        <v>45567</v>
      </c>
      <c r="D1004" t="inlineStr">
        <is>
          <t>VÄRMLANDS LÄN</t>
        </is>
      </c>
      <c r="E1004" t="inlineStr">
        <is>
          <t>KARLSTAD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33809-2024</t>
        </is>
      </c>
      <c r="B1005" s="1" t="n">
        <v>45520</v>
      </c>
      <c r="C1005" s="1" t="n">
        <v>45567</v>
      </c>
      <c r="D1005" t="inlineStr">
        <is>
          <t>VÄRMLANDS LÄN</t>
        </is>
      </c>
      <c r="E1005" t="inlineStr">
        <is>
          <t>KARLSTAD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33807-2024</t>
        </is>
      </c>
      <c r="B1006" s="1" t="n">
        <v>45520</v>
      </c>
      <c r="C1006" s="1" t="n">
        <v>45567</v>
      </c>
      <c r="D1006" t="inlineStr">
        <is>
          <t>VÄRMLANDS LÄN</t>
        </is>
      </c>
      <c r="E1006" t="inlineStr">
        <is>
          <t>KARLSTAD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33942-2024</t>
        </is>
      </c>
      <c r="B1007" s="1" t="n">
        <v>45523</v>
      </c>
      <c r="C1007" s="1" t="n">
        <v>45567</v>
      </c>
      <c r="D1007" t="inlineStr">
        <is>
          <t>VÄRMLANDS LÄN</t>
        </is>
      </c>
      <c r="E1007" t="inlineStr">
        <is>
          <t>KARLSTAD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34321-2024</t>
        </is>
      </c>
      <c r="B1008" s="1" t="n">
        <v>45524</v>
      </c>
      <c r="C1008" s="1" t="n">
        <v>45567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34335-2024</t>
        </is>
      </c>
      <c r="B1009" s="1" t="n">
        <v>45525</v>
      </c>
      <c r="C1009" s="1" t="n">
        <v>45567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34334-2024</t>
        </is>
      </c>
      <c r="B1010" s="1" t="n">
        <v>45525</v>
      </c>
      <c r="C1010" s="1" t="n">
        <v>45567</v>
      </c>
      <c r="D1010" t="inlineStr">
        <is>
          <t>VÄRMLANDS LÄN</t>
        </is>
      </c>
      <c r="E1010" t="inlineStr">
        <is>
          <t>KARLSTAD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35525-2024</t>
        </is>
      </c>
      <c r="B1011" s="1" t="n">
        <v>45531</v>
      </c>
      <c r="C1011" s="1" t="n">
        <v>45567</v>
      </c>
      <c r="D1011" t="inlineStr">
        <is>
          <t>VÄRMLANDS LÄN</t>
        </is>
      </c>
      <c r="E1011" t="inlineStr">
        <is>
          <t>KARLSTAD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36072-2024</t>
        </is>
      </c>
      <c r="B1012" s="1" t="n">
        <v>45533</v>
      </c>
      <c r="C1012" s="1" t="n">
        <v>45567</v>
      </c>
      <c r="D1012" t="inlineStr">
        <is>
          <t>VÄRMLANDS LÄN</t>
        </is>
      </c>
      <c r="E1012" t="inlineStr">
        <is>
          <t>KARLSTAD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36118-2024</t>
        </is>
      </c>
      <c r="B1013" s="1" t="n">
        <v>45534</v>
      </c>
      <c r="C1013" s="1" t="n">
        <v>45567</v>
      </c>
      <c r="D1013" t="inlineStr">
        <is>
          <t>VÄRMLANDS LÄN</t>
        </is>
      </c>
      <c r="E1013" t="inlineStr">
        <is>
          <t>KARLSTAD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37102-2024</t>
        </is>
      </c>
      <c r="B1014" s="1" t="n">
        <v>45539</v>
      </c>
      <c r="C1014" s="1" t="n">
        <v>45567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37701-2024</t>
        </is>
      </c>
      <c r="B1015" s="1" t="n">
        <v>45541</v>
      </c>
      <c r="C1015" s="1" t="n">
        <v>45567</v>
      </c>
      <c r="D1015" t="inlineStr">
        <is>
          <t>VÄRMLANDS LÄN</t>
        </is>
      </c>
      <c r="E1015" t="inlineStr">
        <is>
          <t>KARLSTAD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37982-2024</t>
        </is>
      </c>
      <c r="B1016" s="1" t="n">
        <v>45544</v>
      </c>
      <c r="C1016" s="1" t="n">
        <v>45567</v>
      </c>
      <c r="D1016" t="inlineStr">
        <is>
          <t>VÄRMLANDS LÄN</t>
        </is>
      </c>
      <c r="E1016" t="inlineStr">
        <is>
          <t>KARLSTAD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38215-2024</t>
        </is>
      </c>
      <c r="B1017" s="1" t="n">
        <v>45545</v>
      </c>
      <c r="C1017" s="1" t="n">
        <v>45567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38469-2024</t>
        </is>
      </c>
      <c r="B1018" s="1" t="n">
        <v>45546</v>
      </c>
      <c r="C1018" s="1" t="n">
        <v>45567</v>
      </c>
      <c r="D1018" t="inlineStr">
        <is>
          <t>VÄRMLANDS LÄN</t>
        </is>
      </c>
      <c r="E1018" t="inlineStr">
        <is>
          <t>KARLSTAD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38495-2024</t>
        </is>
      </c>
      <c r="B1019" s="1" t="n">
        <v>45546</v>
      </c>
      <c r="C1019" s="1" t="n">
        <v>45567</v>
      </c>
      <c r="D1019" t="inlineStr">
        <is>
          <t>VÄRMLANDS LÄN</t>
        </is>
      </c>
      <c r="E1019" t="inlineStr">
        <is>
          <t>KARLSTAD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38561-2024</t>
        </is>
      </c>
      <c r="B1020" s="1" t="n">
        <v>45546</v>
      </c>
      <c r="C1020" s="1" t="n">
        <v>45567</v>
      </c>
      <c r="D1020" t="inlineStr">
        <is>
          <t>VÄRMLANDS LÄN</t>
        </is>
      </c>
      <c r="E1020" t="inlineStr">
        <is>
          <t>KARLSTAD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39038-2024</t>
        </is>
      </c>
      <c r="B1021" s="1" t="n">
        <v>45548</v>
      </c>
      <c r="C1021" s="1" t="n">
        <v>45567</v>
      </c>
      <c r="D1021" t="inlineStr">
        <is>
          <t>VÄRMLANDS LÄN</t>
        </is>
      </c>
      <c r="E1021" t="inlineStr">
        <is>
          <t>KARLSTAD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39504-2024</t>
        </is>
      </c>
      <c r="B1022" s="1" t="n">
        <v>45551</v>
      </c>
      <c r="C1022" s="1" t="n">
        <v>45567</v>
      </c>
      <c r="D1022" t="inlineStr">
        <is>
          <t>VÄRMLANDS LÄN</t>
        </is>
      </c>
      <c r="E1022" t="inlineStr">
        <is>
          <t>KARLSTAD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39555-2024</t>
        </is>
      </c>
      <c r="B1023" s="1" t="n">
        <v>45551</v>
      </c>
      <c r="C1023" s="1" t="n">
        <v>45567</v>
      </c>
      <c r="D1023" t="inlineStr">
        <is>
          <t>VÄRMLANDS LÄN</t>
        </is>
      </c>
      <c r="E1023" t="inlineStr">
        <is>
          <t>KARLSTAD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39792-2024</t>
        </is>
      </c>
      <c r="B1024" s="1" t="n">
        <v>45553</v>
      </c>
      <c r="C1024" s="1" t="n">
        <v>45567</v>
      </c>
      <c r="D1024" t="inlineStr">
        <is>
          <t>VÄRMLANDS LÄN</t>
        </is>
      </c>
      <c r="E1024" t="inlineStr">
        <is>
          <t>KARLSTAD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39796-2024</t>
        </is>
      </c>
      <c r="B1025" s="1" t="n">
        <v>45553</v>
      </c>
      <c r="C1025" s="1" t="n">
        <v>45567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39795-2024</t>
        </is>
      </c>
      <c r="B1026" s="1" t="n">
        <v>45553</v>
      </c>
      <c r="C1026" s="1" t="n">
        <v>45567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39886-2024</t>
        </is>
      </c>
      <c r="B1027" s="1" t="n">
        <v>45553</v>
      </c>
      <c r="C1027" s="1" t="n">
        <v>45567</v>
      </c>
      <c r="D1027" t="inlineStr">
        <is>
          <t>VÄRMLANDS LÄN</t>
        </is>
      </c>
      <c r="E1027" t="inlineStr">
        <is>
          <t>KARLSTAD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41376-2024</t>
        </is>
      </c>
      <c r="B1028" s="1" t="n">
        <v>45559</v>
      </c>
      <c r="C1028" s="1" t="n">
        <v>45567</v>
      </c>
      <c r="D1028" t="inlineStr">
        <is>
          <t>VÄRMLANDS LÄN</t>
        </is>
      </c>
      <c r="E1028" t="inlineStr">
        <is>
          <t>KARLSTAD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41491-2024</t>
        </is>
      </c>
      <c r="B1029" s="1" t="n">
        <v>45560</v>
      </c>
      <c r="C1029" s="1" t="n">
        <v>45567</v>
      </c>
      <c r="D1029" t="inlineStr">
        <is>
          <t>VÄRMLANDS LÄN</t>
        </is>
      </c>
      <c r="E1029" t="inlineStr">
        <is>
          <t>KARLSTAD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41457-2024</t>
        </is>
      </c>
      <c r="B1030" s="1" t="n">
        <v>45560</v>
      </c>
      <c r="C1030" s="1" t="n">
        <v>45567</v>
      </c>
      <c r="D1030" t="inlineStr">
        <is>
          <t>VÄRMLANDS LÄN</t>
        </is>
      </c>
      <c r="E1030" t="inlineStr">
        <is>
          <t>KARLSTAD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45567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41654-2024</t>
        </is>
      </c>
      <c r="B1032" s="1" t="n">
        <v>45560</v>
      </c>
      <c r="C1032" s="1" t="n">
        <v>45567</v>
      </c>
      <c r="D1032" t="inlineStr">
        <is>
          <t>VÄRMLANDS LÄN</t>
        </is>
      </c>
      <c r="E1032" t="inlineStr">
        <is>
          <t>KARLSTAD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42465-2024</t>
        </is>
      </c>
      <c r="B1033" s="1" t="n">
        <v>45565</v>
      </c>
      <c r="C1033" s="1" t="n">
        <v>45567</v>
      </c>
      <c r="D1033" t="inlineStr">
        <is>
          <t>VÄRMLANDS LÄN</t>
        </is>
      </c>
      <c r="E1033" t="inlineStr">
        <is>
          <t>KARLSTAD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2024-10-02T12:13:23Z</dcterms:created>
  <dcterms:modified xmlns:dcterms="http://purl.org/dc/terms/" xmlns:xsi="http://www.w3.org/2001/XMLSchema-instance" xsi:type="dcterms:W3CDTF">2024-10-02T12:13:24Z</dcterms:modified>
</cp:coreProperties>
</file>