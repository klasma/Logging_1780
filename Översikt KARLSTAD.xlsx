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46241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46241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46241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46241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46241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46241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46241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46241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46241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46241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46241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46241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46241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46241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46241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46241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46241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46241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46241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46241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46241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46241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46241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46241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46241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46241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46241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46241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46241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46241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46241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46241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46241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46241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46241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46241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46241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47105-2025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46241</v>
      </c>
      <c r="F39" t="inlineStr">
        <is>
          <t>VÄRMLANDS LÄN</t>
        </is>
      </c>
      <c r="G39" t="inlineStr">
        <is>
          <t>KARLSTAD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Ask
Gullviva</t>
        </is>
      </c>
      <c r="W39">
        <f>HYPERLINK("https://klasma.github.io/Logging_1780/artfynd/A 47105-2025 artfynd.xlsx", "A 47105-2025")</f>
        <v/>
      </c>
      <c r="X39">
        <f>HYPERLINK("https://klasma.github.io/Logging_1780/kartor/A 47105-2025 karta.png", "A 47105-2025")</f>
        <v/>
      </c>
      <c r="Y39">
        <f>HYPERLINK("https://klasma.github.io/Logging_1780/kartor_geotiff/A 47105-2025 georefererad karta.tif", "A 47105-2025")</f>
        <v/>
      </c>
      <c r="AA39">
        <f>HYPERLINK("https://klasma.github.io/Logging_1780/klagomål/A 47105-2025 FSC-klagomål.docx", "A 47105-2025")</f>
        <v/>
      </c>
      <c r="AB39">
        <f>HYPERLINK("https://klasma.github.io/Logging_1780/klagomålsmail/A 47105-2025 FSC-klagomål mail.docx", "A 47105-2025")</f>
        <v/>
      </c>
      <c r="AC39">
        <f>HYPERLINK("https://klasma.github.io/Logging_1780/tillsyn/A 47105-2025 tillsynsbegäran.docx", "A 47105-2025")</f>
        <v/>
      </c>
      <c r="AD39">
        <f>HYPERLINK("https://klasma.github.io/Logging_1780/tillsynsmail/A 47105-2025 tillsynsbegäran mail.docx", "A 47105-2025")</f>
        <v/>
      </c>
    </row>
    <row r="40" ht="15" customHeight="1">
      <c r="A40" t="inlineStr">
        <is>
          <t>A 25097-2025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45798</v>
      </c>
      <c r="E40" s="1" t="n">
        <v>46241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1.2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Kandelabersvamp
Vågticka</t>
        </is>
      </c>
      <c r="W40">
        <f>HYPERLINK("https://klasma.github.io/Logging_1780/artfynd/A 25097-2025 artfynd.xlsx", "A 25097-2025")</f>
        <v/>
      </c>
      <c r="X40">
        <f>HYPERLINK("https://klasma.github.io/Logging_1780/kartor/A 25097-2025 karta.png", "A 25097-2025")</f>
        <v/>
      </c>
      <c r="Y40">
        <f>HYPERLINK("https://klasma.github.io/Logging_1780/kartor_geotiff/A 25097-2025 georefererad karta.tif", "A 25097-2025")</f>
        <v/>
      </c>
      <c r="AA40">
        <f>HYPERLINK("https://klasma.github.io/Logging_1780/klagomål/A 25097-2025 FSC-klagomål.docx", "A 25097-2025")</f>
        <v/>
      </c>
      <c r="AB40">
        <f>HYPERLINK("https://klasma.github.io/Logging_1780/klagomålsmail/A 25097-2025 FSC-klagomål mail.docx", "A 25097-2025")</f>
        <v/>
      </c>
      <c r="AC40">
        <f>HYPERLINK("https://klasma.github.io/Logging_1780/tillsyn/A 25097-2025 tillsynsbegäran.docx", "A 25097-2025")</f>
        <v/>
      </c>
      <c r="AD40">
        <f>HYPERLINK("https://klasma.github.io/Logging_1780/tillsynsmail/A 25097-2025 tillsynsbegäran mail.docx", "A 25097-2025")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46241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46241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9023-2026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46241</v>
      </c>
      <c r="F43" t="inlineStr">
        <is>
          <t>VÄRMLANDS LÄN</t>
        </is>
      </c>
      <c r="G43" t="inlineStr">
        <is>
          <t>KARLSTAD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Linnea
Revlummer</t>
        </is>
      </c>
      <c r="W43">
        <f>HYPERLINK("https://klasma.github.io/Logging_1780/artfynd/A 9023-2026 artfynd.xlsx", "A 9023-2026")</f>
        <v/>
      </c>
      <c r="X43">
        <f>HYPERLINK("https://klasma.github.io/Logging_1780/kartor/A 9023-2026 karta.png", "A 9023-2026")</f>
        <v/>
      </c>
      <c r="Y43">
        <f>HYPERLINK("https://klasma.github.io/Logging_1780/kartor_geotiff/A 9023-2026 georefererad karta.tif", "A 9023-2026")</f>
        <v/>
      </c>
      <c r="AA43">
        <f>HYPERLINK("https://klasma.github.io/Logging_1780/klagomål/A 9023-2026 FSC-klagomål.docx", "A 9023-2026")</f>
        <v/>
      </c>
      <c r="AB43">
        <f>HYPERLINK("https://klasma.github.io/Logging_1780/klagomålsmail/A 9023-2026 FSC-klagomål mail.docx", "A 9023-2026")</f>
        <v/>
      </c>
      <c r="AC43">
        <f>HYPERLINK("https://klasma.github.io/Logging_1780/tillsyn/A 9023-2026 tillsynsbegäran.docx", "A 9023-2026")</f>
        <v/>
      </c>
      <c r="AD43">
        <f>HYPERLINK("https://klasma.github.io/Logging_1780/tillsynsmail/A 9023-2026 tillsynsbegäran mail.docx", "A 9023-2026")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46241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46241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46241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46241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46241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46241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Vitfläckig guldvinge</t>
        </is>
      </c>
      <c r="W49">
        <f>HYPERLINK("https://klasma.github.io/Logging_1780/artfynd/A 55277-2021 artfynd.xlsx", "A 55277-2021")</f>
        <v/>
      </c>
      <c r="X49">
        <f>HYPERLINK("https://klasma.github.io/Logging_1780/kartor/A 55277-2021 karta.png", "A 55277-2021")</f>
        <v/>
      </c>
      <c r="Y49">
        <f>HYPERLINK("https://klasma.github.io/Logging_1780/kartor_geotiff/A 55277-2021 georefererad karta.tif", "A 55277-2021")</f>
        <v/>
      </c>
      <c r="AA49">
        <f>HYPERLINK("https://klasma.github.io/Logging_1780/klagomål/A 55277-2021 FSC-klagomål.docx", "A 55277-2021")</f>
        <v/>
      </c>
      <c r="AB49">
        <f>HYPERLINK("https://klasma.github.io/Logging_1780/klagomålsmail/A 55277-2021 FSC-klagomål mail.docx", "A 55277-2021")</f>
        <v/>
      </c>
      <c r="AC49">
        <f>HYPERLINK("https://klasma.github.io/Logging_1780/tillsyn/A 55277-2021 tillsynsbegäran.docx", "A 55277-2021")</f>
        <v/>
      </c>
      <c r="AD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46241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46241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16739-2026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46113</v>
      </c>
      <c r="E52" s="1" t="n">
        <v>46241</v>
      </c>
      <c r="F52" t="inlineStr">
        <is>
          <t>VÄRMLANDS LÄN</t>
        </is>
      </c>
      <c r="G52" t="inlineStr">
        <is>
          <t>KARLSTAD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Nattskärra</t>
        </is>
      </c>
      <c r="W52">
        <f>HYPERLINK("https://klasma.github.io/Logging_1780/artfynd/A 16739-2026 artfynd.xlsx", "A 16739-2026")</f>
        <v/>
      </c>
      <c r="X52">
        <f>HYPERLINK("https://klasma.github.io/Logging_1780/kartor/A 16739-2026 karta.png", "A 16739-2026")</f>
        <v/>
      </c>
      <c r="Y52">
        <f>HYPERLINK("https://klasma.github.io/Logging_1780/kartor_geotiff/A 16739-2026 georefererad karta.tif", "A 16739-2026")</f>
        <v/>
      </c>
      <c r="AA52">
        <f>HYPERLINK("https://klasma.github.io/Logging_1780/klagomål/A 16739-2026 FSC-klagomål.docx", "A 16739-2026")</f>
        <v/>
      </c>
      <c r="AB52">
        <f>HYPERLINK("https://klasma.github.io/Logging_1780/klagomålsmail/A 16739-2026 FSC-klagomål mail.docx", "A 16739-2026")</f>
        <v/>
      </c>
      <c r="AC52">
        <f>HYPERLINK("https://klasma.github.io/Logging_1780/tillsyn/A 16739-2026 tillsynsbegäran.docx", "A 16739-2026")</f>
        <v/>
      </c>
      <c r="AD52">
        <f>HYPERLINK("https://klasma.github.io/Logging_1780/tillsynsmail/A 16739-2026 tillsynsbegäran mail.docx", "A 16739-2026")</f>
        <v/>
      </c>
      <c r="AE52">
        <f>HYPERLINK("https://klasma.github.io/Logging_1780/fåglar/A 16739-2026 prioriterade fågelarter.docx", "A 16739-2026")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46241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46241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46241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21934-2023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46241</v>
      </c>
      <c r="F56" t="inlineStr">
        <is>
          <t>VÄRMLANDS LÄN</t>
        </is>
      </c>
      <c r="G56" t="inlineStr">
        <is>
          <t>KARLSTAD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HYPERLINK("https://klasma.github.io/Logging_1780/artfynd/A 21934-2023 artfynd.xlsx", "A 21934-2023")</f>
        <v/>
      </c>
      <c r="X56">
        <f>HYPERLINK("https://klasma.github.io/Logging_1780/kartor/A 21934-2023 karta.png", "A 21934-2023")</f>
        <v/>
      </c>
      <c r="Y56">
        <f>HYPERLINK("https://klasma.github.io/Logging_1780/kartor_geotiff/A 21934-2023 georefererad karta.tif", "A 21934-2023")</f>
        <v/>
      </c>
      <c r="AA56">
        <f>HYPERLINK("https://klasma.github.io/Logging_1780/klagomål/A 21934-2023 FSC-klagomål.docx", "A 21934-2023")</f>
        <v/>
      </c>
      <c r="AB56">
        <f>HYPERLINK("https://klasma.github.io/Logging_1780/klagomålsmail/A 21934-2023 FSC-klagomål mail.docx", "A 21934-2023")</f>
        <v/>
      </c>
      <c r="AC56">
        <f>HYPERLINK("https://klasma.github.io/Logging_1780/tillsyn/A 21934-2023 tillsynsbegäran.docx", "A 21934-2023")</f>
        <v/>
      </c>
      <c r="AD56">
        <f>HYPERLINK("https://klasma.github.io/Logging_1780/tillsynsmail/A 21934-2023 tillsynsbegäran mail.docx", "A 21934-2023")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46241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46241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10461-2024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46241</v>
      </c>
      <c r="F59" t="inlineStr">
        <is>
          <t>VÄRMLANDS LÄN</t>
        </is>
      </c>
      <c r="G59" t="inlineStr">
        <is>
          <t>KARLSTAD</t>
        </is>
      </c>
      <c r="H59" t="inlineStr">
        <is>
          <t>Övriga statliga verk och myndigheter</t>
        </is>
      </c>
      <c r="I59" t="n">
        <v>17.8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Strandlummer</t>
        </is>
      </c>
      <c r="W59">
        <f>HYPERLINK("https://klasma.github.io/Logging_1780/artfynd/A 10461-2024 artfynd.xlsx", "A 10461-2024")</f>
        <v/>
      </c>
      <c r="X59">
        <f>HYPERLINK("https://klasma.github.io/Logging_1780/kartor/A 10461-2024 karta.png", "A 10461-2024")</f>
        <v/>
      </c>
      <c r="Y59">
        <f>HYPERLINK("https://klasma.github.io/Logging_1780/kartor_geotiff/A 10461-2024 georefererad karta.tif", "A 10461-2024")</f>
        <v/>
      </c>
      <c r="AA59">
        <f>HYPERLINK("https://klasma.github.io/Logging_1780/klagomål/A 10461-2024 FSC-klagomål.docx", "A 10461-2024")</f>
        <v/>
      </c>
      <c r="AB59">
        <f>HYPERLINK("https://klasma.github.io/Logging_1780/klagomålsmail/A 10461-2024 FSC-klagomål mail.docx", "A 10461-2024")</f>
        <v/>
      </c>
      <c r="AC59">
        <f>HYPERLINK("https://klasma.github.io/Logging_1780/tillsyn/A 10461-2024 tillsynsbegäran.docx", "A 10461-2024")</f>
        <v/>
      </c>
      <c r="AD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44949</v>
      </c>
      <c r="E60" s="1" t="n">
        <v>46241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Gullklöver</t>
        </is>
      </c>
      <c r="W60">
        <f>HYPERLINK("https://klasma.github.io/Logging_1780/artfynd/A 3736-2023 artfynd.xlsx", "A 3736-2023")</f>
        <v/>
      </c>
      <c r="X60">
        <f>HYPERLINK("https://klasma.github.io/Logging_1780/kartor/A 3736-2023 karta.png", "A 3736-2023")</f>
        <v/>
      </c>
      <c r="Y60">
        <f>HYPERLINK("https://klasma.github.io/Logging_1780/kartor_geotiff/A 3736-2023 georefererad karta.tif", "A 3736-2023")</f>
        <v/>
      </c>
      <c r="AA60">
        <f>HYPERLINK("https://klasma.github.io/Logging_1780/klagomål/A 3736-2023 FSC-klagomål.docx", "A 3736-2023")</f>
        <v/>
      </c>
      <c r="AB60">
        <f>HYPERLINK("https://klasma.github.io/Logging_1780/klagomålsmail/A 3736-2023 FSC-klagomål mail.docx", "A 3736-2023")</f>
        <v/>
      </c>
      <c r="AC60">
        <f>HYPERLINK("https://klasma.github.io/Logging_1780/tillsyn/A 3736-2023 tillsynsbegäran.docx", "A 3736-2023")</f>
        <v/>
      </c>
      <c r="AD60">
        <f>HYPERLINK("https://klasma.github.io/Logging_1780/tillsynsmail/A 3736-2023 tillsynsbegäran mail.docx", "A 3736-2023")</f>
        <v/>
      </c>
    </row>
    <row r="61" ht="15" customHeight="1">
      <c r="A61" t="inlineStr">
        <is>
          <t>A 14002-2022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46241</v>
      </c>
      <c r="F61" t="inlineStr">
        <is>
          <t>VÄRMLANDS LÄN</t>
        </is>
      </c>
      <c r="G61" t="inlineStr">
        <is>
          <t>KARLSTAD</t>
        </is>
      </c>
      <c r="I61" t="n">
        <v>2.3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3</v>
      </c>
      <c r="V61" s="2" t="inlineStr">
        <is>
          <t>Knärot</t>
        </is>
      </c>
      <c r="W61">
        <f>HYPERLINK("https://klasma.github.io/Logging_1780/artfynd/A 14002-2022 artfynd.xlsx", "A 14002-2022")</f>
        <v/>
      </c>
      <c r="X61">
        <f>HYPERLINK("https://klasma.github.io/Logging_1780/kartor/A 14002-2022 karta.png", "A 14002-2022")</f>
        <v/>
      </c>
      <c r="Y61">
        <f>HYPERLINK("https://klasma.github.io/Logging_1780/kartor_geotiff/A 14002-2022 georefererad karta.tif", "A 14002-2022")</f>
        <v/>
      </c>
      <c r="Z61">
        <f>HYPERLINK("https://klasma.github.io/Logging_1780/knärot/A 14002-2022 karta knärot.png", "A 14002-2022")</f>
        <v/>
      </c>
      <c r="AA61">
        <f>HYPERLINK("https://klasma.github.io/Logging_1780/klagomål/A 14002-2022 FSC-klagomål.docx", "A 14002-2022")</f>
        <v/>
      </c>
      <c r="AB61">
        <f>HYPERLINK("https://klasma.github.io/Logging_1780/klagomålsmail/A 14002-2022 FSC-klagomål mail.docx", "A 14002-2022")</f>
        <v/>
      </c>
      <c r="AC61">
        <f>HYPERLINK("https://klasma.github.io/Logging_1780/tillsyn/A 14002-2022 tillsynsbegäran.docx", "A 14002-2022")</f>
        <v/>
      </c>
      <c r="AD61">
        <f>HYPERLINK("https://klasma.github.io/Logging_1780/tillsynsmail/A 14002-2022 tillsynsbegäran mail.docx", "A 14002-2022")</f>
        <v/>
      </c>
    </row>
    <row r="62" ht="15" customHeight="1">
      <c r="A62" t="inlineStr">
        <is>
          <t>A 5131-2026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46241</v>
      </c>
      <c r="F62" t="inlineStr">
        <is>
          <t>VÄRMLANDS LÄN</t>
        </is>
      </c>
      <c r="G62" t="inlineStr">
        <is>
          <t>KARLSTAD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HYPERLINK("https://klasma.github.io/Logging_1780/artfynd/A 5131-2026 artfynd.xlsx", "A 5131-2026")</f>
        <v/>
      </c>
      <c r="X62">
        <f>HYPERLINK("https://klasma.github.io/Logging_1780/kartor/A 5131-2026 karta.png", "A 5131-2026")</f>
        <v/>
      </c>
      <c r="Y62">
        <f>HYPERLINK("https://klasma.github.io/Logging_1780/kartor_geotiff/A 5131-2026 georefererad karta.tif", "A 5131-2026")</f>
        <v/>
      </c>
      <c r="AA62">
        <f>HYPERLINK("https://klasma.github.io/Logging_1780/klagomål/A 5131-2026 FSC-klagomål.docx", "A 5131-2026")</f>
        <v/>
      </c>
      <c r="AB62">
        <f>HYPERLINK("https://klasma.github.io/Logging_1780/klagomålsmail/A 5131-2026 FSC-klagomål mail.docx", "A 5131-2026")</f>
        <v/>
      </c>
      <c r="AC62">
        <f>HYPERLINK("https://klasma.github.io/Logging_1780/tillsyn/A 5131-2026 tillsynsbegäran.docx", "A 5131-2026")</f>
        <v/>
      </c>
      <c r="AD62">
        <f>HYPERLINK("https://klasma.github.io/Logging_1780/tillsynsmail/A 5131-2026 tillsynsbegäran mail.docx", "A 5131-2026")</f>
        <v/>
      </c>
    </row>
    <row r="63" ht="15" customHeight="1">
      <c r="A63" t="inlineStr">
        <is>
          <t>A 20241-2022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44698</v>
      </c>
      <c r="E63" s="1" t="n">
        <v>46241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Större vattensalamander</t>
        </is>
      </c>
      <c r="W63">
        <f>HYPERLINK("https://klasma.github.io/Logging_1780/artfynd/A 20241-2022 artfynd.xlsx", "A 20241-2022")</f>
        <v/>
      </c>
      <c r="X63">
        <f>HYPERLINK("https://klasma.github.io/Logging_1780/kartor/A 20241-2022 karta.png", "A 20241-2022")</f>
        <v/>
      </c>
      <c r="Y63">
        <f>HYPERLINK("https://klasma.github.io/Logging_1780/kartor_geotiff/A 20241-2022 georefererad karta.tif", "A 20241-2022")</f>
        <v/>
      </c>
      <c r="AA63">
        <f>HYPERLINK("https://klasma.github.io/Logging_1780/klagomål/A 20241-2022 FSC-klagomål.docx", "A 20241-2022")</f>
        <v/>
      </c>
      <c r="AB63">
        <f>HYPERLINK("https://klasma.github.io/Logging_1780/klagomålsmail/A 20241-2022 FSC-klagomål mail.docx", "A 20241-2022")</f>
        <v/>
      </c>
      <c r="AC63">
        <f>HYPERLINK("https://klasma.github.io/Logging_1780/tillsyn/A 20241-2022 tillsynsbegäran.docx", "A 20241-2022")</f>
        <v/>
      </c>
      <c r="AD63">
        <f>HYPERLINK("https://klasma.github.io/Logging_1780/tillsynsmail/A 20241-2022 tillsynsbegäran mail.docx", "A 20241-2022")</f>
        <v/>
      </c>
    </row>
    <row r="64" ht="15" customHeight="1">
      <c r="A64" t="inlineStr">
        <is>
          <t>A 13259-2026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46093</v>
      </c>
      <c r="E64" s="1" t="n">
        <v>46241</v>
      </c>
      <c r="F64" t="inlineStr">
        <is>
          <t>VÄRMLANDS LÄN</t>
        </is>
      </c>
      <c r="G64" t="inlineStr">
        <is>
          <t>KARLSTAD</t>
        </is>
      </c>
      <c r="I64" t="n">
        <v>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HYPERLINK("https://klasma.github.io/Logging_1780/artfynd/A 13259-2026 artfynd.xlsx", "A 13259-2026")</f>
        <v/>
      </c>
      <c r="X64">
        <f>HYPERLINK("https://klasma.github.io/Logging_1780/kartor/A 13259-2026 karta.png", "A 13259-2026")</f>
        <v/>
      </c>
      <c r="Y64">
        <f>HYPERLINK("https://klasma.github.io/Logging_1780/kartor_geotiff/A 13259-2026 georefererad karta.tif", "A 13259-2026")</f>
        <v/>
      </c>
      <c r="AA64">
        <f>HYPERLINK("https://klasma.github.io/Logging_1780/klagomål/A 13259-2026 FSC-klagomål.docx", "A 13259-2026")</f>
        <v/>
      </c>
      <c r="AB64">
        <f>HYPERLINK("https://klasma.github.io/Logging_1780/klagomålsmail/A 13259-2026 FSC-klagomål mail.docx", "A 13259-2026")</f>
        <v/>
      </c>
      <c r="AC64">
        <f>HYPERLINK("https://klasma.github.io/Logging_1780/tillsyn/A 13259-2026 tillsynsbegäran.docx", "A 13259-2026")</f>
        <v/>
      </c>
      <c r="AD64">
        <f>HYPERLINK("https://klasma.github.io/Logging_1780/tillsynsmail/A 13259-2026 tillsynsbegäran mail.docx", "A 13259-2026")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46241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21919-2023 artfynd.xlsx", "A 21919-2023")</f>
        <v/>
      </c>
      <c r="X65">
        <f>HYPERLINK("https://klasma.github.io/Logging_1780/kartor/A 21919-2023 karta.png", "A 21919-2023")</f>
        <v/>
      </c>
      <c r="Y65">
        <f>HYPERLINK("https://klasma.github.io/Logging_1780/kartor_geotiff/A 21919-2023 georefererad karta.tif", "A 21919-2023")</f>
        <v/>
      </c>
      <c r="AA65">
        <f>HYPERLINK("https://klasma.github.io/Logging_1780/klagomål/A 21919-2023 FSC-klagomål.docx", "A 21919-2023")</f>
        <v/>
      </c>
      <c r="AB65">
        <f>HYPERLINK("https://klasma.github.io/Logging_1780/klagomålsmail/A 21919-2023 FSC-klagomål mail.docx", "A 21919-2023")</f>
        <v/>
      </c>
      <c r="AC65">
        <f>HYPERLINK("https://klasma.github.io/Logging_1780/tillsyn/A 21919-2023 tillsynsbegäran.docx", "A 21919-2023")</f>
        <v/>
      </c>
      <c r="AD65">
        <f>HYPERLINK("https://klasma.github.io/Logging_1780/tillsynsmail/A 21919-2023 tillsynsbegäran mail.docx", "A 21919-2023")</f>
        <v/>
      </c>
    </row>
    <row r="66" ht="15" customHeight="1">
      <c r="A66" t="inlineStr">
        <is>
          <t>A 59641-2021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44493</v>
      </c>
      <c r="E66" s="1" t="n">
        <v>46241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HYPERLINK("https://klasma.github.io/Logging_1780/artfynd/A 59641-2021 artfynd.xlsx", "A 59641-2021")</f>
        <v/>
      </c>
      <c r="X66">
        <f>HYPERLINK("https://klasma.github.io/Logging_1780/kartor/A 59641-2021 karta.png", "A 59641-2021")</f>
        <v/>
      </c>
      <c r="Y66">
        <f>HYPERLINK("https://klasma.github.io/Logging_1780/kartor_geotiff/A 59641-2021 georefererad karta.tif", "A 59641-2021")</f>
        <v/>
      </c>
      <c r="AA66">
        <f>HYPERLINK("https://klasma.github.io/Logging_1780/klagomål/A 59641-2021 FSC-klagomål.docx", "A 59641-2021")</f>
        <v/>
      </c>
      <c r="AB66">
        <f>HYPERLINK("https://klasma.github.io/Logging_1780/klagomålsmail/A 59641-2021 FSC-klagomål mail.docx", "A 59641-2021")</f>
        <v/>
      </c>
      <c r="AC66">
        <f>HYPERLINK("https://klasma.github.io/Logging_1780/tillsyn/A 59641-2021 tillsynsbegäran.docx", "A 59641-2021")</f>
        <v/>
      </c>
      <c r="AD66">
        <f>HYPERLINK("https://klasma.github.io/Logging_1780/tillsynsmail/A 59641-2021 tillsynsbegäran mail.docx", "A 59641-2021")</f>
        <v/>
      </c>
    </row>
    <row r="67" ht="15" customHeight="1">
      <c r="A67" t="inlineStr">
        <is>
          <t>A 48588-2021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46241</v>
      </c>
      <c r="F67" t="inlineStr">
        <is>
          <t>VÄRMLANDS LÄN</t>
        </is>
      </c>
      <c r="G67" t="inlineStr">
        <is>
          <t>KARLSTAD</t>
        </is>
      </c>
      <c r="I67" t="n">
        <v>7.3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HYPERLINK("https://klasma.github.io/Logging_1780/artfynd/A 48588-2021 artfynd.xlsx", "A 48588-2021")</f>
        <v/>
      </c>
      <c r="X67">
        <f>HYPERLINK("https://klasma.github.io/Logging_1780/kartor/A 48588-2021 karta.png", "A 48588-2021")</f>
        <v/>
      </c>
      <c r="Y67">
        <f>HYPERLINK("https://klasma.github.io/Logging_1780/kartor_geotiff/A 48588-2021 georefererad karta.tif", "A 48588-2021")</f>
        <v/>
      </c>
      <c r="AA67">
        <f>HYPERLINK("https://klasma.github.io/Logging_1780/klagomål/A 48588-2021 FSC-klagomål.docx", "A 48588-2021")</f>
        <v/>
      </c>
      <c r="AB67">
        <f>HYPERLINK("https://klasma.github.io/Logging_1780/klagomålsmail/A 48588-2021 FSC-klagomål mail.docx", "A 48588-2021")</f>
        <v/>
      </c>
      <c r="AC67">
        <f>HYPERLINK("https://klasma.github.io/Logging_1780/tillsyn/A 48588-2021 tillsynsbegäran.docx", "A 48588-2021")</f>
        <v/>
      </c>
      <c r="AD67">
        <f>HYPERLINK("https://klasma.github.io/Logging_1780/tillsynsmail/A 48588-2021 tillsynsbegäran mail.docx", "A 48588-2021")</f>
        <v/>
      </c>
      <c r="AE67">
        <f>HYPERLINK("https://klasma.github.io/Logging_1780/fåglar/A 48588-2021 prioriterade fågelarter.docx", "A 48588-2021")</f>
        <v/>
      </c>
    </row>
    <row r="68" ht="15" customHeight="1">
      <c r="A68" t="inlineStr">
        <is>
          <t>A 6260-2023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44959</v>
      </c>
      <c r="E68" s="1" t="n">
        <v>46241</v>
      </c>
      <c r="F68" t="inlineStr">
        <is>
          <t>VÄRMLANDS LÄN</t>
        </is>
      </c>
      <c r="G68" t="inlineStr">
        <is>
          <t>KARLSTAD</t>
        </is>
      </c>
      <c r="I68" t="n">
        <v>2.2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Trädporella</t>
        </is>
      </c>
      <c r="W68">
        <f>HYPERLINK("https://klasma.github.io/Logging_1780/artfynd/A 6260-2023 artfynd.xlsx", "A 6260-2023")</f>
        <v/>
      </c>
      <c r="X68">
        <f>HYPERLINK("https://klasma.github.io/Logging_1780/kartor/A 6260-2023 karta.png", "A 6260-2023")</f>
        <v/>
      </c>
      <c r="Y68">
        <f>HYPERLINK("https://klasma.github.io/Logging_1780/kartor_geotiff/A 6260-2023 georefererad karta.tif", "A 6260-2023")</f>
        <v/>
      </c>
      <c r="AA68">
        <f>HYPERLINK("https://klasma.github.io/Logging_1780/klagomål/A 6260-2023 FSC-klagomål.docx", "A 6260-2023")</f>
        <v/>
      </c>
      <c r="AB68">
        <f>HYPERLINK("https://klasma.github.io/Logging_1780/klagomålsmail/A 6260-2023 FSC-klagomål mail.docx", "A 6260-2023")</f>
        <v/>
      </c>
      <c r="AC68">
        <f>HYPERLINK("https://klasma.github.io/Logging_1780/tillsyn/A 6260-2023 tillsynsbegäran.docx", "A 6260-2023")</f>
        <v/>
      </c>
      <c r="AD68">
        <f>HYPERLINK("https://klasma.github.io/Logging_1780/tillsynsmail/A 6260-2023 tillsynsbegäran mail.docx", "A 6260-2023")</f>
        <v/>
      </c>
    </row>
    <row r="69" ht="15" customHeight="1">
      <c r="A69" t="inlineStr">
        <is>
          <t>A 8944-2025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46241</v>
      </c>
      <c r="F69" t="inlineStr">
        <is>
          <t>VÄRMLANDS LÄN</t>
        </is>
      </c>
      <c r="G69" t="inlineStr">
        <is>
          <t>KARLSTAD</t>
        </is>
      </c>
      <c r="I69" t="n">
        <v>12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Lopplummer (aggregat)</t>
        </is>
      </c>
      <c r="W69">
        <f>HYPERLINK("https://klasma.github.io/Logging_1780/artfynd/A 8944-2025 artfynd.xlsx", "A 8944-2025")</f>
        <v/>
      </c>
      <c r="X69">
        <f>HYPERLINK("https://klasma.github.io/Logging_1780/kartor/A 8944-2025 karta.png", "A 8944-2025")</f>
        <v/>
      </c>
      <c r="Y69">
        <f>HYPERLINK("https://klasma.github.io/Logging_1780/kartor_geotiff/A 8944-2025 georefererad karta.tif", "A 8944-2025")</f>
        <v/>
      </c>
      <c r="AA69">
        <f>HYPERLINK("https://klasma.github.io/Logging_1780/klagomål/A 8944-2025 FSC-klagomål.docx", "A 8944-2025")</f>
        <v/>
      </c>
      <c r="AB69">
        <f>HYPERLINK("https://klasma.github.io/Logging_1780/klagomålsmail/A 8944-2025 FSC-klagomål mail.docx", "A 8944-2025")</f>
        <v/>
      </c>
      <c r="AC69">
        <f>HYPERLINK("https://klasma.github.io/Logging_1780/tillsyn/A 8944-2025 tillsynsbegäran.docx", "A 8944-2025")</f>
        <v/>
      </c>
      <c r="AD69">
        <f>HYPERLINK("https://klasma.github.io/Logging_1780/tillsynsmail/A 8944-2025 tillsynsbegäran mail.docx", "A 8944-2025")</f>
        <v/>
      </c>
    </row>
    <row r="70" ht="15" customHeight="1">
      <c r="A70" t="inlineStr">
        <is>
          <t>A 9737-2023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46241</v>
      </c>
      <c r="F70" t="inlineStr">
        <is>
          <t>VÄRMLANDS LÄN</t>
        </is>
      </c>
      <c r="G70" t="inlineStr">
        <is>
          <t>KARLSTAD</t>
        </is>
      </c>
      <c r="I70" t="n">
        <v>2.6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Ullticka</t>
        </is>
      </c>
      <c r="W70">
        <f>HYPERLINK("https://klasma.github.io/Logging_1780/artfynd/A 9737-2023 artfynd.xlsx", "A 9737-2023")</f>
        <v/>
      </c>
      <c r="X70">
        <f>HYPERLINK("https://klasma.github.io/Logging_1780/kartor/A 9737-2023 karta.png", "A 9737-2023")</f>
        <v/>
      </c>
      <c r="Y70">
        <f>HYPERLINK("https://klasma.github.io/Logging_1780/kartor_geotiff/A 9737-2023 georefererad karta.tif", "A 9737-2023")</f>
        <v/>
      </c>
      <c r="AA70">
        <f>HYPERLINK("https://klasma.github.io/Logging_1780/klagomål/A 9737-2023 FSC-klagomål.docx", "A 9737-2023")</f>
        <v/>
      </c>
      <c r="AB70">
        <f>HYPERLINK("https://klasma.github.io/Logging_1780/klagomålsmail/A 9737-2023 FSC-klagomål mail.docx", "A 9737-2023")</f>
        <v/>
      </c>
      <c r="AC70">
        <f>HYPERLINK("https://klasma.github.io/Logging_1780/tillsyn/A 9737-2023 tillsynsbegäran.docx", "A 9737-2023")</f>
        <v/>
      </c>
      <c r="AD70">
        <f>HYPERLINK("https://klasma.github.io/Logging_1780/tillsynsmail/A 9737-2023 tillsynsbegäran mail.docx", "A 9737-2023")</f>
        <v/>
      </c>
    </row>
    <row r="71" ht="15" customHeight="1">
      <c r="A71" t="inlineStr">
        <is>
          <t>A 36886-2022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44805</v>
      </c>
      <c r="E71" s="1" t="n">
        <v>46241</v>
      </c>
      <c r="F71" t="inlineStr">
        <is>
          <t>VÄRMLANDS LÄN</t>
        </is>
      </c>
      <c r="G71" t="inlineStr">
        <is>
          <t>KARLSTAD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Gröngöling</t>
        </is>
      </c>
      <c r="W71">
        <f>HYPERLINK("https://klasma.github.io/Logging_1780/artfynd/A 36886-2022 artfynd.xlsx", "A 36886-2022")</f>
        <v/>
      </c>
      <c r="X71">
        <f>HYPERLINK("https://klasma.github.io/Logging_1780/kartor/A 36886-2022 karta.png", "A 36886-2022")</f>
        <v/>
      </c>
      <c r="Y71">
        <f>HYPERLINK("https://klasma.github.io/Logging_1780/kartor_geotiff/A 36886-2022 georefererad karta.tif", "A 36886-2022")</f>
        <v/>
      </c>
      <c r="AA71">
        <f>HYPERLINK("https://klasma.github.io/Logging_1780/klagomål/A 36886-2022 FSC-klagomål.docx", "A 36886-2022")</f>
        <v/>
      </c>
      <c r="AB71">
        <f>HYPERLINK("https://klasma.github.io/Logging_1780/klagomålsmail/A 36886-2022 FSC-klagomål mail.docx", "A 36886-2022")</f>
        <v/>
      </c>
      <c r="AC71">
        <f>HYPERLINK("https://klasma.github.io/Logging_1780/tillsyn/A 36886-2022 tillsynsbegäran.docx", "A 36886-2022")</f>
        <v/>
      </c>
      <c r="AD71">
        <f>HYPERLINK("https://klasma.github.io/Logging_1780/tillsynsmail/A 36886-2022 tillsynsbegäran mail.docx", "A 36886-2022")</f>
        <v/>
      </c>
    </row>
    <row r="72" ht="15" customHeight="1">
      <c r="A72" t="inlineStr">
        <is>
          <t>A 4664-2022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44592</v>
      </c>
      <c r="E72" s="1" t="n">
        <v>46241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Vedskivlav</t>
        </is>
      </c>
      <c r="W72">
        <f>HYPERLINK("https://klasma.github.io/Logging_1780/artfynd/A 4664-2022 artfynd.xlsx", "A 4664-2022")</f>
        <v/>
      </c>
      <c r="X72">
        <f>HYPERLINK("https://klasma.github.io/Logging_1780/kartor/A 4664-2022 karta.png", "A 4664-2022")</f>
        <v/>
      </c>
      <c r="Y72">
        <f>HYPERLINK("https://klasma.github.io/Logging_1780/kartor_geotiff/A 4664-2022 georefererad karta.tif", "A 4664-2022")</f>
        <v/>
      </c>
      <c r="AA72">
        <f>HYPERLINK("https://klasma.github.io/Logging_1780/klagomål/A 4664-2022 FSC-klagomål.docx", "A 4664-2022")</f>
        <v/>
      </c>
      <c r="AB72">
        <f>HYPERLINK("https://klasma.github.io/Logging_1780/klagomålsmail/A 4664-2022 FSC-klagomål mail.docx", "A 4664-2022")</f>
        <v/>
      </c>
      <c r="AC72">
        <f>HYPERLINK("https://klasma.github.io/Logging_1780/tillsyn/A 4664-2022 tillsynsbegäran.docx", "A 4664-2022")</f>
        <v/>
      </c>
      <c r="AD72">
        <f>HYPERLINK("https://klasma.github.io/Logging_1780/tillsynsmail/A 4664-2022 tillsynsbegäran mail.docx", "A 4664-2022")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46241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46241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46241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46241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46241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46241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46241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36422-2022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44804</v>
      </c>
      <c r="E80" s="1" t="n">
        <v>46241</v>
      </c>
      <c r="F80" t="inlineStr">
        <is>
          <t>VÄRMLANDS LÄN</t>
        </is>
      </c>
      <c r="G80" t="inlineStr">
        <is>
          <t>KARLSTAD</t>
        </is>
      </c>
      <c r="I80" t="n">
        <v>6.5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46241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46241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46241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46241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46241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46241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46241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46241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46241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46241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46241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46241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46241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46241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44662</v>
      </c>
      <c r="E95" s="1" t="n">
        <v>46241</v>
      </c>
      <c r="F95" t="inlineStr">
        <is>
          <t>VÄRMLANDS LÄN</t>
        </is>
      </c>
      <c r="G95" t="inlineStr">
        <is>
          <t>KARLSTAD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46241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46241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46241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46241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46241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46241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46241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46241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46241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46241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46241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46241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46241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46241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46241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46241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46241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46241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46241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46241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46241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46241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46241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46241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46241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46241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46241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46241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46241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46241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46241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46241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46241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46241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44613</v>
      </c>
      <c r="E130" s="1" t="n">
        <v>46241</v>
      </c>
      <c r="F130" t="inlineStr">
        <is>
          <t>VÄRMLANDS LÄN</t>
        </is>
      </c>
      <c r="G130" t="inlineStr">
        <is>
          <t>KARLSTAD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69428-2021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46241</v>
      </c>
      <c r="F131" t="inlineStr">
        <is>
          <t>VÄRMLANDS LÄN</t>
        </is>
      </c>
      <c r="G131" t="inlineStr">
        <is>
          <t>KARLSTAD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44593</v>
      </c>
      <c r="E132" s="1" t="n">
        <v>46241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44574</v>
      </c>
      <c r="E133" s="1" t="n">
        <v>46241</v>
      </c>
      <c r="F133" t="inlineStr">
        <is>
          <t>VÄRMLANDS LÄN</t>
        </is>
      </c>
      <c r="G133" t="inlineStr">
        <is>
          <t>KARLSTAD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46241</v>
      </c>
      <c r="F134" t="inlineStr">
        <is>
          <t>VÄRMLANDS LÄN</t>
        </is>
      </c>
      <c r="G134" t="inlineStr">
        <is>
          <t>KARLSTAD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46241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46241</v>
      </c>
      <c r="F136" t="inlineStr">
        <is>
          <t>VÄRMLANDS LÄN</t>
        </is>
      </c>
      <c r="G136" t="inlineStr">
        <is>
          <t>KARLSTAD</t>
        </is>
      </c>
      <c r="H136" t="inlineStr">
        <is>
          <t>Övriga statliga verk och myndigheter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46241</v>
      </c>
      <c r="F137" t="inlineStr">
        <is>
          <t>VÄRMLANDS LÄN</t>
        </is>
      </c>
      <c r="G137" t="inlineStr">
        <is>
          <t>KARLSTAD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48577-2021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46241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46241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46241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46241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73004-2021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44547</v>
      </c>
      <c r="E142" s="1" t="n">
        <v>46241</v>
      </c>
      <c r="F142" t="inlineStr">
        <is>
          <t>VÄRMLANDS LÄN</t>
        </is>
      </c>
      <c r="G142" t="inlineStr">
        <is>
          <t>KARLSTAD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46241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44452</v>
      </c>
      <c r="E144" s="1" t="n">
        <v>46241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46241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46241</v>
      </c>
      <c r="F146" t="inlineStr">
        <is>
          <t>VÄRMLANDS LÄN</t>
        </is>
      </c>
      <c r="G146" t="inlineStr">
        <is>
          <t>KARLSTAD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46241</v>
      </c>
      <c r="F147" t="inlineStr">
        <is>
          <t>VÄRMLANDS LÄN</t>
        </is>
      </c>
      <c r="G147" t="inlineStr">
        <is>
          <t>KARLSTAD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46241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46241</v>
      </c>
      <c r="F149" t="inlineStr">
        <is>
          <t>VÄRMLANDS LÄN</t>
        </is>
      </c>
      <c r="G149" t="inlineStr">
        <is>
          <t>KARLSTAD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46241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46241</v>
      </c>
      <c r="F151" t="inlineStr">
        <is>
          <t>VÄRMLANDS LÄN</t>
        </is>
      </c>
      <c r="G151" t="inlineStr">
        <is>
          <t>KARLSTAD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46241</v>
      </c>
      <c r="F152" t="inlineStr">
        <is>
          <t>VÄRMLANDS LÄN</t>
        </is>
      </c>
      <c r="G152" t="inlineStr">
        <is>
          <t>KARLSTAD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45177</v>
      </c>
      <c r="E153" s="1" t="n">
        <v>46241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11053-2024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45370</v>
      </c>
      <c r="E154" s="1" t="n">
        <v>46241</v>
      </c>
      <c r="F154" t="inlineStr">
        <is>
          <t>VÄRMLANDS LÄN</t>
        </is>
      </c>
      <c r="G154" t="inlineStr">
        <is>
          <t>KARLSTAD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45546</v>
      </c>
      <c r="E155" s="1" t="n">
        <v>46241</v>
      </c>
      <c r="F155" t="inlineStr">
        <is>
          <t>VÄRMLANDS LÄN</t>
        </is>
      </c>
      <c r="G155" t="inlineStr">
        <is>
          <t>KARLSTAD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47055-2021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44446</v>
      </c>
      <c r="E156" s="1" t="n">
        <v>46241</v>
      </c>
      <c r="F156" t="inlineStr">
        <is>
          <t>VÄRMLANDS LÄN</t>
        </is>
      </c>
      <c r="G156" t="inlineStr">
        <is>
          <t>KARLSTAD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45035</v>
      </c>
      <c r="E157" s="1" t="n">
        <v>46241</v>
      </c>
      <c r="F157" t="inlineStr">
        <is>
          <t>VÄRMLANDS LÄN</t>
        </is>
      </c>
      <c r="G157" t="inlineStr">
        <is>
          <t>KARLSTAD</t>
        </is>
      </c>
      <c r="H157" t="inlineStr">
        <is>
          <t>Kommuner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46241</v>
      </c>
      <c r="F158" t="inlineStr">
        <is>
          <t>VÄRMLANDS LÄN</t>
        </is>
      </c>
      <c r="G158" t="inlineStr">
        <is>
          <t>KARLSTAD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46241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45382</v>
      </c>
      <c r="E160" s="1" t="n">
        <v>46241</v>
      </c>
      <c r="F160" t="inlineStr">
        <is>
          <t>VÄRMLANDS LÄN</t>
        </is>
      </c>
      <c r="G160" t="inlineStr">
        <is>
          <t>KARLSTAD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53305-2023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45229</v>
      </c>
      <c r="E161" s="1" t="n">
        <v>46241</v>
      </c>
      <c r="F161" t="inlineStr">
        <is>
          <t>VÄRMLANDS LÄN</t>
        </is>
      </c>
      <c r="G161" t="inlineStr">
        <is>
          <t>KARLSTAD</t>
        </is>
      </c>
      <c r="H161" t="inlineStr">
        <is>
          <t>Övriga Aktiebolag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46241</v>
      </c>
      <c r="F162" t="inlineStr">
        <is>
          <t>VÄRMLANDS LÄN</t>
        </is>
      </c>
      <c r="G162" t="inlineStr">
        <is>
          <t>KARLSTAD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46241</v>
      </c>
      <c r="F163" t="inlineStr">
        <is>
          <t>VÄRMLANDS LÄN</t>
        </is>
      </c>
      <c r="G163" t="inlineStr">
        <is>
          <t>KARLSTAD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44945</v>
      </c>
      <c r="E164" s="1" t="n">
        <v>46241</v>
      </c>
      <c r="F164" t="inlineStr">
        <is>
          <t>VÄRMLANDS LÄN</t>
        </is>
      </c>
      <c r="G164" t="inlineStr">
        <is>
          <t>KARLSTAD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46241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46241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46241</v>
      </c>
      <c r="F167" t="inlineStr">
        <is>
          <t>VÄRMLANDS LÄN</t>
        </is>
      </c>
      <c r="G167" t="inlineStr">
        <is>
          <t>KARLSTAD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46241</v>
      </c>
      <c r="F168" t="inlineStr">
        <is>
          <t>VÄRMLANDS LÄN</t>
        </is>
      </c>
      <c r="G168" t="inlineStr">
        <is>
          <t>KARLSTAD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46241</v>
      </c>
      <c r="F169" t="inlineStr">
        <is>
          <t>VÄRMLANDS LÄN</t>
        </is>
      </c>
      <c r="G169" t="inlineStr">
        <is>
          <t>KARLSTAD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46241</v>
      </c>
      <c r="F170" t="inlineStr">
        <is>
          <t>VÄRMLANDS LÄN</t>
        </is>
      </c>
      <c r="G170" t="inlineStr">
        <is>
          <t>KARLSTAD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42053-2021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44426</v>
      </c>
      <c r="E171" s="1" t="n">
        <v>46241</v>
      </c>
      <c r="F171" t="inlineStr">
        <is>
          <t>VÄRMLANDS LÄN</t>
        </is>
      </c>
      <c r="G171" t="inlineStr">
        <is>
          <t>KARLSTAD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46241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46241</v>
      </c>
      <c r="F173" t="inlineStr">
        <is>
          <t>VÄRMLANDS LÄN</t>
        </is>
      </c>
      <c r="G173" t="inlineStr">
        <is>
          <t>KARLSTAD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46241</v>
      </c>
      <c r="F174" t="inlineStr">
        <is>
          <t>VÄRMLANDS LÄN</t>
        </is>
      </c>
      <c r="G174" t="inlineStr">
        <is>
          <t>KARLSTAD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45520</v>
      </c>
      <c r="E175" s="1" t="n">
        <v>46241</v>
      </c>
      <c r="F175" t="inlineStr">
        <is>
          <t>VÄRMLANDS LÄN</t>
        </is>
      </c>
      <c r="G175" t="inlineStr">
        <is>
          <t>KARLSTAD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45450</v>
      </c>
      <c r="E176" s="1" t="n">
        <v>46241</v>
      </c>
      <c r="F176" t="inlineStr">
        <is>
          <t>VÄRMLANDS LÄN</t>
        </is>
      </c>
      <c r="G176" t="inlineStr">
        <is>
          <t>KARLSTAD</t>
        </is>
      </c>
      <c r="I176" t="n">
        <v>10.7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46241</v>
      </c>
      <c r="F177" t="inlineStr">
        <is>
          <t>VÄRMLANDS LÄN</t>
        </is>
      </c>
      <c r="G177" t="inlineStr">
        <is>
          <t>KARLSTAD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46241</v>
      </c>
      <c r="F178" t="inlineStr">
        <is>
          <t>VÄRMLANDS LÄN</t>
        </is>
      </c>
      <c r="G178" t="inlineStr">
        <is>
          <t>KARLSTAD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57449-2022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46241</v>
      </c>
      <c r="F179" t="inlineStr">
        <is>
          <t>VÄRMLANDS LÄN</t>
        </is>
      </c>
      <c r="G179" t="inlineStr">
        <is>
          <t>KARLSTAD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45551</v>
      </c>
      <c r="E180" s="1" t="n">
        <v>46241</v>
      </c>
      <c r="F180" t="inlineStr">
        <is>
          <t>VÄRMLANDS LÄN</t>
        </is>
      </c>
      <c r="G180" t="inlineStr">
        <is>
          <t>KARLSTAD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45635</v>
      </c>
      <c r="E181" s="1" t="n">
        <v>46241</v>
      </c>
      <c r="F181" t="inlineStr">
        <is>
          <t>VÄRMLANDS LÄN</t>
        </is>
      </c>
      <c r="G181" t="inlineStr">
        <is>
          <t>KARLSTAD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73753-2021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44552</v>
      </c>
      <c r="E182" s="1" t="n">
        <v>46241</v>
      </c>
      <c r="F182" t="inlineStr">
        <is>
          <t>VÄRMLANDS LÄN</t>
        </is>
      </c>
      <c r="G182" t="inlineStr">
        <is>
          <t>KARLSTAD</t>
        </is>
      </c>
      <c r="H182" t="inlineStr">
        <is>
          <t>Kyrkan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44595</v>
      </c>
      <c r="E183" s="1" t="n">
        <v>46241</v>
      </c>
      <c r="F183" t="inlineStr">
        <is>
          <t>VÄRMLANDS LÄN</t>
        </is>
      </c>
      <c r="G183" t="inlineStr">
        <is>
          <t>KARLSTAD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45120</v>
      </c>
      <c r="E184" s="1" t="n">
        <v>46241</v>
      </c>
      <c r="F184" t="inlineStr">
        <is>
          <t>VÄRMLANDS LÄN</t>
        </is>
      </c>
      <c r="G184" t="inlineStr">
        <is>
          <t>KARLSTAD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46241</v>
      </c>
      <c r="F185" t="inlineStr">
        <is>
          <t>VÄRMLANDS LÄN</t>
        </is>
      </c>
      <c r="G185" t="inlineStr">
        <is>
          <t>KARLSTAD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46241</v>
      </c>
      <c r="F186" t="inlineStr">
        <is>
          <t>VÄRMLANDS LÄN</t>
        </is>
      </c>
      <c r="G186" t="inlineStr">
        <is>
          <t>KARLSTAD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45379</v>
      </c>
      <c r="E187" s="1" t="n">
        <v>46241</v>
      </c>
      <c r="F187" t="inlineStr">
        <is>
          <t>VÄRMLANDS LÄN</t>
        </is>
      </c>
      <c r="G187" t="inlineStr">
        <is>
          <t>KARLSTAD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46241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45320</v>
      </c>
      <c r="E189" s="1" t="n">
        <v>46241</v>
      </c>
      <c r="F189" t="inlineStr">
        <is>
          <t>VÄRMLANDS LÄN</t>
        </is>
      </c>
      <c r="G189" t="inlineStr">
        <is>
          <t>KARLSTAD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44629</v>
      </c>
      <c r="E190" s="1" t="n">
        <v>46241</v>
      </c>
      <c r="F190" t="inlineStr">
        <is>
          <t>VÄRMLANDS LÄN</t>
        </is>
      </c>
      <c r="G190" t="inlineStr">
        <is>
          <t>KARLSTAD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46241</v>
      </c>
      <c r="F191" t="inlineStr">
        <is>
          <t>VÄRMLANDS LÄN</t>
        </is>
      </c>
      <c r="G191" t="inlineStr">
        <is>
          <t>KARLSTAD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58456-2022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46241</v>
      </c>
      <c r="F192" t="inlineStr">
        <is>
          <t>VÄRMLANDS LÄN</t>
        </is>
      </c>
      <c r="G192" t="inlineStr">
        <is>
          <t>KARLSTAD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46241</v>
      </c>
      <c r="F193" t="inlineStr">
        <is>
          <t>VÄRMLANDS LÄN</t>
        </is>
      </c>
      <c r="G193" t="inlineStr">
        <is>
          <t>KARLSTAD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11697-2022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46241</v>
      </c>
      <c r="F194" t="inlineStr">
        <is>
          <t>VÄRMLANDS LÄN</t>
        </is>
      </c>
      <c r="G194" t="inlineStr">
        <is>
          <t>KARLSTAD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46241</v>
      </c>
      <c r="F195" t="inlineStr">
        <is>
          <t>VÄRMLANDS LÄN</t>
        </is>
      </c>
      <c r="G195" t="inlineStr">
        <is>
          <t>KARLSTAD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44979</v>
      </c>
      <c r="E196" s="1" t="n">
        <v>46241</v>
      </c>
      <c r="F196" t="inlineStr">
        <is>
          <t>VÄRMLANDS LÄN</t>
        </is>
      </c>
      <c r="G196" t="inlineStr">
        <is>
          <t>KARLSTAD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45524</v>
      </c>
      <c r="E197" s="1" t="n">
        <v>46241</v>
      </c>
      <c r="F197" t="inlineStr">
        <is>
          <t>VÄRMLANDS LÄN</t>
        </is>
      </c>
      <c r="G197" t="inlineStr">
        <is>
          <t>KARLSTAD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46241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45095</v>
      </c>
      <c r="E199" s="1" t="n">
        <v>46241</v>
      </c>
      <c r="F199" t="inlineStr">
        <is>
          <t>VÄRMLANDS LÄN</t>
        </is>
      </c>
      <c r="G199" t="inlineStr">
        <is>
          <t>KARLSTAD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45723</v>
      </c>
      <c r="E200" s="1" t="n">
        <v>46241</v>
      </c>
      <c r="F200" t="inlineStr">
        <is>
          <t>VÄRMLANDS LÄN</t>
        </is>
      </c>
      <c r="G200" t="inlineStr">
        <is>
          <t>KARLSTAD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57587-2024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46241</v>
      </c>
      <c r="F201" t="inlineStr">
        <is>
          <t>VÄRMLANDS LÄN</t>
        </is>
      </c>
      <c r="G201" t="inlineStr">
        <is>
          <t>KARLSTAD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45785</v>
      </c>
      <c r="E202" s="1" t="n">
        <v>46241</v>
      </c>
      <c r="F202" t="inlineStr">
        <is>
          <t>VÄRMLANDS LÄN</t>
        </is>
      </c>
      <c r="G202" t="inlineStr">
        <is>
          <t>KARLSTAD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46241</v>
      </c>
      <c r="F203" t="inlineStr">
        <is>
          <t>VÄRMLANDS LÄN</t>
        </is>
      </c>
      <c r="G203" t="inlineStr">
        <is>
          <t>KARLSTAD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16154-2022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44666</v>
      </c>
      <c r="E204" s="1" t="n">
        <v>46241</v>
      </c>
      <c r="F204" t="inlineStr">
        <is>
          <t>VÄRMLANDS LÄN</t>
        </is>
      </c>
      <c r="G204" t="inlineStr">
        <is>
          <t>KARLSTAD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45068</v>
      </c>
      <c r="E205" s="1" t="n">
        <v>46241</v>
      </c>
      <c r="F205" t="inlineStr">
        <is>
          <t>VÄRMLANDS LÄN</t>
        </is>
      </c>
      <c r="G205" t="inlineStr">
        <is>
          <t>KARLSTAD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46241</v>
      </c>
      <c r="F206" t="inlineStr">
        <is>
          <t>VÄRMLANDS LÄN</t>
        </is>
      </c>
      <c r="G206" t="inlineStr">
        <is>
          <t>KARLSTAD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45792</v>
      </c>
      <c r="E207" s="1" t="n">
        <v>46241</v>
      </c>
      <c r="F207" t="inlineStr">
        <is>
          <t>VÄRMLANDS LÄN</t>
        </is>
      </c>
      <c r="G207" t="inlineStr">
        <is>
          <t>KARLSTAD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46241</v>
      </c>
      <c r="F208" t="inlineStr">
        <is>
          <t>VÄRMLANDS LÄN</t>
        </is>
      </c>
      <c r="G208" t="inlineStr">
        <is>
          <t>KARLSTAD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46114</v>
      </c>
      <c r="E209" s="1" t="n">
        <v>46241</v>
      </c>
      <c r="F209" t="inlineStr">
        <is>
          <t>VÄRMLANDS LÄN</t>
        </is>
      </c>
      <c r="G209" t="inlineStr">
        <is>
          <t>KARLSTAD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46241</v>
      </c>
      <c r="F210" t="inlineStr">
        <is>
          <t>VÄRMLANDS LÄN</t>
        </is>
      </c>
      <c r="G210" t="inlineStr">
        <is>
          <t>KARLSTAD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37932-2025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45881</v>
      </c>
      <c r="E211" s="1" t="n">
        <v>46241</v>
      </c>
      <c r="F211" t="inlineStr">
        <is>
          <t>VÄRMLANDS LÄN</t>
        </is>
      </c>
      <c r="G211" t="inlineStr">
        <is>
          <t>KARLSTAD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45751</v>
      </c>
      <c r="E212" s="1" t="n">
        <v>46241</v>
      </c>
      <c r="F212" t="inlineStr">
        <is>
          <t>VÄRMLANDS LÄN</t>
        </is>
      </c>
      <c r="G212" t="inlineStr">
        <is>
          <t>KARLSTAD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45005</v>
      </c>
      <c r="E213" s="1" t="n">
        <v>46241</v>
      </c>
      <c r="F213" t="inlineStr">
        <is>
          <t>VÄRMLANDS LÄN</t>
        </is>
      </c>
      <c r="G213" t="inlineStr">
        <is>
          <t>KARLSTAD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45623</v>
      </c>
      <c r="E214" s="1" t="n">
        <v>46241</v>
      </c>
      <c r="F214" t="inlineStr">
        <is>
          <t>VÄRMLANDS LÄN</t>
        </is>
      </c>
      <c r="G214" t="inlineStr">
        <is>
          <t>KARLSTAD</t>
        </is>
      </c>
      <c r="I214" t="n">
        <v>8.699999999999999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46241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54669-2024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45618</v>
      </c>
      <c r="E216" s="1" t="n">
        <v>46241</v>
      </c>
      <c r="F216" t="inlineStr">
        <is>
          <t>VÄRMLANDS LÄN</t>
        </is>
      </c>
      <c r="G216" t="inlineStr">
        <is>
          <t>KARLSTAD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45877</v>
      </c>
      <c r="E217" s="1" t="n">
        <v>46241</v>
      </c>
      <c r="F217" t="inlineStr">
        <is>
          <t>VÄRMLANDS LÄN</t>
        </is>
      </c>
      <c r="G217" t="inlineStr">
        <is>
          <t>KARLSTAD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45012</v>
      </c>
      <c r="E218" s="1" t="n">
        <v>46241</v>
      </c>
      <c r="F218" t="inlineStr">
        <is>
          <t>VÄRMLANDS LÄN</t>
        </is>
      </c>
      <c r="G218" t="inlineStr">
        <is>
          <t>KARLSTAD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46241</v>
      </c>
      <c r="F219" t="inlineStr">
        <is>
          <t>VÄRMLANDS LÄN</t>
        </is>
      </c>
      <c r="G219" t="inlineStr">
        <is>
          <t>KARLSTAD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46241</v>
      </c>
      <c r="F220" t="inlineStr">
        <is>
          <t>VÄRMLANDS LÄN</t>
        </is>
      </c>
      <c r="G220" t="inlineStr">
        <is>
          <t>KARLSTAD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46241</v>
      </c>
      <c r="F221" t="inlineStr">
        <is>
          <t>VÄRMLANDS LÄN</t>
        </is>
      </c>
      <c r="G221" t="inlineStr">
        <is>
          <t>KARLSTAD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44985</v>
      </c>
      <c r="E222" s="1" t="n">
        <v>46241</v>
      </c>
      <c r="F222" t="inlineStr">
        <is>
          <t>VÄRMLANDS LÄN</t>
        </is>
      </c>
      <c r="G222" t="inlineStr">
        <is>
          <t>KARLSTAD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45601</v>
      </c>
      <c r="E223" s="1" t="n">
        <v>46241</v>
      </c>
      <c r="F223" t="inlineStr">
        <is>
          <t>VÄRMLANDS LÄN</t>
        </is>
      </c>
      <c r="G223" t="inlineStr">
        <is>
          <t>KARLSTAD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43400-2025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45911</v>
      </c>
      <c r="E224" s="1" t="n">
        <v>46241</v>
      </c>
      <c r="F224" t="inlineStr">
        <is>
          <t>VÄRMLANDS LÄN</t>
        </is>
      </c>
      <c r="G224" t="inlineStr">
        <is>
          <t>KARLSTAD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46241</v>
      </c>
      <c r="F225" t="inlineStr">
        <is>
          <t>VÄRMLANDS LÄN</t>
        </is>
      </c>
      <c r="G225" t="inlineStr">
        <is>
          <t>KARLSTAD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46241</v>
      </c>
      <c r="F226" t="inlineStr">
        <is>
          <t>VÄRMLANDS LÄN</t>
        </is>
      </c>
      <c r="G226" t="inlineStr">
        <is>
          <t>KARLSTAD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45061</v>
      </c>
      <c r="E227" s="1" t="n">
        <v>46241</v>
      </c>
      <c r="F227" t="inlineStr">
        <is>
          <t>VÄRMLANDS LÄN</t>
        </is>
      </c>
      <c r="G227" t="inlineStr">
        <is>
          <t>KARLSTAD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44999</v>
      </c>
      <c r="E228" s="1" t="n">
        <v>46241</v>
      </c>
      <c r="F228" t="inlineStr">
        <is>
          <t>VÄRMLANDS LÄN</t>
        </is>
      </c>
      <c r="G228" t="inlineStr">
        <is>
          <t>KARLSTAD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46241</v>
      </c>
      <c r="F229" t="inlineStr">
        <is>
          <t>VÄRMLANDS LÄN</t>
        </is>
      </c>
      <c r="G229" t="inlineStr">
        <is>
          <t>KARLSTAD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45041</v>
      </c>
      <c r="E230" s="1" t="n">
        <v>46241</v>
      </c>
      <c r="F230" t="inlineStr">
        <is>
          <t>VÄRMLANDS LÄN</t>
        </is>
      </c>
      <c r="G230" t="inlineStr">
        <is>
          <t>KARLSTAD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46241</v>
      </c>
      <c r="F231" t="inlineStr">
        <is>
          <t>VÄRMLANDS LÄN</t>
        </is>
      </c>
      <c r="G231" t="inlineStr">
        <is>
          <t>KARLSTAD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44615-2025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46241</v>
      </c>
      <c r="F232" t="inlineStr">
        <is>
          <t>VÄRMLANDS LÄN</t>
        </is>
      </c>
      <c r="G232" t="inlineStr">
        <is>
          <t>KARLSTAD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45635</v>
      </c>
      <c r="E233" s="1" t="n">
        <v>46241</v>
      </c>
      <c r="F233" t="inlineStr">
        <is>
          <t>VÄRMLANDS LÄN</t>
        </is>
      </c>
      <c r="G233" t="inlineStr">
        <is>
          <t>KARLSTAD</t>
        </is>
      </c>
      <c r="I233" t="n">
        <v>18.5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46241</v>
      </c>
      <c r="F234" t="inlineStr">
        <is>
          <t>VÄRMLANDS LÄN</t>
        </is>
      </c>
      <c r="G234" t="inlineStr">
        <is>
          <t>KARLSTAD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53656-2024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46241</v>
      </c>
      <c r="F235" t="inlineStr">
        <is>
          <t>VÄRMLANDS LÄN</t>
        </is>
      </c>
      <c r="G235" t="inlineStr">
        <is>
          <t>KARLSTAD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46241</v>
      </c>
      <c r="F236" t="inlineStr">
        <is>
          <t>VÄRMLANDS LÄN</t>
        </is>
      </c>
      <c r="G236" t="inlineStr">
        <is>
          <t>KARLSTAD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45174</v>
      </c>
      <c r="E237" s="1" t="n">
        <v>46241</v>
      </c>
      <c r="F237" t="inlineStr">
        <is>
          <t>VÄRMLANDS LÄN</t>
        </is>
      </c>
      <c r="G237" t="inlineStr">
        <is>
          <t>KARLSTAD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46241</v>
      </c>
      <c r="F238" t="inlineStr">
        <is>
          <t>VÄRMLANDS LÄN</t>
        </is>
      </c>
      <c r="G238" t="inlineStr">
        <is>
          <t>KARLSTAD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46241</v>
      </c>
      <c r="F239" t="inlineStr">
        <is>
          <t>VÄRMLANDS LÄN</t>
        </is>
      </c>
      <c r="G239" t="inlineStr">
        <is>
          <t>KARLSTAD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46241</v>
      </c>
      <c r="F240" t="inlineStr">
        <is>
          <t>VÄRMLANDS LÄN</t>
        </is>
      </c>
      <c r="G240" t="inlineStr">
        <is>
          <t>KARLSTAD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44937</v>
      </c>
      <c r="E241" s="1" t="n">
        <v>46241</v>
      </c>
      <c r="F241" t="inlineStr">
        <is>
          <t>VÄRMLANDS LÄN</t>
        </is>
      </c>
      <c r="G241" t="inlineStr">
        <is>
          <t>KARLSTAD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45707</v>
      </c>
      <c r="E242" s="1" t="n">
        <v>46241</v>
      </c>
      <c r="F242" t="inlineStr">
        <is>
          <t>VÄRMLANDS LÄN</t>
        </is>
      </c>
      <c r="G242" t="inlineStr">
        <is>
          <t>KARLSTAD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46241</v>
      </c>
      <c r="F243" t="inlineStr">
        <is>
          <t>VÄRMLANDS LÄN</t>
        </is>
      </c>
      <c r="G243" t="inlineStr">
        <is>
          <t>KARLSTAD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25558-2025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46241</v>
      </c>
      <c r="F244" t="inlineStr">
        <is>
          <t>VÄRMLANDS LÄN</t>
        </is>
      </c>
      <c r="G244" t="inlineStr">
        <is>
          <t>KARLSTAD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45679</v>
      </c>
      <c r="E245" s="1" t="n">
        <v>46241</v>
      </c>
      <c r="F245" t="inlineStr">
        <is>
          <t>VÄRMLANDS LÄN</t>
        </is>
      </c>
      <c r="G245" t="inlineStr">
        <is>
          <t>KARLSTAD</t>
        </is>
      </c>
      <c r="I245" t="n">
        <v>11.4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46241</v>
      </c>
      <c r="F246" t="inlineStr">
        <is>
          <t>VÄRMLANDS LÄN</t>
        </is>
      </c>
      <c r="G246" t="inlineStr">
        <is>
          <t>KARLSTAD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46241</v>
      </c>
      <c r="F247" t="inlineStr">
        <is>
          <t>VÄRMLANDS LÄN</t>
        </is>
      </c>
      <c r="G247" t="inlineStr">
        <is>
          <t>KARLSTAD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46241</v>
      </c>
      <c r="F248" t="inlineStr">
        <is>
          <t>VÄRMLANDS LÄN</t>
        </is>
      </c>
      <c r="G248" t="inlineStr">
        <is>
          <t>KARLSTAD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66642-2021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44519</v>
      </c>
      <c r="E249" s="1" t="n">
        <v>46241</v>
      </c>
      <c r="F249" t="inlineStr">
        <is>
          <t>VÄRMLANDS LÄN</t>
        </is>
      </c>
      <c r="G249" t="inlineStr">
        <is>
          <t>KARLSTAD</t>
        </is>
      </c>
      <c r="I249" t="n">
        <v>18.2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46241</v>
      </c>
      <c r="F250" t="inlineStr">
        <is>
          <t>VÄRMLANDS LÄN</t>
        </is>
      </c>
      <c r="G250" t="inlineStr">
        <is>
          <t>KARLSTAD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48517-2025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46241</v>
      </c>
      <c r="F251" t="inlineStr">
        <is>
          <t>VÄRMLANDS LÄN</t>
        </is>
      </c>
      <c r="G251" t="inlineStr">
        <is>
          <t>KARLSTAD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46241</v>
      </c>
      <c r="F252" t="inlineStr">
        <is>
          <t>VÄRMLANDS LÄN</t>
        </is>
      </c>
      <c r="G252" t="inlineStr">
        <is>
          <t>KARLSTAD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45904</v>
      </c>
      <c r="E253" s="1" t="n">
        <v>46241</v>
      </c>
      <c r="F253" t="inlineStr">
        <is>
          <t>VÄRMLANDS LÄN</t>
        </is>
      </c>
      <c r="G253" t="inlineStr">
        <is>
          <t>KARLSTAD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45688</v>
      </c>
      <c r="E254" s="1" t="n">
        <v>46241</v>
      </c>
      <c r="F254" t="inlineStr">
        <is>
          <t>VÄRMLANDS LÄN</t>
        </is>
      </c>
      <c r="G254" t="inlineStr">
        <is>
          <t>KARLSTAD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49343-2021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44454</v>
      </c>
      <c r="E255" s="1" t="n">
        <v>46241</v>
      </c>
      <c r="F255" t="inlineStr">
        <is>
          <t>VÄRMLANDS LÄN</t>
        </is>
      </c>
      <c r="G255" t="inlineStr">
        <is>
          <t>KARLSTAD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45711</v>
      </c>
      <c r="E256" s="1" t="n">
        <v>46241</v>
      </c>
      <c r="F256" t="inlineStr">
        <is>
          <t>VÄRMLANDS LÄN</t>
        </is>
      </c>
      <c r="G256" t="inlineStr">
        <is>
          <t>KARLSTAD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46241</v>
      </c>
      <c r="F257" t="inlineStr">
        <is>
          <t>VÄRMLANDS LÄN</t>
        </is>
      </c>
      <c r="G257" t="inlineStr">
        <is>
          <t>KARLSTAD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57445-2022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46241</v>
      </c>
      <c r="F258" t="inlineStr">
        <is>
          <t>VÄRMLANDS LÄN</t>
        </is>
      </c>
      <c r="G258" t="inlineStr">
        <is>
          <t>KARLSTAD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45751</v>
      </c>
      <c r="E259" s="1" t="n">
        <v>46241</v>
      </c>
      <c r="F259" t="inlineStr">
        <is>
          <t>VÄRMLANDS LÄN</t>
        </is>
      </c>
      <c r="G259" t="inlineStr">
        <is>
          <t>KARLSTAD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45039</v>
      </c>
      <c r="E260" s="1" t="n">
        <v>46241</v>
      </c>
      <c r="F260" t="inlineStr">
        <is>
          <t>VÄRMLANDS LÄN</t>
        </is>
      </c>
      <c r="G260" t="inlineStr">
        <is>
          <t>KARLSTAD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66322-2021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44518</v>
      </c>
      <c r="E261" s="1" t="n">
        <v>46241</v>
      </c>
      <c r="F261" t="inlineStr">
        <is>
          <t>VÄRMLANDS LÄN</t>
        </is>
      </c>
      <c r="G261" t="inlineStr">
        <is>
          <t>KARLSTAD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45775</v>
      </c>
      <c r="E262" s="1" t="n">
        <v>46241</v>
      </c>
      <c r="F262" t="inlineStr">
        <is>
          <t>VÄRMLANDS LÄN</t>
        </is>
      </c>
      <c r="G262" t="inlineStr">
        <is>
          <t>KARLSTAD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45698</v>
      </c>
      <c r="E263" s="1" t="n">
        <v>46241</v>
      </c>
      <c r="F263" t="inlineStr">
        <is>
          <t>VÄRMLANDS LÄN</t>
        </is>
      </c>
      <c r="G263" t="inlineStr">
        <is>
          <t>KARLSTAD</t>
        </is>
      </c>
      <c r="I263" t="n">
        <v>20.6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46241</v>
      </c>
      <c r="F264" t="inlineStr">
        <is>
          <t>VÄRMLANDS LÄN</t>
        </is>
      </c>
      <c r="G264" t="inlineStr">
        <is>
          <t>KARLSTAD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46241</v>
      </c>
      <c r="F265" t="inlineStr">
        <is>
          <t>VÄRMLANDS LÄN</t>
        </is>
      </c>
      <c r="G265" t="inlineStr">
        <is>
          <t>KARLSTAD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46241</v>
      </c>
      <c r="F266" t="inlineStr">
        <is>
          <t>VÄRMLANDS LÄN</t>
        </is>
      </c>
      <c r="G266" t="inlineStr">
        <is>
          <t>KARLSTAD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46241</v>
      </c>
      <c r="F267" t="inlineStr">
        <is>
          <t>VÄRMLANDS LÄN</t>
        </is>
      </c>
      <c r="G267" t="inlineStr">
        <is>
          <t>KARLSTAD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44566</v>
      </c>
      <c r="E268" s="1" t="n">
        <v>46241</v>
      </c>
      <c r="F268" t="inlineStr">
        <is>
          <t>VÄRMLANDS LÄN</t>
        </is>
      </c>
      <c r="G268" t="inlineStr">
        <is>
          <t>KARLSTAD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46241</v>
      </c>
      <c r="F269" t="inlineStr">
        <is>
          <t>VÄRMLANDS LÄN</t>
        </is>
      </c>
      <c r="G269" t="inlineStr">
        <is>
          <t>KARLSTAD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45729</v>
      </c>
      <c r="E270" s="1" t="n">
        <v>46241</v>
      </c>
      <c r="F270" t="inlineStr">
        <is>
          <t>VÄRMLANDS LÄN</t>
        </is>
      </c>
      <c r="G270" t="inlineStr">
        <is>
          <t>KARLSTAD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45177</v>
      </c>
      <c r="E271" s="1" t="n">
        <v>46241</v>
      </c>
      <c r="F271" t="inlineStr">
        <is>
          <t>VÄRMLANDS LÄN</t>
        </is>
      </c>
      <c r="G271" t="inlineStr">
        <is>
          <t>KARLSTAD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45187</v>
      </c>
      <c r="E272" s="1" t="n">
        <v>46241</v>
      </c>
      <c r="F272" t="inlineStr">
        <is>
          <t>VÄRMLANDS LÄN</t>
        </is>
      </c>
      <c r="G272" t="inlineStr">
        <is>
          <t>KARLSTAD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46241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46241</v>
      </c>
      <c r="F274" t="inlineStr">
        <is>
          <t>VÄRMLANDS LÄN</t>
        </is>
      </c>
      <c r="G274" t="inlineStr">
        <is>
          <t>KARLSTAD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46241</v>
      </c>
      <c r="F275" t="inlineStr">
        <is>
          <t>VÄRMLANDS LÄN</t>
        </is>
      </c>
      <c r="G275" t="inlineStr">
        <is>
          <t>KARLSTAD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24656-2025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46241</v>
      </c>
      <c r="F276" t="inlineStr">
        <is>
          <t>VÄRMLANDS LÄN</t>
        </is>
      </c>
      <c r="G276" t="inlineStr">
        <is>
          <t>KARLSTAD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44578</v>
      </c>
      <c r="E277" s="1" t="n">
        <v>46241</v>
      </c>
      <c r="F277" t="inlineStr">
        <is>
          <t>VÄRMLANDS LÄN</t>
        </is>
      </c>
      <c r="G277" t="inlineStr">
        <is>
          <t>KARLSTAD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47349-2022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44852</v>
      </c>
      <c r="E278" s="1" t="n">
        <v>46241</v>
      </c>
      <c r="F278" t="inlineStr">
        <is>
          <t>VÄRMLANDS LÄN</t>
        </is>
      </c>
      <c r="G278" t="inlineStr">
        <is>
          <t>KARLSTAD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46241</v>
      </c>
      <c r="F279" t="inlineStr">
        <is>
          <t>VÄRMLANDS LÄN</t>
        </is>
      </c>
      <c r="G279" t="inlineStr">
        <is>
          <t>KARLSTAD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46241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44426</v>
      </c>
      <c r="E281" s="1" t="n">
        <v>46241</v>
      </c>
      <c r="F281" t="inlineStr">
        <is>
          <t>VÄRMLANDS LÄN</t>
        </is>
      </c>
      <c r="G281" t="inlineStr">
        <is>
          <t>KARLSTAD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46241</v>
      </c>
      <c r="F282" t="inlineStr">
        <is>
          <t>VÄRMLANDS LÄN</t>
        </is>
      </c>
      <c r="G282" t="inlineStr">
        <is>
          <t>KARLSTAD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44873</v>
      </c>
      <c r="E283" s="1" t="n">
        <v>46241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46241</v>
      </c>
      <c r="F284" t="inlineStr">
        <is>
          <t>VÄRMLANDS LÄN</t>
        </is>
      </c>
      <c r="G284" t="inlineStr">
        <is>
          <t>KARLSTAD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46241</v>
      </c>
      <c r="F285" t="inlineStr">
        <is>
          <t>VÄRMLANDS LÄN</t>
        </is>
      </c>
      <c r="G285" t="inlineStr">
        <is>
          <t>KARLSTAD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51096-2021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44459</v>
      </c>
      <c r="E286" s="1" t="n">
        <v>46241</v>
      </c>
      <c r="F286" t="inlineStr">
        <is>
          <t>VÄRMLANDS LÄN</t>
        </is>
      </c>
      <c r="G286" t="inlineStr">
        <is>
          <t>KARLSTAD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46241</v>
      </c>
      <c r="F287" t="inlineStr">
        <is>
          <t>VÄRMLANDS LÄN</t>
        </is>
      </c>
      <c r="G287" t="inlineStr">
        <is>
          <t>KARLSTAD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45095</v>
      </c>
      <c r="E288" s="1" t="n">
        <v>46241</v>
      </c>
      <c r="F288" t="inlineStr">
        <is>
          <t>VÄRMLANDS LÄN</t>
        </is>
      </c>
      <c r="G288" t="inlineStr">
        <is>
          <t>KARLSTAD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57441-2022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46241</v>
      </c>
      <c r="F289" t="inlineStr">
        <is>
          <t>VÄRMLANDS LÄN</t>
        </is>
      </c>
      <c r="G289" t="inlineStr">
        <is>
          <t>KARLSTAD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44855</v>
      </c>
      <c r="E290" s="1" t="n">
        <v>46241</v>
      </c>
      <c r="F290" t="inlineStr">
        <is>
          <t>VÄRMLANDS LÄN</t>
        </is>
      </c>
      <c r="G290" t="inlineStr">
        <is>
          <t>KARLSTAD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45761</v>
      </c>
      <c r="E291" s="1" t="n">
        <v>46241</v>
      </c>
      <c r="F291" t="inlineStr">
        <is>
          <t>VÄRMLANDS LÄN</t>
        </is>
      </c>
      <c r="G291" t="inlineStr">
        <is>
          <t>KARLSTAD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46241</v>
      </c>
      <c r="F292" t="inlineStr">
        <is>
          <t>VÄRMLANDS LÄN</t>
        </is>
      </c>
      <c r="G292" t="inlineStr">
        <is>
          <t>KARLSTAD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46241</v>
      </c>
      <c r="F293" t="inlineStr">
        <is>
          <t>VÄRMLANDS LÄN</t>
        </is>
      </c>
      <c r="G293" t="inlineStr">
        <is>
          <t>KARLSTAD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45382</v>
      </c>
      <c r="E294" s="1" t="n">
        <v>46241</v>
      </c>
      <c r="F294" t="inlineStr">
        <is>
          <t>VÄRMLANDS LÄN</t>
        </is>
      </c>
      <c r="G294" t="inlineStr">
        <is>
          <t>KARLSTAD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45308</v>
      </c>
      <c r="E295" s="1" t="n">
        <v>46241</v>
      </c>
      <c r="F295" t="inlineStr">
        <is>
          <t>VÄRMLANDS LÄN</t>
        </is>
      </c>
      <c r="G295" t="inlineStr">
        <is>
          <t>KARLSTAD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46241</v>
      </c>
      <c r="F296" t="inlineStr">
        <is>
          <t>VÄRMLANDS LÄN</t>
        </is>
      </c>
      <c r="G296" t="inlineStr">
        <is>
          <t>KARLSTAD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37487-2025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45877</v>
      </c>
      <c r="E297" s="1" t="n">
        <v>46241</v>
      </c>
      <c r="F297" t="inlineStr">
        <is>
          <t>VÄRMLANDS LÄN</t>
        </is>
      </c>
      <c r="G297" t="inlineStr">
        <is>
          <t>KARLSTAD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45836</v>
      </c>
      <c r="E298" s="1" t="n">
        <v>46241</v>
      </c>
      <c r="F298" t="inlineStr">
        <is>
          <t>VÄRMLANDS LÄN</t>
        </is>
      </c>
      <c r="G298" t="inlineStr">
        <is>
          <t>KARLSTAD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46241</v>
      </c>
      <c r="F299" t="inlineStr">
        <is>
          <t>VÄRMLANDS LÄN</t>
        </is>
      </c>
      <c r="G299" t="inlineStr">
        <is>
          <t>KARLSTAD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46241</v>
      </c>
      <c r="F300" t="inlineStr">
        <is>
          <t>VÄRMLANDS LÄN</t>
        </is>
      </c>
      <c r="G300" t="inlineStr">
        <is>
          <t>KARLSTAD</t>
        </is>
      </c>
      <c r="H300" t="inlineStr">
        <is>
          <t>Naturvårdsverket</t>
        </is>
      </c>
      <c r="I300" t="n">
        <v>16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46241</v>
      </c>
      <c r="F301" t="inlineStr">
        <is>
          <t>VÄRMLANDS LÄN</t>
        </is>
      </c>
      <c r="G301" t="inlineStr">
        <is>
          <t>KARLSTAD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9405-2025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45715</v>
      </c>
      <c r="E302" s="1" t="n">
        <v>46241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46241</v>
      </c>
      <c r="F303" t="inlineStr">
        <is>
          <t>VÄRMLANDS LÄN</t>
        </is>
      </c>
      <c r="G303" t="inlineStr">
        <is>
          <t>KARLSTAD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  <c r="Z303">
        <f>HYPERLINK("https://klasma.github.io/Logging_1780/knärot/A 57466-2025 karta knärot.png", "A 57466-2025")</f>
        <v/>
      </c>
      <c r="AA303">
        <f>HYPERLINK("https://klasma.github.io/Logging_1780/klagomål/A 57466-2025 FSC-klagomål.docx", "A 57466-2025")</f>
        <v/>
      </c>
      <c r="AB303">
        <f>HYPERLINK("https://klasma.github.io/Logging_1780/klagomålsmail/A 57466-2025 FSC-klagomål mail.docx", "A 57466-2025")</f>
        <v/>
      </c>
      <c r="AC303">
        <f>HYPERLINK("https://klasma.github.io/Logging_1780/tillsyn/A 57466-2025 tillsynsbegäran.docx", "A 57466-2025")</f>
        <v/>
      </c>
      <c r="AD303">
        <f>HYPERLINK("https://klasma.github.io/Logging_1780/tillsynsmail/A 57466-2025 tillsynsbegäran mail.docx", "A 57466-2025")</f>
        <v/>
      </c>
    </row>
    <row r="304" ht="15" customHeight="1">
      <c r="A304" t="inlineStr">
        <is>
          <t>A 4071-2023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46241</v>
      </c>
      <c r="F304" t="inlineStr">
        <is>
          <t>VÄRMLANDS LÄN</t>
        </is>
      </c>
      <c r="G304" t="inlineStr">
        <is>
          <t>KARLSTAD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45093</v>
      </c>
      <c r="E305" s="1" t="n">
        <v>46241</v>
      </c>
      <c r="F305" t="inlineStr">
        <is>
          <t>VÄRMLANDS LÄN</t>
        </is>
      </c>
      <c r="G305" t="inlineStr">
        <is>
          <t>KARLSTAD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46241</v>
      </c>
      <c r="F306" t="inlineStr">
        <is>
          <t>VÄRMLANDS LÄN</t>
        </is>
      </c>
      <c r="G306" t="inlineStr">
        <is>
          <t>KARLSTAD</t>
        </is>
      </c>
      <c r="I306" t="n">
        <v>10.4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46142</v>
      </c>
      <c r="E307" s="1" t="n">
        <v>46241</v>
      </c>
      <c r="F307" t="inlineStr">
        <is>
          <t>VÄRMLANDS LÄN</t>
        </is>
      </c>
      <c r="G307" t="inlineStr">
        <is>
          <t>KARLSTAD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45393</v>
      </c>
      <c r="E308" s="1" t="n">
        <v>46241</v>
      </c>
      <c r="F308" t="inlineStr">
        <is>
          <t>VÄRMLANDS LÄN</t>
        </is>
      </c>
      <c r="G308" t="inlineStr">
        <is>
          <t>KARLSTAD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33564-2023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45118</v>
      </c>
      <c r="E309" s="1" t="n">
        <v>46241</v>
      </c>
      <c r="F309" t="inlineStr">
        <is>
          <t>VÄRMLANDS LÄN</t>
        </is>
      </c>
      <c r="G309" t="inlineStr">
        <is>
          <t>KARLSTAD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46241</v>
      </c>
      <c r="F310" t="inlineStr">
        <is>
          <t>VÄRMLANDS LÄN</t>
        </is>
      </c>
      <c r="G310" t="inlineStr">
        <is>
          <t>KARLSTAD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46241</v>
      </c>
      <c r="F311" t="inlineStr">
        <is>
          <t>VÄRMLANDS LÄN</t>
        </is>
      </c>
      <c r="G311" t="inlineStr">
        <is>
          <t>KARLSTAD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50955-2025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45946</v>
      </c>
      <c r="E312" s="1" t="n">
        <v>46241</v>
      </c>
      <c r="F312" t="inlineStr">
        <is>
          <t>VÄRMLANDS LÄN</t>
        </is>
      </c>
      <c r="G312" t="inlineStr">
        <is>
          <t>KARLSTAD</t>
        </is>
      </c>
      <c r="I312" t="n">
        <v>10.3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46241</v>
      </c>
      <c r="F313" t="inlineStr">
        <is>
          <t>VÄRMLANDS LÄN</t>
        </is>
      </c>
      <c r="G313" t="inlineStr">
        <is>
          <t>KARLSTAD</t>
        </is>
      </c>
      <c r="H313" t="inlineStr">
        <is>
          <t>Övriga statliga verk och myndigheter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21217-2026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46241</v>
      </c>
      <c r="F314" t="inlineStr">
        <is>
          <t>VÄRMLANDS LÄN</t>
        </is>
      </c>
      <c r="G314" t="inlineStr">
        <is>
          <t>KARLSTAD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21220-2026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46241</v>
      </c>
      <c r="F315" t="inlineStr">
        <is>
          <t>VÄRMLANDS LÄN</t>
        </is>
      </c>
      <c r="G315" t="inlineStr">
        <is>
          <t>KARLSTAD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44902</v>
      </c>
      <c r="E316" s="1" t="n">
        <v>46241</v>
      </c>
      <c r="F316" t="inlineStr">
        <is>
          <t>VÄRMLANDS LÄN</t>
        </is>
      </c>
      <c r="G316" t="inlineStr">
        <is>
          <t>KARLSTAD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46241</v>
      </c>
      <c r="F317" t="inlineStr">
        <is>
          <t>VÄRMLANDS LÄN</t>
        </is>
      </c>
      <c r="G317" t="inlineStr">
        <is>
          <t>KARLSTAD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60434-2025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45995</v>
      </c>
      <c r="E318" s="1" t="n">
        <v>46241</v>
      </c>
      <c r="F318" t="inlineStr">
        <is>
          <t>VÄRMLANDS LÄN</t>
        </is>
      </c>
      <c r="G318" t="inlineStr">
        <is>
          <t>KARLSTAD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46154</v>
      </c>
      <c r="E319" s="1" t="n">
        <v>46241</v>
      </c>
      <c r="F319" t="inlineStr">
        <is>
          <t>VÄRMLANDS LÄN</t>
        </is>
      </c>
      <c r="G319" t="inlineStr">
        <is>
          <t>KARLSTAD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45020</v>
      </c>
      <c r="E320" s="1" t="n">
        <v>46241</v>
      </c>
      <c r="F320" t="inlineStr">
        <is>
          <t>VÄRMLANDS LÄN</t>
        </is>
      </c>
      <c r="G320" t="inlineStr">
        <is>
          <t>KARLSTAD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45112</v>
      </c>
      <c r="E321" s="1" t="n">
        <v>46241</v>
      </c>
      <c r="F321" t="inlineStr">
        <is>
          <t>VÄRMLANDS LÄN</t>
        </is>
      </c>
      <c r="G321" t="inlineStr">
        <is>
          <t>KARLSTAD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45544</v>
      </c>
      <c r="E322" s="1" t="n">
        <v>46241</v>
      </c>
      <c r="F322" t="inlineStr">
        <is>
          <t>VÄRMLANDS LÄN</t>
        </is>
      </c>
      <c r="G322" t="inlineStr">
        <is>
          <t>KARLSTAD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22302-2026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46154</v>
      </c>
      <c r="E323" s="1" t="n">
        <v>46241</v>
      </c>
      <c r="F323" t="inlineStr">
        <is>
          <t>VÄRMLANDS LÄN</t>
        </is>
      </c>
      <c r="G323" t="inlineStr">
        <is>
          <t>KARLSTAD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44985</v>
      </c>
      <c r="E324" s="1" t="n">
        <v>46241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68011-2021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44525</v>
      </c>
      <c r="E325" s="1" t="n">
        <v>46241</v>
      </c>
      <c r="F325" t="inlineStr">
        <is>
          <t>VÄRMLANDS LÄN</t>
        </is>
      </c>
      <c r="G325" t="inlineStr">
        <is>
          <t>KARLSTAD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46241</v>
      </c>
      <c r="F326" t="inlineStr">
        <is>
          <t>VÄRMLANDS LÄN</t>
        </is>
      </c>
      <c r="G326" t="inlineStr">
        <is>
          <t>KARLSTAD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45615</v>
      </c>
      <c r="E327" s="1" t="n">
        <v>46241</v>
      </c>
      <c r="F327" t="inlineStr">
        <is>
          <t>VÄRMLANDS LÄN</t>
        </is>
      </c>
      <c r="G327" t="inlineStr">
        <is>
          <t>KARLSTAD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46241</v>
      </c>
      <c r="F328" t="inlineStr">
        <is>
          <t>VÄRMLANDS LÄN</t>
        </is>
      </c>
      <c r="G328" t="inlineStr">
        <is>
          <t>KARLSTAD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45565</v>
      </c>
      <c r="E329" s="1" t="n">
        <v>46241</v>
      </c>
      <c r="F329" t="inlineStr">
        <is>
          <t>VÄRMLANDS LÄN</t>
        </is>
      </c>
      <c r="G329" t="inlineStr">
        <is>
          <t>KARLSTAD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24270-2024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45457</v>
      </c>
      <c r="E330" s="1" t="n">
        <v>46241</v>
      </c>
      <c r="F330" t="inlineStr">
        <is>
          <t>VÄRMLANDS LÄN</t>
        </is>
      </c>
      <c r="G330" t="inlineStr">
        <is>
          <t>KARLSTAD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44959</v>
      </c>
      <c r="E331" s="1" t="n">
        <v>46241</v>
      </c>
      <c r="F331" t="inlineStr">
        <is>
          <t>VÄRMLANDS LÄN</t>
        </is>
      </c>
      <c r="G331" t="inlineStr">
        <is>
          <t>KARLSTAD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45306</v>
      </c>
      <c r="E332" s="1" t="n">
        <v>46241</v>
      </c>
      <c r="F332" t="inlineStr">
        <is>
          <t>VÄRMLANDS LÄN</t>
        </is>
      </c>
      <c r="G332" t="inlineStr">
        <is>
          <t>KARLSTAD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61673-2025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46002</v>
      </c>
      <c r="E333" s="1" t="n">
        <v>46241</v>
      </c>
      <c r="F333" t="inlineStr">
        <is>
          <t>VÄRMLANDS LÄN</t>
        </is>
      </c>
      <c r="G333" t="inlineStr">
        <is>
          <t>KARLSTAD</t>
        </is>
      </c>
      <c r="H333" t="inlineStr">
        <is>
          <t>Naturvårdsverket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46241</v>
      </c>
      <c r="F334" t="inlineStr">
        <is>
          <t>VÄRMLANDS LÄN</t>
        </is>
      </c>
      <c r="G334" t="inlineStr">
        <is>
          <t>KARLSTAD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61968-2025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46241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54292-2024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45617</v>
      </c>
      <c r="E336" s="1" t="n">
        <v>46241</v>
      </c>
      <c r="F336" t="inlineStr">
        <is>
          <t>VÄRMLANDS LÄN</t>
        </is>
      </c>
      <c r="G336" t="inlineStr">
        <is>
          <t>KARLSTAD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62225-2021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44503</v>
      </c>
      <c r="E337" s="1" t="n">
        <v>46241</v>
      </c>
      <c r="F337" t="inlineStr">
        <is>
          <t>VÄRMLANDS LÄN</t>
        </is>
      </c>
      <c r="G337" t="inlineStr">
        <is>
          <t>KARLSTAD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16757-2024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45411</v>
      </c>
      <c r="E338" s="1" t="n">
        <v>46241</v>
      </c>
      <c r="F338" t="inlineStr">
        <is>
          <t>VÄRMLANDS LÄN</t>
        </is>
      </c>
      <c r="G338" t="inlineStr">
        <is>
          <t>KARLSTAD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63122-2025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46241</v>
      </c>
      <c r="F339" t="inlineStr">
        <is>
          <t>VÄRMLANDS LÄN</t>
        </is>
      </c>
      <c r="G339" t="inlineStr">
        <is>
          <t>KARLSTAD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44986</v>
      </c>
      <c r="E340" s="1" t="n">
        <v>46241</v>
      </c>
      <c r="F340" t="inlineStr">
        <is>
          <t>VÄRMLANDS LÄN</t>
        </is>
      </c>
      <c r="G340" t="inlineStr">
        <is>
          <t>KARLSTAD</t>
        </is>
      </c>
      <c r="H340" t="inlineStr">
        <is>
          <t>Kommuner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45163</v>
      </c>
      <c r="E341" s="1" t="n">
        <v>46241</v>
      </c>
      <c r="F341" t="inlineStr">
        <is>
          <t>VÄRMLANDS LÄN</t>
        </is>
      </c>
      <c r="G341" t="inlineStr">
        <is>
          <t>KARLSTAD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63120-2025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46241</v>
      </c>
      <c r="F342" t="inlineStr">
        <is>
          <t>VÄRMLANDS LÄN</t>
        </is>
      </c>
      <c r="G342" t="inlineStr">
        <is>
          <t>KARLSTAD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44589</v>
      </c>
      <c r="E343" s="1" t="n">
        <v>46241</v>
      </c>
      <c r="F343" t="inlineStr">
        <is>
          <t>VÄRMLANDS LÄN</t>
        </is>
      </c>
      <c r="G343" t="inlineStr">
        <is>
          <t>KARLSTAD</t>
        </is>
      </c>
      <c r="H343" t="inlineStr">
        <is>
          <t>Bergvik skog väst AB</t>
        </is>
      </c>
      <c r="I343" t="n">
        <v>17.9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54141-2024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45616</v>
      </c>
      <c r="E344" s="1" t="n">
        <v>46241</v>
      </c>
      <c r="F344" t="inlineStr">
        <is>
          <t>VÄRMLANDS LÄN</t>
        </is>
      </c>
      <c r="G344" t="inlineStr">
        <is>
          <t>KARLSTAD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63825-2025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46020</v>
      </c>
      <c r="E345" s="1" t="n">
        <v>46241</v>
      </c>
      <c r="F345" t="inlineStr">
        <is>
          <t>VÄRMLANDS LÄN</t>
        </is>
      </c>
      <c r="G345" t="inlineStr">
        <is>
          <t>KARLSTAD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57146-2024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46241</v>
      </c>
      <c r="F346" t="inlineStr">
        <is>
          <t>VÄRMLANDS LÄN</t>
        </is>
      </c>
      <c r="G346" t="inlineStr">
        <is>
          <t>KARLSTAD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46241</v>
      </c>
      <c r="F347" t="inlineStr">
        <is>
          <t>VÄRMLANDS LÄN</t>
        </is>
      </c>
      <c r="G347" t="inlineStr">
        <is>
          <t>KARLSTAD</t>
        </is>
      </c>
      <c r="H347" t="inlineStr">
        <is>
          <t>Naturvårdsverket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29388-2026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46203</v>
      </c>
      <c r="E348" s="1" t="n">
        <v>46241</v>
      </c>
      <c r="F348" t="inlineStr">
        <is>
          <t>VÄRMLANDS LÄN</t>
        </is>
      </c>
      <c r="G348" t="inlineStr">
        <is>
          <t>KARLSTAD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46241</v>
      </c>
      <c r="F349" t="inlineStr">
        <is>
          <t>VÄRMLANDS LÄN</t>
        </is>
      </c>
      <c r="G349" t="inlineStr">
        <is>
          <t>KARLSTAD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46031</v>
      </c>
      <c r="E350" s="1" t="n">
        <v>46241</v>
      </c>
      <c r="F350" t="inlineStr">
        <is>
          <t>VÄRMLANDS LÄN</t>
        </is>
      </c>
      <c r="G350" t="inlineStr">
        <is>
          <t>KARLSTAD</t>
        </is>
      </c>
      <c r="H350" t="inlineStr">
        <is>
          <t>Kyrkan</t>
        </is>
      </c>
      <c r="I350" t="n">
        <v>7.3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46241</v>
      </c>
      <c r="F351" t="inlineStr">
        <is>
          <t>VÄRMLANDS LÄN</t>
        </is>
      </c>
      <c r="G351" t="inlineStr">
        <is>
          <t>KARLSTAD</t>
        </is>
      </c>
      <c r="H351" t="inlineStr">
        <is>
          <t>Kyrkan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46241</v>
      </c>
      <c r="F352" t="inlineStr">
        <is>
          <t>VÄRMLANDS LÄN</t>
        </is>
      </c>
      <c r="G352" t="inlineStr">
        <is>
          <t>KARLSTAD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13745-2022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44649</v>
      </c>
      <c r="E353" s="1" t="n">
        <v>46241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20.8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12316-2025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45729</v>
      </c>
      <c r="E354" s="1" t="n">
        <v>46241</v>
      </c>
      <c r="F354" t="inlineStr">
        <is>
          <t>VÄRMLANDS LÄN</t>
        </is>
      </c>
      <c r="G354" t="inlineStr">
        <is>
          <t>KARLSTAD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57607-2024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46241</v>
      </c>
      <c r="F355" t="inlineStr">
        <is>
          <t>VÄRMLANDS LÄN</t>
        </is>
      </c>
      <c r="G355" t="inlineStr">
        <is>
          <t>KARLSTAD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46241</v>
      </c>
      <c r="F356" t="inlineStr">
        <is>
          <t>VÄRMLANDS LÄN</t>
        </is>
      </c>
      <c r="G356" t="inlineStr">
        <is>
          <t>KARLSTAD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46241</v>
      </c>
      <c r="F357" t="inlineStr">
        <is>
          <t>VÄRMLANDS LÄN</t>
        </is>
      </c>
      <c r="G357" t="inlineStr">
        <is>
          <t>KARLSTAD</t>
        </is>
      </c>
      <c r="I357" t="n">
        <v>10.7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44566</v>
      </c>
      <c r="E358" s="1" t="n">
        <v>46241</v>
      </c>
      <c r="F358" t="inlineStr">
        <is>
          <t>VÄRMLANDS LÄN</t>
        </is>
      </c>
      <c r="G358" t="inlineStr">
        <is>
          <t>KARLSTAD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50236-2024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45600</v>
      </c>
      <c r="E359" s="1" t="n">
        <v>46241</v>
      </c>
      <c r="F359" t="inlineStr">
        <is>
          <t>VÄRMLANDS LÄN</t>
        </is>
      </c>
      <c r="G359" t="inlineStr">
        <is>
          <t>KARLSTAD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50526-2023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45217</v>
      </c>
      <c r="E360" s="1" t="n">
        <v>46241</v>
      </c>
      <c r="F360" t="inlineStr">
        <is>
          <t>VÄRMLANDS LÄN</t>
        </is>
      </c>
      <c r="G360" t="inlineStr">
        <is>
          <t>KARLSTAD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24648-2022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44727</v>
      </c>
      <c r="E361" s="1" t="n">
        <v>46241</v>
      </c>
      <c r="F361" t="inlineStr">
        <is>
          <t>VÄRMLANDS LÄN</t>
        </is>
      </c>
      <c r="G361" t="inlineStr">
        <is>
          <t>KARLSTAD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35867-2025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45861</v>
      </c>
      <c r="E362" s="1" t="n">
        <v>46241</v>
      </c>
      <c r="F362" t="inlineStr">
        <is>
          <t>VÄRMLANDS LÄN</t>
        </is>
      </c>
      <c r="G362" t="inlineStr">
        <is>
          <t>KARLSTAD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44686</v>
      </c>
      <c r="E363" s="1" t="n">
        <v>46241</v>
      </c>
      <c r="F363" t="inlineStr">
        <is>
          <t>VÄRMLANDS LÄN</t>
        </is>
      </c>
      <c r="G363" t="inlineStr">
        <is>
          <t>KARLSTAD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45672</v>
      </c>
      <c r="E364" s="1" t="n">
        <v>46241</v>
      </c>
      <c r="F364" t="inlineStr">
        <is>
          <t>VÄRMLANDS LÄN</t>
        </is>
      </c>
      <c r="G364" t="inlineStr">
        <is>
          <t>KARLSTAD</t>
        </is>
      </c>
      <c r="H364" t="inlineStr">
        <is>
          <t>Övriga statliga verk och myndigheter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45371</v>
      </c>
      <c r="E365" s="1" t="n">
        <v>46241</v>
      </c>
      <c r="F365" t="inlineStr">
        <is>
          <t>VÄRMLANDS LÄN</t>
        </is>
      </c>
      <c r="G365" t="inlineStr">
        <is>
          <t>KARLSTAD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45371</v>
      </c>
      <c r="E366" s="1" t="n">
        <v>46241</v>
      </c>
      <c r="F366" t="inlineStr">
        <is>
          <t>VÄRMLANDS LÄN</t>
        </is>
      </c>
      <c r="G366" t="inlineStr">
        <is>
          <t>KARLSTAD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46049</v>
      </c>
      <c r="E367" s="1" t="n">
        <v>46241</v>
      </c>
      <c r="F367" t="inlineStr">
        <is>
          <t>VÄRMLANDS LÄN</t>
        </is>
      </c>
      <c r="G367" t="inlineStr">
        <is>
          <t>KARLSTAD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41563-2023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45175</v>
      </c>
      <c r="E368" s="1" t="n">
        <v>46241</v>
      </c>
      <c r="F368" t="inlineStr">
        <is>
          <t>VÄRMLANDS LÄN</t>
        </is>
      </c>
      <c r="G368" t="inlineStr">
        <is>
          <t>KARLSTAD</t>
        </is>
      </c>
      <c r="H368" t="inlineStr">
        <is>
          <t>Övriga Aktiebolag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46967-2023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45201</v>
      </c>
      <c r="E369" s="1" t="n">
        <v>46241</v>
      </c>
      <c r="F369" t="inlineStr">
        <is>
          <t>VÄRMLANDS LÄN</t>
        </is>
      </c>
      <c r="G369" t="inlineStr">
        <is>
          <t>KARLSTAD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46241</v>
      </c>
      <c r="F370" t="inlineStr">
        <is>
          <t>VÄRMLANDS LÄN</t>
        </is>
      </c>
      <c r="G370" t="inlineStr">
        <is>
          <t>KARLSTAD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44594</v>
      </c>
      <c r="E371" s="1" t="n">
        <v>46241</v>
      </c>
      <c r="F371" t="inlineStr">
        <is>
          <t>VÄRMLANDS LÄN</t>
        </is>
      </c>
      <c r="G371" t="inlineStr">
        <is>
          <t>KARLSTAD</t>
        </is>
      </c>
      <c r="I371" t="n">
        <v>6.1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39504-2022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44818</v>
      </c>
      <c r="E372" s="1" t="n">
        <v>46241</v>
      </c>
      <c r="F372" t="inlineStr">
        <is>
          <t>VÄRMLANDS LÄN</t>
        </is>
      </c>
      <c r="G372" t="inlineStr">
        <is>
          <t>KARLSTAD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46241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7491-2022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44607</v>
      </c>
      <c r="E374" s="1" t="n">
        <v>46241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45077</v>
      </c>
      <c r="E375" s="1" t="n">
        <v>46241</v>
      </c>
      <c r="F375" t="inlineStr">
        <is>
          <t>VÄRMLANDS LÄN</t>
        </is>
      </c>
      <c r="G375" t="inlineStr">
        <is>
          <t>KARLSTAD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6323-2022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44600</v>
      </c>
      <c r="E376" s="1" t="n">
        <v>46241</v>
      </c>
      <c r="F376" t="inlineStr">
        <is>
          <t>VÄRMLANDS LÄN</t>
        </is>
      </c>
      <c r="G376" t="inlineStr">
        <is>
          <t>KARLSTAD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46241</v>
      </c>
      <c r="F377" t="inlineStr">
        <is>
          <t>VÄRMLANDS LÄN</t>
        </is>
      </c>
      <c r="G377" t="inlineStr">
        <is>
          <t>KARLSTAD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11700-2022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44634</v>
      </c>
      <c r="E378" s="1" t="n">
        <v>46241</v>
      </c>
      <c r="F378" t="inlineStr">
        <is>
          <t>VÄRMLANDS LÄN</t>
        </is>
      </c>
      <c r="G378" t="inlineStr">
        <is>
          <t>KARLSTAD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45636</v>
      </c>
      <c r="E379" s="1" t="n">
        <v>46241</v>
      </c>
      <c r="F379" t="inlineStr">
        <is>
          <t>VÄRMLANDS LÄN</t>
        </is>
      </c>
      <c r="G379" t="inlineStr">
        <is>
          <t>KARLSTAD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45222</v>
      </c>
      <c r="E380" s="1" t="n">
        <v>46241</v>
      </c>
      <c r="F380" t="inlineStr">
        <is>
          <t>VÄRMLANDS LÄN</t>
        </is>
      </c>
      <c r="G380" t="inlineStr">
        <is>
          <t>KARLSTAD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8642-2026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46241</v>
      </c>
      <c r="F381" t="inlineStr">
        <is>
          <t>VÄRMLANDS LÄN</t>
        </is>
      </c>
      <c r="G381" t="inlineStr">
        <is>
          <t>KARLSTAD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46241</v>
      </c>
      <c r="F382" t="inlineStr">
        <is>
          <t>VÄRMLANDS LÄN</t>
        </is>
      </c>
      <c r="G382" t="inlineStr">
        <is>
          <t>KARLSTAD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45111</v>
      </c>
      <c r="E383" s="1" t="n">
        <v>46241</v>
      </c>
      <c r="F383" t="inlineStr">
        <is>
          <t>VÄRMLANDS LÄN</t>
        </is>
      </c>
      <c r="G383" t="inlineStr">
        <is>
          <t>KARLSTAD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46241</v>
      </c>
      <c r="F384" t="inlineStr">
        <is>
          <t>VÄRMLANDS LÄN</t>
        </is>
      </c>
      <c r="G384" t="inlineStr">
        <is>
          <t>KARLSTAD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46241</v>
      </c>
      <c r="F385" t="inlineStr">
        <is>
          <t>VÄRMLANDS LÄN</t>
        </is>
      </c>
      <c r="G385" t="inlineStr">
        <is>
          <t>KARLSTAD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45376</v>
      </c>
      <c r="E386" s="1" t="n">
        <v>46241</v>
      </c>
      <c r="F386" t="inlineStr">
        <is>
          <t>VÄRMLANDS LÄN</t>
        </is>
      </c>
      <c r="G386" t="inlineStr">
        <is>
          <t>KARLSTAD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45099</v>
      </c>
      <c r="E387" s="1" t="n">
        <v>46241</v>
      </c>
      <c r="F387" t="inlineStr">
        <is>
          <t>VÄRMLANDS LÄN</t>
        </is>
      </c>
      <c r="G387" t="inlineStr">
        <is>
          <t>KARLSTAD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45260</v>
      </c>
      <c r="E388" s="1" t="n">
        <v>46241</v>
      </c>
      <c r="F388" t="inlineStr">
        <is>
          <t>VÄRMLANDS LÄN</t>
        </is>
      </c>
      <c r="G388" t="inlineStr">
        <is>
          <t>KARLSTAD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46241</v>
      </c>
      <c r="F389" t="inlineStr">
        <is>
          <t>VÄRMLANDS LÄN</t>
        </is>
      </c>
      <c r="G389" t="inlineStr">
        <is>
          <t>KARLSTAD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11342-2026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46082</v>
      </c>
      <c r="E390" s="1" t="n">
        <v>46241</v>
      </c>
      <c r="F390" t="inlineStr">
        <is>
          <t>VÄRMLANDS LÄN</t>
        </is>
      </c>
      <c r="G390" t="inlineStr">
        <is>
          <t>KARLSTAD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45698</v>
      </c>
      <c r="E391" s="1" t="n">
        <v>46241</v>
      </c>
      <c r="F391" t="inlineStr">
        <is>
          <t>VÄRMLANDS LÄN</t>
        </is>
      </c>
      <c r="G391" t="inlineStr">
        <is>
          <t>KARLSTAD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44888</v>
      </c>
      <c r="E392" s="1" t="n">
        <v>46241</v>
      </c>
      <c r="F392" t="inlineStr">
        <is>
          <t>VÄRMLANDS LÄN</t>
        </is>
      </c>
      <c r="G392" t="inlineStr">
        <is>
          <t>KARLSTAD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  <c r="Z392">
        <f>HYPERLINK("https://klasma.github.io/Logging_1780/knärot/A 55764-2022 karta knärot.png", "A 55764-2022")</f>
        <v/>
      </c>
      <c r="AA392">
        <f>HYPERLINK("https://klasma.github.io/Logging_1780/klagomål/A 55764-2022 FSC-klagomål.docx", "A 55764-2022")</f>
        <v/>
      </c>
      <c r="AB392">
        <f>HYPERLINK("https://klasma.github.io/Logging_1780/klagomålsmail/A 55764-2022 FSC-klagomål mail.docx", "A 55764-2022")</f>
        <v/>
      </c>
      <c r="AC392">
        <f>HYPERLINK("https://klasma.github.io/Logging_1780/tillsyn/A 55764-2022 tillsynsbegäran.docx", "A 55764-2022")</f>
        <v/>
      </c>
      <c r="AD392">
        <f>HYPERLINK("https://klasma.github.io/Logging_1780/tillsynsmail/A 55764-2022 tillsynsbegäran mail.docx", "A 55764-2022")</f>
        <v/>
      </c>
    </row>
    <row r="393" ht="15" customHeight="1">
      <c r="A393" t="inlineStr">
        <is>
          <t>A 61009-2023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46241</v>
      </c>
      <c r="F393" t="inlineStr">
        <is>
          <t>VÄRMLANDS LÄN</t>
        </is>
      </c>
      <c r="G393" t="inlineStr">
        <is>
          <t>KARLSTAD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46241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15836-2022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44664</v>
      </c>
      <c r="E395" s="1" t="n">
        <v>46241</v>
      </c>
      <c r="F395" t="inlineStr">
        <is>
          <t>VÄRMLANDS LÄN</t>
        </is>
      </c>
      <c r="G395" t="inlineStr">
        <is>
          <t>KARLSTAD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46086</v>
      </c>
      <c r="E396" s="1" t="n">
        <v>46241</v>
      </c>
      <c r="F396" t="inlineStr">
        <is>
          <t>VÄRMLANDS LÄN</t>
        </is>
      </c>
      <c r="G396" t="inlineStr">
        <is>
          <t>KARLSTAD</t>
        </is>
      </c>
      <c r="I396" t="n">
        <v>6.1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41568-2023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46241</v>
      </c>
      <c r="F397" t="inlineStr">
        <is>
          <t>VÄRMLANDS LÄN</t>
        </is>
      </c>
      <c r="G397" t="inlineStr">
        <is>
          <t>KARLSTAD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45688</v>
      </c>
      <c r="E398" s="1" t="n">
        <v>46241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46241</v>
      </c>
      <c r="F399" t="inlineStr">
        <is>
          <t>VÄRMLANDS LÄN</t>
        </is>
      </c>
      <c r="G399" t="inlineStr">
        <is>
          <t>KARLSTAD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46241</v>
      </c>
      <c r="F400" t="inlineStr">
        <is>
          <t>VÄRMLANDS LÄN</t>
        </is>
      </c>
      <c r="G400" t="inlineStr">
        <is>
          <t>KARLSTAD</t>
        </is>
      </c>
      <c r="I400" t="n">
        <v>22.7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22798-2022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44715</v>
      </c>
      <c r="E401" s="1" t="n">
        <v>46241</v>
      </c>
      <c r="F401" t="inlineStr">
        <is>
          <t>VÄRMLANDS LÄN</t>
        </is>
      </c>
      <c r="G401" t="inlineStr">
        <is>
          <t>KARLSTAD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44735</v>
      </c>
      <c r="E402" s="1" t="n">
        <v>46241</v>
      </c>
      <c r="F402" t="inlineStr">
        <is>
          <t>VÄRMLANDS LÄN</t>
        </is>
      </c>
      <c r="G402" t="inlineStr">
        <is>
          <t>KARLSTAD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46241</v>
      </c>
      <c r="F403" t="inlineStr">
        <is>
          <t>VÄRMLANDS LÄN</t>
        </is>
      </c>
      <c r="G403" t="inlineStr">
        <is>
          <t>KARLSTAD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12878-2026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46241</v>
      </c>
      <c r="F404" t="inlineStr">
        <is>
          <t>VÄRMLANDS LÄN</t>
        </is>
      </c>
      <c r="G404" t="inlineStr">
        <is>
          <t>KARLSTAD</t>
        </is>
      </c>
      <c r="H404" t="inlineStr">
        <is>
          <t>Bergvik skog väst AB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3885-2024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45322</v>
      </c>
      <c r="E405" s="1" t="n">
        <v>46241</v>
      </c>
      <c r="F405" t="inlineStr">
        <is>
          <t>VÄRMLANDS LÄN</t>
        </is>
      </c>
      <c r="G405" t="inlineStr">
        <is>
          <t>KARLSTAD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12903-2026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46092</v>
      </c>
      <c r="E406" s="1" t="n">
        <v>46241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45252</v>
      </c>
      <c r="E407" s="1" t="n">
        <v>46241</v>
      </c>
      <c r="F407" t="inlineStr">
        <is>
          <t>VÄRMLANDS LÄN</t>
        </is>
      </c>
      <c r="G407" t="inlineStr">
        <is>
          <t>KARLSTAD</t>
        </is>
      </c>
      <c r="I407" t="n">
        <v>21.7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46220</v>
      </c>
      <c r="E408" s="1" t="n">
        <v>46241</v>
      </c>
      <c r="F408" t="inlineStr">
        <is>
          <t>VÄRMLANDS LÄN</t>
        </is>
      </c>
      <c r="G408" t="inlineStr">
        <is>
          <t>KARLSTAD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46241</v>
      </c>
      <c r="F409" t="inlineStr">
        <is>
          <t>VÄRMLANDS LÄN</t>
        </is>
      </c>
      <c r="G409" t="inlineStr">
        <is>
          <t>KARLSTAD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46094</v>
      </c>
      <c r="E410" s="1" t="n">
        <v>46241</v>
      </c>
      <c r="F410" t="inlineStr">
        <is>
          <t>VÄRMLANDS LÄN</t>
        </is>
      </c>
      <c r="G410" t="inlineStr">
        <is>
          <t>KARLSTAD</t>
        </is>
      </c>
      <c r="H410" t="inlineStr">
        <is>
          <t>Bergvik skog väst AB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31415-2026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46220</v>
      </c>
      <c r="E411" s="1" t="n">
        <v>46241</v>
      </c>
      <c r="F411" t="inlineStr">
        <is>
          <t>VÄRMLANDS LÄN</t>
        </is>
      </c>
      <c r="G411" t="inlineStr">
        <is>
          <t>KARLSTAD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46241</v>
      </c>
      <c r="F412" t="inlineStr">
        <is>
          <t>VÄRMLANDS LÄN</t>
        </is>
      </c>
      <c r="G412" t="inlineStr">
        <is>
          <t>KARLSTAD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13322-2026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46241</v>
      </c>
      <c r="F413" t="inlineStr">
        <is>
          <t>VÄRMLANDS LÄN</t>
        </is>
      </c>
      <c r="G413" t="inlineStr">
        <is>
          <t>KARLSTAD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46241</v>
      </c>
      <c r="F414" t="inlineStr">
        <is>
          <t>VÄRMLANDS LÄN</t>
        </is>
      </c>
      <c r="G414" t="inlineStr">
        <is>
          <t>KARLSTAD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14079-2026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46099</v>
      </c>
      <c r="E415" s="1" t="n">
        <v>46241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46241</v>
      </c>
      <c r="F416" t="inlineStr">
        <is>
          <t>VÄRMLANDS LÄN</t>
        </is>
      </c>
      <c r="G416" t="inlineStr">
        <is>
          <t>KARLSTAD</t>
        </is>
      </c>
      <c r="I416" t="n">
        <v>9.800000000000001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31391-2026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46220</v>
      </c>
      <c r="E417" s="1" t="n">
        <v>46241</v>
      </c>
      <c r="F417" t="inlineStr">
        <is>
          <t>VÄRMLANDS LÄN</t>
        </is>
      </c>
      <c r="G417" t="inlineStr">
        <is>
          <t>KARLSTAD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31426-2026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46241</v>
      </c>
      <c r="F418" t="inlineStr">
        <is>
          <t>VÄRMLANDS LÄN</t>
        </is>
      </c>
      <c r="G418" t="inlineStr">
        <is>
          <t>KARLSTAD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31430-2026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46220</v>
      </c>
      <c r="E419" s="1" t="n">
        <v>46241</v>
      </c>
      <c r="F419" t="inlineStr">
        <is>
          <t>VÄRMLANDS LÄN</t>
        </is>
      </c>
      <c r="G419" t="inlineStr">
        <is>
          <t>KARLSTAD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46241</v>
      </c>
      <c r="F420" t="inlineStr">
        <is>
          <t>VÄRMLANDS LÄN</t>
        </is>
      </c>
      <c r="G420" t="inlineStr">
        <is>
          <t>KARLSTAD</t>
        </is>
      </c>
      <c r="H420" t="inlineStr">
        <is>
          <t>Bergvik skog väst AB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29655-2022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44754</v>
      </c>
      <c r="E421" s="1" t="n">
        <v>46241</v>
      </c>
      <c r="F421" t="inlineStr">
        <is>
          <t>VÄRMLANDS LÄN</t>
        </is>
      </c>
      <c r="G421" t="inlineStr">
        <is>
          <t>KARLSTAD</t>
        </is>
      </c>
      <c r="H421" t="inlineStr">
        <is>
          <t>Kommuner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31392-2026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46220</v>
      </c>
      <c r="E422" s="1" t="n">
        <v>46241</v>
      </c>
      <c r="F422" t="inlineStr">
        <is>
          <t>VÄRMLANDS LÄN</t>
        </is>
      </c>
      <c r="G422" t="inlineStr">
        <is>
          <t>KARLSTAD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14468-2026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46241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45320</v>
      </c>
      <c r="E424" s="1" t="n">
        <v>46241</v>
      </c>
      <c r="F424" t="inlineStr">
        <is>
          <t>VÄRMLANDS LÄN</t>
        </is>
      </c>
      <c r="G424" t="inlineStr">
        <is>
          <t>KARLSTAD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14890-2026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46104</v>
      </c>
      <c r="E425" s="1" t="n">
        <v>46241</v>
      </c>
      <c r="F425" t="inlineStr">
        <is>
          <t>VÄRMLANDS LÄN</t>
        </is>
      </c>
      <c r="G425" t="inlineStr">
        <is>
          <t>KARLSTAD</t>
        </is>
      </c>
      <c r="H425" t="inlineStr">
        <is>
          <t>Bergvik skog väst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38933-2023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46241</v>
      </c>
      <c r="F426" t="inlineStr">
        <is>
          <t>VÄRMLANDS LÄN</t>
        </is>
      </c>
      <c r="G426" t="inlineStr">
        <is>
          <t>KARLSTAD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46241</v>
      </c>
      <c r="F427" t="inlineStr">
        <is>
          <t>VÄRMLANDS LÄN</t>
        </is>
      </c>
      <c r="G427" t="inlineStr">
        <is>
          <t>KARLSTAD</t>
        </is>
      </c>
      <c r="I427" t="n">
        <v>10.9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46241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46222</v>
      </c>
      <c r="E429" s="1" t="n">
        <v>46241</v>
      </c>
      <c r="F429" t="inlineStr">
        <is>
          <t>VÄRMLANDS LÄN</t>
        </is>
      </c>
      <c r="G429" t="inlineStr">
        <is>
          <t>KARLSTAD</t>
        </is>
      </c>
      <c r="I429" t="n">
        <v>10.2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46222</v>
      </c>
      <c r="E430" s="1" t="n">
        <v>46241</v>
      </c>
      <c r="F430" t="inlineStr">
        <is>
          <t>VÄRMLANDS LÄN</t>
        </is>
      </c>
      <c r="G430" t="inlineStr">
        <is>
          <t>KARLSTAD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46241</v>
      </c>
      <c r="F431" t="inlineStr">
        <is>
          <t>VÄRMLANDS LÄN</t>
        </is>
      </c>
      <c r="G431" t="inlineStr">
        <is>
          <t>KARLSTAD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46241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17082-2025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45755</v>
      </c>
      <c r="E433" s="1" t="n">
        <v>46241</v>
      </c>
      <c r="F433" t="inlineStr">
        <is>
          <t>VÄRMLANDS LÄN</t>
        </is>
      </c>
      <c r="G433" t="inlineStr">
        <is>
          <t>KARLSTAD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15772-2026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46107</v>
      </c>
      <c r="E434" s="1" t="n">
        <v>46241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45258</v>
      </c>
      <c r="E435" s="1" t="n">
        <v>46241</v>
      </c>
      <c r="F435" t="inlineStr">
        <is>
          <t>VÄRMLANDS LÄN</t>
        </is>
      </c>
      <c r="G435" t="inlineStr">
        <is>
          <t>KARLSTAD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45219</v>
      </c>
      <c r="E436" s="1" t="n">
        <v>46241</v>
      </c>
      <c r="F436" t="inlineStr">
        <is>
          <t>VÄRMLANDS LÄN</t>
        </is>
      </c>
      <c r="G436" t="inlineStr">
        <is>
          <t>KARLSTAD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44938</v>
      </c>
      <c r="E437" s="1" t="n">
        <v>46241</v>
      </c>
      <c r="F437" t="inlineStr">
        <is>
          <t>VÄRMLANDS LÄN</t>
        </is>
      </c>
      <c r="G437" t="inlineStr">
        <is>
          <t>KARLSTAD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55621-2022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46241</v>
      </c>
      <c r="F438" t="inlineStr">
        <is>
          <t>VÄRMLANDS LÄN</t>
        </is>
      </c>
      <c r="G438" t="inlineStr">
        <is>
          <t>KARLSTAD</t>
        </is>
      </c>
      <c r="H438" t="inlineStr">
        <is>
          <t>Bergvik skog väst AB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46241</v>
      </c>
      <c r="F439" t="inlineStr">
        <is>
          <t>VÄRMLANDS LÄN</t>
        </is>
      </c>
      <c r="G439" t="inlineStr">
        <is>
          <t>KARLSTAD</t>
        </is>
      </c>
      <c r="H439" t="inlineStr">
        <is>
          <t>Bergvik skog väst AB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1165-2024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45302</v>
      </c>
      <c r="E440" s="1" t="n">
        <v>46241</v>
      </c>
      <c r="F440" t="inlineStr">
        <is>
          <t>VÄRMLANDS LÄN</t>
        </is>
      </c>
      <c r="G440" t="inlineStr">
        <is>
          <t>KARLSTAD</t>
        </is>
      </c>
      <c r="I440" t="n">
        <v>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46241</v>
      </c>
      <c r="F441" t="inlineStr">
        <is>
          <t>VÄRMLANDS LÄN</t>
        </is>
      </c>
      <c r="G441" t="inlineStr">
        <is>
          <t>KARLSTAD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46222</v>
      </c>
      <c r="E442" s="1" t="n">
        <v>46241</v>
      </c>
      <c r="F442" t="inlineStr">
        <is>
          <t>VÄRMLANDS LÄN</t>
        </is>
      </c>
      <c r="G442" t="inlineStr">
        <is>
          <t>KARLSTAD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46222</v>
      </c>
      <c r="E443" s="1" t="n">
        <v>46241</v>
      </c>
      <c r="F443" t="inlineStr">
        <is>
          <t>VÄRMLANDS LÄN</t>
        </is>
      </c>
      <c r="G443" t="inlineStr">
        <is>
          <t>KARLSTAD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26076-2026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46181</v>
      </c>
      <c r="E444" s="1" t="n">
        <v>46241</v>
      </c>
      <c r="F444" t="inlineStr">
        <is>
          <t>VÄRMLANDS LÄN</t>
        </is>
      </c>
      <c r="G444" t="inlineStr">
        <is>
          <t>KARLSTAD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31470-2026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46222</v>
      </c>
      <c r="E445" s="1" t="n">
        <v>46241</v>
      </c>
      <c r="F445" t="inlineStr">
        <is>
          <t>VÄRMLANDS LÄN</t>
        </is>
      </c>
      <c r="G445" t="inlineStr">
        <is>
          <t>KARLSTAD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46241</v>
      </c>
      <c r="F446" t="inlineStr">
        <is>
          <t>VÄRMLANDS LÄN</t>
        </is>
      </c>
      <c r="G446" t="inlineStr">
        <is>
          <t>KARLSTAD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46241</v>
      </c>
      <c r="F447" t="inlineStr">
        <is>
          <t>VÄRMLANDS LÄN</t>
        </is>
      </c>
      <c r="G447" t="inlineStr">
        <is>
          <t>KARLSTAD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46181</v>
      </c>
      <c r="E448" s="1" t="n">
        <v>46241</v>
      </c>
      <c r="F448" t="inlineStr">
        <is>
          <t>VÄRMLANDS LÄN</t>
        </is>
      </c>
      <c r="G448" t="inlineStr">
        <is>
          <t>KARLSTAD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11620-2023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44994</v>
      </c>
      <c r="E449" s="1" t="n">
        <v>46241</v>
      </c>
      <c r="F449" t="inlineStr">
        <is>
          <t>VÄRMLANDS LÄN</t>
        </is>
      </c>
      <c r="G449" t="inlineStr">
        <is>
          <t>KARLSTAD</t>
        </is>
      </c>
      <c r="H449" t="inlineStr">
        <is>
          <t>Kommuner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29893-2024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45487</v>
      </c>
      <c r="E450" s="1" t="n">
        <v>46241</v>
      </c>
      <c r="F450" t="inlineStr">
        <is>
          <t>VÄRMLANDS LÄN</t>
        </is>
      </c>
      <c r="G450" t="inlineStr">
        <is>
          <t>KARLSTAD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45693</v>
      </c>
      <c r="E451" s="1" t="n">
        <v>46241</v>
      </c>
      <c r="F451" t="inlineStr">
        <is>
          <t>VÄRMLANDS LÄN</t>
        </is>
      </c>
      <c r="G451" t="inlineStr">
        <is>
          <t>KARLSTAD</t>
        </is>
      </c>
      <c r="H451" t="inlineStr">
        <is>
          <t>Bergvik skog väst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72072-2021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44544</v>
      </c>
      <c r="E452" s="1" t="n">
        <v>46241</v>
      </c>
      <c r="F452" t="inlineStr">
        <is>
          <t>VÄRMLANDS LÄN</t>
        </is>
      </c>
      <c r="G452" t="inlineStr">
        <is>
          <t>KARLSTAD</t>
        </is>
      </c>
      <c r="H452" t="inlineStr">
        <is>
          <t>Kommuner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33807-2024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45520</v>
      </c>
      <c r="E453" s="1" t="n">
        <v>46241</v>
      </c>
      <c r="F453" t="inlineStr">
        <is>
          <t>VÄRMLANDS LÄN</t>
        </is>
      </c>
      <c r="G453" t="inlineStr">
        <is>
          <t>KARLSTAD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59295-2022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44904</v>
      </c>
      <c r="E454" s="1" t="n">
        <v>46241</v>
      </c>
      <c r="F454" t="inlineStr">
        <is>
          <t>VÄRMLANDS LÄN</t>
        </is>
      </c>
      <c r="G454" t="inlineStr">
        <is>
          <t>KARLSTAD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45308</v>
      </c>
      <c r="E455" s="1" t="n">
        <v>46241</v>
      </c>
      <c r="F455" t="inlineStr">
        <is>
          <t>VÄRMLANDS LÄN</t>
        </is>
      </c>
      <c r="G455" t="inlineStr">
        <is>
          <t>KARLSTAD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46176-2024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45581</v>
      </c>
      <c r="E456" s="1" t="n">
        <v>46241</v>
      </c>
      <c r="F456" t="inlineStr">
        <is>
          <t>VÄRMLANDS LÄN</t>
        </is>
      </c>
      <c r="G456" t="inlineStr">
        <is>
          <t>KARLSTAD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46241</v>
      </c>
      <c r="F457" t="inlineStr">
        <is>
          <t>VÄRMLANDS LÄN</t>
        </is>
      </c>
      <c r="G457" t="inlineStr">
        <is>
          <t>KARLSTAD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60184-2023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46241</v>
      </c>
      <c r="F458" t="inlineStr">
        <is>
          <t>VÄRMLANDS LÄN</t>
        </is>
      </c>
      <c r="G458" t="inlineStr">
        <is>
          <t>KARLSTAD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45261</v>
      </c>
      <c r="E459" s="1" t="n">
        <v>46241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41510-2023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45175</v>
      </c>
      <c r="E460" s="1" t="n">
        <v>46241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41376-2024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45559</v>
      </c>
      <c r="E461" s="1" t="n">
        <v>46241</v>
      </c>
      <c r="F461" t="inlineStr">
        <is>
          <t>VÄRMLANDS LÄN</t>
        </is>
      </c>
      <c r="G461" t="inlineStr">
        <is>
          <t>KARLSTAD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59626-2021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44491</v>
      </c>
      <c r="E462" s="1" t="n">
        <v>46241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46241</v>
      </c>
      <c r="F463" t="inlineStr">
        <is>
          <t>VÄRMLANDS LÄN</t>
        </is>
      </c>
      <c r="G463" t="inlineStr">
        <is>
          <t>KARLSTAD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46241</v>
      </c>
      <c r="F464" t="inlineStr">
        <is>
          <t>VÄRMLANDS LÄN</t>
        </is>
      </c>
      <c r="G464" t="inlineStr">
        <is>
          <t>KARLSTAD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46241</v>
      </c>
      <c r="F465" t="inlineStr">
        <is>
          <t>VÄRMLANDS LÄN</t>
        </is>
      </c>
      <c r="G465" t="inlineStr">
        <is>
          <t>KARLSTAD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51086-2021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44461</v>
      </c>
      <c r="E466" s="1" t="n">
        <v>46241</v>
      </c>
      <c r="F466" t="inlineStr">
        <is>
          <t>VÄRMLANDS LÄN</t>
        </is>
      </c>
      <c r="G466" t="inlineStr">
        <is>
          <t>KARLSTAD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44945</v>
      </c>
      <c r="E467" s="1" t="n">
        <v>46241</v>
      </c>
      <c r="F467" t="inlineStr">
        <is>
          <t>VÄRMLANDS LÄN</t>
        </is>
      </c>
      <c r="G467" t="inlineStr">
        <is>
          <t>KARLSTAD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46241</v>
      </c>
      <c r="F468" t="inlineStr">
        <is>
          <t>VÄRMLANDS LÄN</t>
        </is>
      </c>
      <c r="G468" t="inlineStr">
        <is>
          <t>KARLSTAD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27571-2026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46241</v>
      </c>
      <c r="F469" t="inlineStr">
        <is>
          <t>VÄRMLANDS LÄN</t>
        </is>
      </c>
      <c r="G469" t="inlineStr">
        <is>
          <t>KARLSTAD</t>
        </is>
      </c>
      <c r="I469" t="n">
        <v>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5056-2022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44593</v>
      </c>
      <c r="E470" s="1" t="n">
        <v>46241</v>
      </c>
      <c r="F470" t="inlineStr">
        <is>
          <t>VÄRMLANDS LÄN</t>
        </is>
      </c>
      <c r="G470" t="inlineStr">
        <is>
          <t>KARLSTAD</t>
        </is>
      </c>
      <c r="H470" t="inlineStr">
        <is>
          <t>Kommuner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44099-2024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45572</v>
      </c>
      <c r="E471" s="1" t="n">
        <v>46241</v>
      </c>
      <c r="F471" t="inlineStr">
        <is>
          <t>VÄRMLANDS LÄN</t>
        </is>
      </c>
      <c r="G471" t="inlineStr">
        <is>
          <t>KARLSTAD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21629-2023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45062</v>
      </c>
      <c r="E472" s="1" t="n">
        <v>46241</v>
      </c>
      <c r="F472" t="inlineStr">
        <is>
          <t>VÄRMLANDS LÄN</t>
        </is>
      </c>
      <c r="G472" t="inlineStr">
        <is>
          <t>KARLSTAD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46898-2024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45583</v>
      </c>
      <c r="E473" s="1" t="n">
        <v>46241</v>
      </c>
      <c r="F473" t="inlineStr">
        <is>
          <t>VÄRMLANDS LÄN</t>
        </is>
      </c>
      <c r="G473" t="inlineStr">
        <is>
          <t>KARLSTAD</t>
        </is>
      </c>
      <c r="H473" t="inlineStr">
        <is>
          <t>Kommuner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46241</v>
      </c>
      <c r="F474" t="inlineStr">
        <is>
          <t>VÄRMLANDS LÄN</t>
        </is>
      </c>
      <c r="G474" t="inlineStr">
        <is>
          <t>KARLSTAD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50400-2021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44459</v>
      </c>
      <c r="E475" s="1" t="n">
        <v>46241</v>
      </c>
      <c r="F475" t="inlineStr">
        <is>
          <t>VÄRMLANDS LÄN</t>
        </is>
      </c>
      <c r="G475" t="inlineStr">
        <is>
          <t>KARLSTAD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14467-2022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44654</v>
      </c>
      <c r="E476" s="1" t="n">
        <v>46241</v>
      </c>
      <c r="F476" t="inlineStr">
        <is>
          <t>VÄRMLANDS LÄN</t>
        </is>
      </c>
      <c r="G476" t="inlineStr">
        <is>
          <t>KARLSTAD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57780-2021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44484</v>
      </c>
      <c r="E477" s="1" t="n">
        <v>46241</v>
      </c>
      <c r="F477" t="inlineStr">
        <is>
          <t>VÄRMLANDS LÄN</t>
        </is>
      </c>
      <c r="G477" t="inlineStr">
        <is>
          <t>KARLSTAD</t>
        </is>
      </c>
      <c r="H477" t="inlineStr">
        <is>
          <t>Kommuner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57100-2022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44895</v>
      </c>
      <c r="E478" s="1" t="n">
        <v>46241</v>
      </c>
      <c r="F478" t="inlineStr">
        <is>
          <t>VÄRMLANDS LÄN</t>
        </is>
      </c>
      <c r="G478" t="inlineStr">
        <is>
          <t>KARLSTAD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70127-2021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44533</v>
      </c>
      <c r="E479" s="1" t="n">
        <v>46241</v>
      </c>
      <c r="F479" t="inlineStr">
        <is>
          <t>VÄRMLANDS LÄN</t>
        </is>
      </c>
      <c r="G479" t="inlineStr">
        <is>
          <t>KARLSTAD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44746</v>
      </c>
      <c r="E480" s="1" t="n">
        <v>46241</v>
      </c>
      <c r="F480" t="inlineStr">
        <is>
          <t>VÄRMLANDS LÄN</t>
        </is>
      </c>
      <c r="G480" t="inlineStr">
        <is>
          <t>KARLSTAD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19666-2023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45051</v>
      </c>
      <c r="E481" s="1" t="n">
        <v>46241</v>
      </c>
      <c r="F481" t="inlineStr">
        <is>
          <t>VÄRMLANDS LÄN</t>
        </is>
      </c>
      <c r="G481" t="inlineStr">
        <is>
          <t>KARLSTAD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45307</v>
      </c>
      <c r="E482" s="1" t="n">
        <v>46241</v>
      </c>
      <c r="F482" t="inlineStr">
        <is>
          <t>VÄRMLANDS LÄN</t>
        </is>
      </c>
      <c r="G482" t="inlineStr">
        <is>
          <t>KARLSTAD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61102-2023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45260</v>
      </c>
      <c r="E483" s="1" t="n">
        <v>46241</v>
      </c>
      <c r="F483" t="inlineStr">
        <is>
          <t>VÄRMLANDS LÄN</t>
        </is>
      </c>
      <c r="G483" t="inlineStr">
        <is>
          <t>KARLSTAD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60724-2022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44913</v>
      </c>
      <c r="E484" s="1" t="n">
        <v>46241</v>
      </c>
      <c r="F484" t="inlineStr">
        <is>
          <t>VÄRMLANDS LÄN</t>
        </is>
      </c>
      <c r="G484" t="inlineStr">
        <is>
          <t>KARLSTAD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45520</v>
      </c>
      <c r="E485" s="1" t="n">
        <v>46241</v>
      </c>
      <c r="F485" t="inlineStr">
        <is>
          <t>VÄRMLANDS LÄN</t>
        </is>
      </c>
      <c r="G485" t="inlineStr">
        <is>
          <t>KARLSTAD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36399-2023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45149</v>
      </c>
      <c r="E486" s="1" t="n">
        <v>46241</v>
      </c>
      <c r="F486" t="inlineStr">
        <is>
          <t>VÄRMLANDS LÄN</t>
        </is>
      </c>
      <c r="G486" t="inlineStr">
        <is>
          <t>KARLSTAD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46241</v>
      </c>
      <c r="F487" t="inlineStr">
        <is>
          <t>VÄRMLANDS LÄN</t>
        </is>
      </c>
      <c r="G487" t="inlineStr">
        <is>
          <t>KARLSTAD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45154</v>
      </c>
      <c r="E488" s="1" t="n">
        <v>46241</v>
      </c>
      <c r="F488" t="inlineStr">
        <is>
          <t>VÄRMLANDS LÄN</t>
        </is>
      </c>
      <c r="G488" t="inlineStr">
        <is>
          <t>KARLSTAD</t>
        </is>
      </c>
      <c r="H488" t="inlineStr">
        <is>
          <t>Övriga statliga verk och myndigheter</t>
        </is>
      </c>
      <c r="I488" t="n">
        <v>11.6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45114</v>
      </c>
      <c r="E489" s="1" t="n">
        <v>46241</v>
      </c>
      <c r="F489" t="inlineStr">
        <is>
          <t>VÄRMLANDS LÄN</t>
        </is>
      </c>
      <c r="G489" t="inlineStr">
        <is>
          <t>KARLSTAD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1496-2022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44573</v>
      </c>
      <c r="E490" s="1" t="n">
        <v>46241</v>
      </c>
      <c r="F490" t="inlineStr">
        <is>
          <t>VÄRMLANDS LÄN</t>
        </is>
      </c>
      <c r="G490" t="inlineStr">
        <is>
          <t>KARLSTAD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46019-2023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45196</v>
      </c>
      <c r="E491" s="1" t="n">
        <v>46241</v>
      </c>
      <c r="F491" t="inlineStr">
        <is>
          <t>VÄRMLANDS LÄN</t>
        </is>
      </c>
      <c r="G491" t="inlineStr">
        <is>
          <t>KARLSTAD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45168</v>
      </c>
      <c r="E492" s="1" t="n">
        <v>46241</v>
      </c>
      <c r="F492" t="inlineStr">
        <is>
          <t>VÄRMLANDS LÄN</t>
        </is>
      </c>
      <c r="G492" t="inlineStr">
        <is>
          <t>KARLSTAD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69008-2021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44530</v>
      </c>
      <c r="E493" s="1" t="n">
        <v>46241</v>
      </c>
      <c r="F493" t="inlineStr">
        <is>
          <t>VÄRMLANDS LÄN</t>
        </is>
      </c>
      <c r="G493" t="inlineStr">
        <is>
          <t>KARLSTAD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25799-2022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44708</v>
      </c>
      <c r="E494" s="1" t="n">
        <v>46241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56643-2022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46241</v>
      </c>
      <c r="F495" t="inlineStr">
        <is>
          <t>VÄRMLANDS LÄN</t>
        </is>
      </c>
      <c r="G495" t="inlineStr">
        <is>
          <t>KARLSTAD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72772-2021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44547</v>
      </c>
      <c r="E496" s="1" t="n">
        <v>46241</v>
      </c>
      <c r="F496" t="inlineStr">
        <is>
          <t>VÄRMLANDS LÄN</t>
        </is>
      </c>
      <c r="G496" t="inlineStr">
        <is>
          <t>KARLSTAD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45641</v>
      </c>
      <c r="E497" s="1" t="n">
        <v>46241</v>
      </c>
      <c r="F497" t="inlineStr">
        <is>
          <t>VÄRMLANDS LÄN</t>
        </is>
      </c>
      <c r="G497" t="inlineStr">
        <is>
          <t>KARLSTAD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56327-2023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45243</v>
      </c>
      <c r="E498" s="1" t="n">
        <v>46241</v>
      </c>
      <c r="F498" t="inlineStr">
        <is>
          <t>VÄRMLANDS LÄN</t>
        </is>
      </c>
      <c r="G498" t="inlineStr">
        <is>
          <t>KARLSTAD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46961-2023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45201</v>
      </c>
      <c r="E499" s="1" t="n">
        <v>46241</v>
      </c>
      <c r="F499" t="inlineStr">
        <is>
          <t>VÄRMLANDS LÄN</t>
        </is>
      </c>
      <c r="G499" t="inlineStr">
        <is>
          <t>KARLSTAD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45099</v>
      </c>
      <c r="E500" s="1" t="n">
        <v>46241</v>
      </c>
      <c r="F500" t="inlineStr">
        <is>
          <t>VÄRMLANDS LÄN</t>
        </is>
      </c>
      <c r="G500" t="inlineStr">
        <is>
          <t>KARLSTAD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65086-2023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45288</v>
      </c>
      <c r="E501" s="1" t="n">
        <v>46241</v>
      </c>
      <c r="F501" t="inlineStr">
        <is>
          <t>VÄRMLANDS LÄN</t>
        </is>
      </c>
      <c r="G501" t="inlineStr">
        <is>
          <t>KARLSTAD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46241</v>
      </c>
      <c r="F502" t="inlineStr">
        <is>
          <t>VÄRMLANDS LÄN</t>
        </is>
      </c>
      <c r="G502" t="inlineStr">
        <is>
          <t>KARLSTAD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33515-2023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45131</v>
      </c>
      <c r="E503" s="1" t="n">
        <v>46241</v>
      </c>
      <c r="F503" t="inlineStr">
        <is>
          <t>VÄRMLANDS LÄN</t>
        </is>
      </c>
      <c r="G503" t="inlineStr">
        <is>
          <t>KARLSTAD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34321-2024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45524</v>
      </c>
      <c r="E504" s="1" t="n">
        <v>46241</v>
      </c>
      <c r="F504" t="inlineStr">
        <is>
          <t>VÄRMLANDS LÄN</t>
        </is>
      </c>
      <c r="G504" t="inlineStr">
        <is>
          <t>KARLSTAD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13863-2023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45007</v>
      </c>
      <c r="E505" s="1" t="n">
        <v>46241</v>
      </c>
      <c r="F505" t="inlineStr">
        <is>
          <t>VÄRMLANDS LÄN</t>
        </is>
      </c>
      <c r="G505" t="inlineStr">
        <is>
          <t>KARLSTAD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13849-2024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45390</v>
      </c>
      <c r="E506" s="1" t="n">
        <v>46241</v>
      </c>
      <c r="F506" t="inlineStr">
        <is>
          <t>VÄRMLANDS LÄN</t>
        </is>
      </c>
      <c r="G506" t="inlineStr">
        <is>
          <t>KARLSTAD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44952</v>
      </c>
      <c r="E507" s="1" t="n">
        <v>46241</v>
      </c>
      <c r="F507" t="inlineStr">
        <is>
          <t>VÄRMLANDS LÄN</t>
        </is>
      </c>
      <c r="G507" t="inlineStr">
        <is>
          <t>KARLSTAD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44995</v>
      </c>
      <c r="E508" s="1" t="n">
        <v>46241</v>
      </c>
      <c r="F508" t="inlineStr">
        <is>
          <t>VÄRMLANDS LÄN</t>
        </is>
      </c>
      <c r="G508" t="inlineStr">
        <is>
          <t>KARLSTAD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45049</v>
      </c>
      <c r="E509" s="1" t="n">
        <v>46241</v>
      </c>
      <c r="F509" t="inlineStr">
        <is>
          <t>VÄRMLANDS LÄN</t>
        </is>
      </c>
      <c r="G509" t="inlineStr">
        <is>
          <t>KARLSTAD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38023-2023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45160</v>
      </c>
      <c r="E510" s="1" t="n">
        <v>46241</v>
      </c>
      <c r="F510" t="inlineStr">
        <is>
          <t>VÄRMLANDS LÄN</t>
        </is>
      </c>
      <c r="G510" t="inlineStr">
        <is>
          <t>KARLSTAD</t>
        </is>
      </c>
      <c r="I510" t="n">
        <v>7.3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54611-2024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45617</v>
      </c>
      <c r="E511" s="1" t="n">
        <v>46241</v>
      </c>
      <c r="F511" t="inlineStr">
        <is>
          <t>VÄRMLANDS LÄN</t>
        </is>
      </c>
      <c r="G511" t="inlineStr">
        <is>
          <t>KARLSTAD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45366</v>
      </c>
      <c r="E512" s="1" t="n">
        <v>46241</v>
      </c>
      <c r="F512" t="inlineStr">
        <is>
          <t>VÄRMLANDS LÄN</t>
        </is>
      </c>
      <c r="G512" t="inlineStr">
        <is>
          <t>KARLSTAD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46241</v>
      </c>
      <c r="F513" t="inlineStr">
        <is>
          <t>VÄRMLANDS LÄN</t>
        </is>
      </c>
      <c r="G513" t="inlineStr">
        <is>
          <t>KARLSTAD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45196</v>
      </c>
      <c r="E514" s="1" t="n">
        <v>46241</v>
      </c>
      <c r="F514" t="inlineStr">
        <is>
          <t>VÄRMLANDS LÄN</t>
        </is>
      </c>
      <c r="G514" t="inlineStr">
        <is>
          <t>KARLSTAD</t>
        </is>
      </c>
      <c r="I514" t="n">
        <v>7.2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57153-2024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46241</v>
      </c>
      <c r="F515" t="inlineStr">
        <is>
          <t>VÄRMLANDS LÄN</t>
        </is>
      </c>
      <c r="G515" t="inlineStr">
        <is>
          <t>KARLSTAD</t>
        </is>
      </c>
      <c r="I515" t="n">
        <v>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34726-2023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45141</v>
      </c>
      <c r="E516" s="1" t="n">
        <v>46241</v>
      </c>
      <c r="F516" t="inlineStr">
        <is>
          <t>VÄRMLANDS LÄN</t>
        </is>
      </c>
      <c r="G516" t="inlineStr">
        <is>
          <t>KARLSTAD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45141</v>
      </c>
      <c r="E517" s="1" t="n">
        <v>46241</v>
      </c>
      <c r="F517" t="inlineStr">
        <is>
          <t>VÄRMLANDS LÄN</t>
        </is>
      </c>
      <c r="G517" t="inlineStr">
        <is>
          <t>KARLSTAD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16952-2024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45411</v>
      </c>
      <c r="E518" s="1" t="n">
        <v>46241</v>
      </c>
      <c r="F518" t="inlineStr">
        <is>
          <t>VÄRMLANDS LÄN</t>
        </is>
      </c>
      <c r="G518" t="inlineStr">
        <is>
          <t>KARLSTAD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45260</v>
      </c>
      <c r="E519" s="1" t="n">
        <v>46241</v>
      </c>
      <c r="F519" t="inlineStr">
        <is>
          <t>VÄRMLANDS LÄN</t>
        </is>
      </c>
      <c r="G519" t="inlineStr">
        <is>
          <t>KARLSTAD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45665</v>
      </c>
      <c r="E520" s="1" t="n">
        <v>46241</v>
      </c>
      <c r="F520" t="inlineStr">
        <is>
          <t>VÄRMLANDS LÄN</t>
        </is>
      </c>
      <c r="G520" t="inlineStr">
        <is>
          <t>KARLSTAD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36884-2022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44805</v>
      </c>
      <c r="E521" s="1" t="n">
        <v>46241</v>
      </c>
      <c r="F521" t="inlineStr">
        <is>
          <t>VÄRMLANDS LÄN</t>
        </is>
      </c>
      <c r="G521" t="inlineStr">
        <is>
          <t>KARLSTAD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45184</v>
      </c>
      <c r="E522" s="1" t="n">
        <v>46241</v>
      </c>
      <c r="F522" t="inlineStr">
        <is>
          <t>VÄRMLANDS LÄN</t>
        </is>
      </c>
      <c r="G522" t="inlineStr">
        <is>
          <t>KARLSTAD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7370-2025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45704</v>
      </c>
      <c r="E523" s="1" t="n">
        <v>46241</v>
      </c>
      <c r="F523" t="inlineStr">
        <is>
          <t>VÄRMLANDS LÄN</t>
        </is>
      </c>
      <c r="G523" t="inlineStr">
        <is>
          <t>KARLSTAD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46241</v>
      </c>
      <c r="F524" t="inlineStr">
        <is>
          <t>VÄRMLANDS LÄN</t>
        </is>
      </c>
      <c r="G524" t="inlineStr">
        <is>
          <t>KARLSTAD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51663-2023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46241</v>
      </c>
      <c r="F525" t="inlineStr">
        <is>
          <t>VÄRMLANDS LÄN</t>
        </is>
      </c>
      <c r="G525" t="inlineStr">
        <is>
          <t>KARLSTAD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45287-2023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45187</v>
      </c>
      <c r="E526" s="1" t="n">
        <v>46241</v>
      </c>
      <c r="F526" t="inlineStr">
        <is>
          <t>VÄRMLANDS LÄN</t>
        </is>
      </c>
      <c r="G526" t="inlineStr">
        <is>
          <t>KARLSTAD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13287-2024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45386</v>
      </c>
      <c r="E527" s="1" t="n">
        <v>46241</v>
      </c>
      <c r="F527" t="inlineStr">
        <is>
          <t>VÄRMLANDS LÄN</t>
        </is>
      </c>
      <c r="G527" t="inlineStr">
        <is>
          <t>KARLSTAD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45575</v>
      </c>
      <c r="E528" s="1" t="n">
        <v>46241</v>
      </c>
      <c r="F528" t="inlineStr">
        <is>
          <t>VÄRMLANDS LÄN</t>
        </is>
      </c>
      <c r="G528" t="inlineStr">
        <is>
          <t>KARLSTAD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45641</v>
      </c>
      <c r="E529" s="1" t="n">
        <v>46241</v>
      </c>
      <c r="F529" t="inlineStr">
        <is>
          <t>VÄRMLANDS LÄN</t>
        </is>
      </c>
      <c r="G529" t="inlineStr">
        <is>
          <t>KARLSTAD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46109-2024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45581</v>
      </c>
      <c r="E530" s="1" t="n">
        <v>46241</v>
      </c>
      <c r="F530" t="inlineStr">
        <is>
          <t>VÄRMLANDS LÄN</t>
        </is>
      </c>
      <c r="G530" t="inlineStr">
        <is>
          <t>KARLSTAD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45098</v>
      </c>
      <c r="E531" s="1" t="n">
        <v>46241</v>
      </c>
      <c r="F531" t="inlineStr">
        <is>
          <t>VÄRMLANDS LÄN</t>
        </is>
      </c>
      <c r="G531" t="inlineStr">
        <is>
          <t>KARLSTAD</t>
        </is>
      </c>
      <c r="I531" t="n">
        <v>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32169-2023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46241</v>
      </c>
      <c r="F532" t="inlineStr">
        <is>
          <t>VÄRMLANDS LÄN</t>
        </is>
      </c>
      <c r="G532" t="inlineStr">
        <is>
          <t>KARLSTAD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13063-2025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45734</v>
      </c>
      <c r="E533" s="1" t="n">
        <v>46241</v>
      </c>
      <c r="F533" t="inlineStr">
        <is>
          <t>VÄRMLANDS LÄN</t>
        </is>
      </c>
      <c r="G533" t="inlineStr">
        <is>
          <t>KARLSTAD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60932-2024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45645</v>
      </c>
      <c r="E534" s="1" t="n">
        <v>46241</v>
      </c>
      <c r="F534" t="inlineStr">
        <is>
          <t>VÄRMLANDS LÄN</t>
        </is>
      </c>
      <c r="G534" t="inlineStr">
        <is>
          <t>KARLSTAD</t>
        </is>
      </c>
      <c r="H534" t="inlineStr">
        <is>
          <t>Bergvik skog väst AB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45767</v>
      </c>
      <c r="E535" s="1" t="n">
        <v>46241</v>
      </c>
      <c r="F535" t="inlineStr">
        <is>
          <t>VÄRMLANDS LÄN</t>
        </is>
      </c>
      <c r="G535" t="inlineStr">
        <is>
          <t>KARLSTAD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59204-2023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45253</v>
      </c>
      <c r="E536" s="1" t="n">
        <v>46241</v>
      </c>
      <c r="F536" t="inlineStr">
        <is>
          <t>VÄRMLANDS LÄN</t>
        </is>
      </c>
      <c r="G536" t="inlineStr">
        <is>
          <t>KARLSTAD</t>
        </is>
      </c>
      <c r="H536" t="inlineStr">
        <is>
          <t>Kommuner</t>
        </is>
      </c>
      <c r="I536" t="n">
        <v>9.4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19844-2024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46241</v>
      </c>
      <c r="F537" t="inlineStr">
        <is>
          <t>VÄRMLANDS LÄN</t>
        </is>
      </c>
      <c r="G537" t="inlineStr">
        <is>
          <t>KARLSTAD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46241</v>
      </c>
      <c r="F538" t="inlineStr">
        <is>
          <t>VÄRMLANDS LÄN</t>
        </is>
      </c>
      <c r="G538" t="inlineStr">
        <is>
          <t>KARLSTAD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21442-2025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45782</v>
      </c>
      <c r="E539" s="1" t="n">
        <v>46241</v>
      </c>
      <c r="F539" t="inlineStr">
        <is>
          <t>VÄRMLANDS LÄN</t>
        </is>
      </c>
      <c r="G539" t="inlineStr">
        <is>
          <t>KARLSTAD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21531-2025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46241</v>
      </c>
      <c r="F540" t="inlineStr">
        <is>
          <t>VÄRMLANDS LÄN</t>
        </is>
      </c>
      <c r="G540" t="inlineStr">
        <is>
          <t>KARLSTAD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21838-2025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46241</v>
      </c>
      <c r="F541" t="inlineStr">
        <is>
          <t>VÄRMLANDS LÄN</t>
        </is>
      </c>
      <c r="G541" t="inlineStr">
        <is>
          <t>KARLSTAD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21849-2025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45784</v>
      </c>
      <c r="E542" s="1" t="n">
        <v>46241</v>
      </c>
      <c r="F542" t="inlineStr">
        <is>
          <t>VÄRMLANDS LÄN</t>
        </is>
      </c>
      <c r="G542" t="inlineStr">
        <is>
          <t>KARLSTAD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46241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46241</v>
      </c>
      <c r="F544" t="inlineStr">
        <is>
          <t>VÄRMLANDS LÄN</t>
        </is>
      </c>
      <c r="G544" t="inlineStr">
        <is>
          <t>KARLSTAD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46241</v>
      </c>
      <c r="F545" t="inlineStr">
        <is>
          <t>VÄRMLANDS LÄN</t>
        </is>
      </c>
      <c r="G545" t="inlineStr">
        <is>
          <t>KARLSTAD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45553</v>
      </c>
      <c r="E546" s="1" t="n">
        <v>46241</v>
      </c>
      <c r="F546" t="inlineStr">
        <is>
          <t>VÄRMLANDS LÄN</t>
        </is>
      </c>
      <c r="G546" t="inlineStr">
        <is>
          <t>KARLSTAD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45466</v>
      </c>
      <c r="E547" s="1" t="n">
        <v>46241</v>
      </c>
      <c r="F547" t="inlineStr">
        <is>
          <t>VÄRMLANDS LÄN</t>
        </is>
      </c>
      <c r="G547" t="inlineStr">
        <is>
          <t>KARLSTAD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46241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8804-2024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45356</v>
      </c>
      <c r="E549" s="1" t="n">
        <v>46241</v>
      </c>
      <c r="F549" t="inlineStr">
        <is>
          <t>VÄRMLANDS LÄN</t>
        </is>
      </c>
      <c r="G549" t="inlineStr">
        <is>
          <t>KARLSTAD</t>
        </is>
      </c>
      <c r="I549" t="n">
        <v>12.5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38298-2022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44812</v>
      </c>
      <c r="E550" s="1" t="n">
        <v>46241</v>
      </c>
      <c r="F550" t="inlineStr">
        <is>
          <t>VÄRMLANDS LÄN</t>
        </is>
      </c>
      <c r="G550" t="inlineStr">
        <is>
          <t>KARLSTAD</t>
        </is>
      </c>
      <c r="H550" t="inlineStr">
        <is>
          <t>Bergvik skog väst AB</t>
        </is>
      </c>
      <c r="I550" t="n">
        <v>24.3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55081-2024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45621</v>
      </c>
      <c r="E551" s="1" t="n">
        <v>46241</v>
      </c>
      <c r="F551" t="inlineStr">
        <is>
          <t>VÄRMLANDS LÄN</t>
        </is>
      </c>
      <c r="G551" t="inlineStr">
        <is>
          <t>KARLSTAD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46241</v>
      </c>
      <c r="F552" t="inlineStr">
        <is>
          <t>VÄRMLANDS LÄN</t>
        </is>
      </c>
      <c r="G552" t="inlineStr">
        <is>
          <t>KARLSTAD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45630</v>
      </c>
      <c r="E553" s="1" t="n">
        <v>46241</v>
      </c>
      <c r="F553" t="inlineStr">
        <is>
          <t>VÄRMLANDS LÄN</t>
        </is>
      </c>
      <c r="G553" t="inlineStr">
        <is>
          <t>KARLSTAD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19166-2023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45044</v>
      </c>
      <c r="E554" s="1" t="n">
        <v>46241</v>
      </c>
      <c r="F554" t="inlineStr">
        <is>
          <t>VÄRMLANDS LÄN</t>
        </is>
      </c>
      <c r="G554" t="inlineStr">
        <is>
          <t>KARLSTAD</t>
        </is>
      </c>
      <c r="H554" t="inlineStr">
        <is>
          <t>Övriga statliga verk och myndigheter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45800</v>
      </c>
      <c r="E555" s="1" t="n">
        <v>46241</v>
      </c>
      <c r="F555" t="inlineStr">
        <is>
          <t>VÄRMLANDS LÄN</t>
        </is>
      </c>
      <c r="G555" t="inlineStr">
        <is>
          <t>KARLSTAD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45720</v>
      </c>
      <c r="E556" s="1" t="n">
        <v>46241</v>
      </c>
      <c r="F556" t="inlineStr">
        <is>
          <t>VÄRMLANDS LÄN</t>
        </is>
      </c>
      <c r="G556" t="inlineStr">
        <is>
          <t>KARLSTAD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41514-2024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45560</v>
      </c>
      <c r="E557" s="1" t="n">
        <v>46241</v>
      </c>
      <c r="F557" t="inlineStr">
        <is>
          <t>VÄRMLANDS LÄN</t>
        </is>
      </c>
      <c r="G557" t="inlineStr">
        <is>
          <t>KARLSTAD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16033-2024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45405</v>
      </c>
      <c r="E558" s="1" t="n">
        <v>46241</v>
      </c>
      <c r="F558" t="inlineStr">
        <is>
          <t>VÄRMLANDS LÄN</t>
        </is>
      </c>
      <c r="G558" t="inlineStr">
        <is>
          <t>KARLSTAD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26861-2025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45810</v>
      </c>
      <c r="E559" s="1" t="n">
        <v>46241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45002</v>
      </c>
      <c r="E560" s="1" t="n">
        <v>46241</v>
      </c>
      <c r="F560" t="inlineStr">
        <is>
          <t>VÄRMLANDS LÄN</t>
        </is>
      </c>
      <c r="G560" t="inlineStr">
        <is>
          <t>KARLSTAD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55819-2022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44888</v>
      </c>
      <c r="E561" s="1" t="n">
        <v>46241</v>
      </c>
      <c r="F561" t="inlineStr">
        <is>
          <t>VÄRMLANDS LÄN</t>
        </is>
      </c>
      <c r="G561" t="inlineStr">
        <is>
          <t>KARLSTAD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46241</v>
      </c>
      <c r="F562" t="inlineStr">
        <is>
          <t>VÄRMLANDS LÄN</t>
        </is>
      </c>
      <c r="G562" t="inlineStr">
        <is>
          <t>KARLSTAD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45813</v>
      </c>
      <c r="E563" s="1" t="n">
        <v>46241</v>
      </c>
      <c r="F563" t="inlineStr">
        <is>
          <t>VÄRMLANDS LÄN</t>
        </is>
      </c>
      <c r="G563" t="inlineStr">
        <is>
          <t>KARLSTAD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45813</v>
      </c>
      <c r="E564" s="1" t="n">
        <v>46241</v>
      </c>
      <c r="F564" t="inlineStr">
        <is>
          <t>VÄRMLANDS LÄN</t>
        </is>
      </c>
      <c r="G564" t="inlineStr">
        <is>
          <t>KARLSTAD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27495-2025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46241</v>
      </c>
      <c r="F565" t="inlineStr">
        <is>
          <t>VÄRMLANDS LÄN</t>
        </is>
      </c>
      <c r="G565" t="inlineStr">
        <is>
          <t>KARLSTAD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54254-2024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45616</v>
      </c>
      <c r="E566" s="1" t="n">
        <v>46241</v>
      </c>
      <c r="F566" t="inlineStr">
        <is>
          <t>VÄRMLANDS LÄN</t>
        </is>
      </c>
      <c r="G566" t="inlineStr">
        <is>
          <t>KARLSTAD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36072-2024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46241</v>
      </c>
      <c r="F567" t="inlineStr">
        <is>
          <t>VÄRMLANDS LÄN</t>
        </is>
      </c>
      <c r="G567" t="inlineStr">
        <is>
          <t>KARLSTAD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45819</v>
      </c>
      <c r="E568" s="1" t="n">
        <v>46241</v>
      </c>
      <c r="F568" t="inlineStr">
        <is>
          <t>VÄRMLANDS LÄN</t>
        </is>
      </c>
      <c r="G568" t="inlineStr">
        <is>
          <t>KARLSTAD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45822</v>
      </c>
      <c r="E569" s="1" t="n">
        <v>46241</v>
      </c>
      <c r="F569" t="inlineStr">
        <is>
          <t>VÄRMLANDS LÄN</t>
        </is>
      </c>
      <c r="G569" t="inlineStr">
        <is>
          <t>KARLSTAD</t>
        </is>
      </c>
      <c r="I569" t="n">
        <v>23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45833</v>
      </c>
      <c r="E570" s="1" t="n">
        <v>46241</v>
      </c>
      <c r="F570" t="inlineStr">
        <is>
          <t>VÄRMLANDS LÄN</t>
        </is>
      </c>
      <c r="G570" t="inlineStr">
        <is>
          <t>KARLSTAD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45834</v>
      </c>
      <c r="E571" s="1" t="n">
        <v>46241</v>
      </c>
      <c r="F571" t="inlineStr">
        <is>
          <t>VÄRMLANDS LÄN</t>
        </is>
      </c>
      <c r="G571" t="inlineStr">
        <is>
          <t>KARLSTAD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46241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46241</v>
      </c>
      <c r="F573" t="inlineStr">
        <is>
          <t>VÄRMLANDS LÄN</t>
        </is>
      </c>
      <c r="G573" t="inlineStr">
        <is>
          <t>KARLSTAD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45560</v>
      </c>
      <c r="E574" s="1" t="n">
        <v>46241</v>
      </c>
      <c r="F574" t="inlineStr">
        <is>
          <t>VÄRMLANDS LÄN</t>
        </is>
      </c>
      <c r="G574" t="inlineStr">
        <is>
          <t>KARLSTAD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928-2022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44606</v>
      </c>
      <c r="E575" s="1" t="n">
        <v>46241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3510-2022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44733</v>
      </c>
      <c r="E576" s="1" t="n">
        <v>46241</v>
      </c>
      <c r="F576" t="inlineStr">
        <is>
          <t>VÄRMLANDS LÄN</t>
        </is>
      </c>
      <c r="G576" t="inlineStr">
        <is>
          <t>KARLSTAD</t>
        </is>
      </c>
      <c r="I576" t="n">
        <v>27.7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686-2022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44596</v>
      </c>
      <c r="E577" s="1" t="n">
        <v>46241</v>
      </c>
      <c r="F577" t="inlineStr">
        <is>
          <t>VÄRMLANDS LÄN</t>
        </is>
      </c>
      <c r="G577" t="inlineStr">
        <is>
          <t>KARLSTAD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3546-2022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44735</v>
      </c>
      <c r="E578" s="1" t="n">
        <v>46241</v>
      </c>
      <c r="F578" t="inlineStr">
        <is>
          <t>VÄRMLANDS LÄN</t>
        </is>
      </c>
      <c r="G578" t="inlineStr">
        <is>
          <t>KARLSTAD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4402-2023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45266</v>
      </c>
      <c r="E579" s="1" t="n">
        <v>46241</v>
      </c>
      <c r="F579" t="inlineStr">
        <is>
          <t>VÄRMLANDS LÄN</t>
        </is>
      </c>
      <c r="G579" t="inlineStr">
        <is>
          <t>KARLSTAD</t>
        </is>
      </c>
      <c r="H579" t="inlineStr">
        <is>
          <t>Bergvik skog väst AB</t>
        </is>
      </c>
      <c r="I579" t="n">
        <v>14.5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435-2024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45337</v>
      </c>
      <c r="E580" s="1" t="n">
        <v>46241</v>
      </c>
      <c r="F580" t="inlineStr">
        <is>
          <t>VÄRMLANDS LÄN</t>
        </is>
      </c>
      <c r="G580" t="inlineStr">
        <is>
          <t>KARLSTAD</t>
        </is>
      </c>
      <c r="I580" t="n">
        <v>101.6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5511-2022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44834</v>
      </c>
      <c r="E581" s="1" t="n">
        <v>46241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4396-2023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45266</v>
      </c>
      <c r="E582" s="1" t="n">
        <v>46241</v>
      </c>
      <c r="F582" t="inlineStr">
        <is>
          <t>VÄRMLANDS LÄN</t>
        </is>
      </c>
      <c r="G582" t="inlineStr">
        <is>
          <t>KARLSTAD</t>
        </is>
      </c>
      <c r="H582" t="inlineStr">
        <is>
          <t>Bergvik skog väst AB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2688-2024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45481</v>
      </c>
      <c r="E583" s="1" t="n">
        <v>46241</v>
      </c>
      <c r="F583" t="inlineStr">
        <is>
          <t>VÄRMLANDS LÄN</t>
        </is>
      </c>
      <c r="G583" t="inlineStr">
        <is>
          <t>KARLSTAD</t>
        </is>
      </c>
      <c r="I583" t="n">
        <v>31.6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416-2024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45335</v>
      </c>
      <c r="E584" s="1" t="n">
        <v>46241</v>
      </c>
      <c r="F584" t="inlineStr">
        <is>
          <t>VÄRMLANDS LÄN</t>
        </is>
      </c>
      <c r="G584" t="inlineStr">
        <is>
          <t>KARLSTAD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6972-2022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44901</v>
      </c>
      <c r="E585" s="1" t="n">
        <v>46241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2560-2024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45476</v>
      </c>
      <c r="E586" s="1" t="n">
        <v>46241</v>
      </c>
      <c r="F586" t="inlineStr">
        <is>
          <t>VÄRMLANDS LÄN</t>
        </is>
      </c>
      <c r="G586" t="inlineStr">
        <is>
          <t>KARLSTAD</t>
        </is>
      </c>
      <c r="I586" t="n">
        <v>19.1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4126-2022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44763</v>
      </c>
      <c r="E587" s="1" t="n">
        <v>46241</v>
      </c>
      <c r="F587" t="inlineStr">
        <is>
          <t>VÄRMLANDS LÄN</t>
        </is>
      </c>
      <c r="G587" t="inlineStr">
        <is>
          <t>KARLSTAD</t>
        </is>
      </c>
      <c r="I587" t="n">
        <v>10.2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1875-2023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45076</v>
      </c>
      <c r="E588" s="1" t="n">
        <v>46241</v>
      </c>
      <c r="F588" t="inlineStr">
        <is>
          <t>VÄRMLANDS LÄN</t>
        </is>
      </c>
      <c r="G588" t="inlineStr">
        <is>
          <t>KARLSTAD</t>
        </is>
      </c>
      <c r="H588" t="inlineStr">
        <is>
          <t>Kommuner</t>
        </is>
      </c>
      <c r="I588" t="n">
        <v>163.7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664-2025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45716</v>
      </c>
      <c r="E589" s="1" t="n">
        <v>46241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18.2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3060-2025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45964</v>
      </c>
      <c r="E590" s="1" t="n">
        <v>46241</v>
      </c>
      <c r="F590" t="inlineStr">
        <is>
          <t>VÄRMLANDS LÄN</t>
        </is>
      </c>
      <c r="G590" t="inlineStr">
        <is>
          <t>KARLSTAD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100-2026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46036</v>
      </c>
      <c r="E591" s="1" t="n">
        <v>46241</v>
      </c>
      <c r="F591" t="inlineStr">
        <is>
          <t>VÄRMLANDS LÄN</t>
        </is>
      </c>
      <c r="G591" t="inlineStr">
        <is>
          <t>KARLSTAD</t>
        </is>
      </c>
      <c r="H591" t="inlineStr">
        <is>
          <t>Naturvårdsverket</t>
        </is>
      </c>
      <c r="I591" t="n">
        <v>26.6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2026-08-07T01:54:17Z</dcterms:created>
  <dcterms:modified xmlns:dcterms="http://purl.org/dc/terms/" xmlns:xsi="http://www.w3.org/2001/XMLSchema-instance" xsi:type="dcterms:W3CDTF">2026-08-07T01:54:17Z</dcterms:modified>
</cp:coreProperties>
</file>