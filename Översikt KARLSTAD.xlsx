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46289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46289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46289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46289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46289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46289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46289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46289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46289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46289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46289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46289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14815-2023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45014</v>
      </c>
      <c r="E22" s="1" t="n">
        <v>46289</v>
      </c>
      <c r="F22" t="inlineStr">
        <is>
          <t>VÄRMLANDS LÄN</t>
        </is>
      </c>
      <c r="G22" t="inlineStr">
        <is>
          <t>KARLSTAD</t>
        </is>
      </c>
      <c r="H22" t="inlineStr">
        <is>
          <t>Kommuner</t>
        </is>
      </c>
      <c r="I22" t="n">
        <v>5.4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Vaddporing
Rödgul trumpetsvamp
Vågbandad barkbock</t>
        </is>
      </c>
      <c r="W22">
        <f>HYPERLINK("https://klasma.github.io/Logging_1780/artfynd/A 14815-2023 artfynd.xlsx", "A 14815-2023")</f>
        <v/>
      </c>
      <c r="X22">
        <f>HYPERLINK("https://klasma.github.io/Logging_1780/kartor/A 14815-2023 karta.png", "A 14815-2023")</f>
        <v/>
      </c>
      <c r="Y22">
        <f>HYPERLINK("https://klasma.github.io/Logging_1780/kartor_geotiff/A 14815-2023 georefererad karta.tif", "A 14815-2023")</f>
        <v/>
      </c>
      <c r="AA22">
        <f>HYPERLINK("https://klasma.github.io/Logging_1780/klagomål/A 14815-2023 FSC-klagomål.docx", "A 14815-2023")</f>
        <v/>
      </c>
      <c r="AB22">
        <f>HYPERLINK("https://klasma.github.io/Logging_1780/klagomålsmail/A 14815-2023 FSC-klagomål mail.docx", "A 14815-2023")</f>
        <v/>
      </c>
      <c r="AC22">
        <f>HYPERLINK("https://klasma.github.io/Logging_1780/tillsyn/A 14815-2023 tillsynsbegäran.docx", "A 14815-2023")</f>
        <v/>
      </c>
      <c r="AD22">
        <f>HYPERLINK("https://klasma.github.io/Logging_1780/tillsynsmail/A 14815-2023 tillsynsbegäran mail.docx", "A 14815-2023")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46289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46289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46289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46289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46289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46289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46289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46289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46289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46289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59639-2021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44493</v>
      </c>
      <c r="E33" s="1" t="n">
        <v>46289</v>
      </c>
      <c r="F33" t="inlineStr">
        <is>
          <t>VÄRMLANDS LÄN</t>
        </is>
      </c>
      <c r="G33" t="inlineStr">
        <is>
          <t>KARLSTAD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Gullpudra
Dvärghäxört</t>
        </is>
      </c>
      <c r="W33">
        <f>HYPERLINK("https://klasma.github.io/Logging_1780/artfynd/A 59639-2021 artfynd.xlsx", "A 59639-2021")</f>
        <v/>
      </c>
      <c r="X33">
        <f>HYPERLINK("https://klasma.github.io/Logging_1780/kartor/A 59639-2021 karta.png", "A 59639-2021")</f>
        <v/>
      </c>
      <c r="Y33">
        <f>HYPERLINK("https://klasma.github.io/Logging_1780/kartor_geotiff/A 59639-2021 georefererad karta.tif", "A 59639-2021")</f>
        <v/>
      </c>
      <c r="AA33">
        <f>HYPERLINK("https://klasma.github.io/Logging_1780/klagomål/A 59639-2021 FSC-klagomål.docx", "A 59639-2021")</f>
        <v/>
      </c>
      <c r="AB33">
        <f>HYPERLINK("https://klasma.github.io/Logging_1780/klagomålsmail/A 59639-2021 FSC-klagomål mail.docx", "A 59639-2021")</f>
        <v/>
      </c>
      <c r="AC33">
        <f>HYPERLINK("https://klasma.github.io/Logging_1780/tillsyn/A 59639-2021 tillsynsbegäran.docx", "A 59639-2021")</f>
        <v/>
      </c>
      <c r="AD33">
        <f>HYPERLINK("https://klasma.github.io/Logging_1780/tillsynsmail/A 59639-2021 tillsynsbegäran mail.docx", "A 59639-2021")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46289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46289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19133-2024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46289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2.8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Knärot
Blåmossa</t>
        </is>
      </c>
      <c r="W36">
        <f>HYPERLINK("https://klasma.github.io/Logging_1780/artfynd/A 19133-2024 artfynd.xlsx", "A 19133-2024")</f>
        <v/>
      </c>
      <c r="X36">
        <f>HYPERLINK("https://klasma.github.io/Logging_1780/kartor/A 19133-2024 karta.png", "A 19133-2024")</f>
        <v/>
      </c>
      <c r="Y36">
        <f>HYPERLINK("https://klasma.github.io/Logging_1780/kartor_geotiff/A 19133-2024 georefererad karta.tif", "A 19133-2024")</f>
        <v/>
      </c>
      <c r="Z36">
        <f>HYPERLINK("https://klasma.github.io/Logging_1780/knärot/A 19133-2024 karta knärot.png", "A 19133-2024")</f>
        <v/>
      </c>
      <c r="AA36">
        <f>HYPERLINK("https://klasma.github.io/Logging_1780/klagomål/A 19133-2024 FSC-klagomål.docx", "A 19133-2024")</f>
        <v/>
      </c>
      <c r="AB36">
        <f>HYPERLINK("https://klasma.github.io/Logging_1780/klagomålsmail/A 19133-2024 FSC-klagomål mail.docx", "A 19133-2024")</f>
        <v/>
      </c>
      <c r="AC36">
        <f>HYPERLINK("https://klasma.github.io/Logging_1780/tillsyn/A 19133-2024 tillsynsbegäran.docx", "A 19133-2024")</f>
        <v/>
      </c>
      <c r="AD36">
        <f>HYPERLINK("https://klasma.github.io/Logging_1780/tillsynsmail/A 19133-2024 tillsynsbegäran mail.docx", "A 19133-2024")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46289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46289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46289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9023-2026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46289</v>
      </c>
      <c r="F40" t="inlineStr">
        <is>
          <t>VÄRMLANDS LÄN</t>
        </is>
      </c>
      <c r="G40" t="inlineStr">
        <is>
          <t>KARLSTAD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Linnea
Revlummer</t>
        </is>
      </c>
      <c r="W40">
        <f>HYPERLINK("https://klasma.github.io/Logging_1780/artfynd/A 9023-2026 artfynd.xlsx", "A 9023-2026")</f>
        <v/>
      </c>
      <c r="X40">
        <f>HYPERLINK("https://klasma.github.io/Logging_1780/kartor/A 9023-2026 karta.png", "A 9023-2026")</f>
        <v/>
      </c>
      <c r="Y40">
        <f>HYPERLINK("https://klasma.github.io/Logging_1780/kartor_geotiff/A 9023-2026 georefererad karta.tif", "A 9023-2026")</f>
        <v/>
      </c>
      <c r="AA40">
        <f>HYPERLINK("https://klasma.github.io/Logging_1780/klagomål/A 9023-2026 FSC-klagomål.docx", "A 9023-2026")</f>
        <v/>
      </c>
      <c r="AB40">
        <f>HYPERLINK("https://klasma.github.io/Logging_1780/klagomålsmail/A 9023-2026 FSC-klagomål mail.docx", "A 9023-2026")</f>
        <v/>
      </c>
      <c r="AC40">
        <f>HYPERLINK("https://klasma.github.io/Logging_1780/tillsyn/A 9023-2026 tillsynsbegäran.docx", "A 9023-2026")</f>
        <v/>
      </c>
      <c r="AD40">
        <f>HYPERLINK("https://klasma.github.io/Logging_1780/tillsynsmail/A 9023-2026 tillsynsbegäran mail.docx", "A 9023-2026")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46289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46289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46289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46289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46289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Vitfläckig guldvinge</t>
        </is>
      </c>
      <c r="W45">
        <f>HYPERLINK("https://klasma.github.io/Logging_1780/artfynd/A 55277-2021 artfynd.xlsx", "A 55277-2021")</f>
        <v/>
      </c>
      <c r="X45">
        <f>HYPERLINK("https://klasma.github.io/Logging_1780/kartor/A 55277-2021 karta.png", "A 55277-2021")</f>
        <v/>
      </c>
      <c r="Y45">
        <f>HYPERLINK("https://klasma.github.io/Logging_1780/kartor_geotiff/A 55277-2021 georefererad karta.tif", "A 55277-2021")</f>
        <v/>
      </c>
      <c r="AA45">
        <f>HYPERLINK("https://klasma.github.io/Logging_1780/klagomål/A 55277-2021 FSC-klagomål.docx", "A 55277-2021")</f>
        <v/>
      </c>
      <c r="AB45">
        <f>HYPERLINK("https://klasma.github.io/Logging_1780/klagomålsmail/A 55277-2021 FSC-klagomål mail.docx", "A 55277-2021")</f>
        <v/>
      </c>
      <c r="AC45">
        <f>HYPERLINK("https://klasma.github.io/Logging_1780/tillsyn/A 55277-2021 tillsynsbegäran.docx", "A 55277-2021")</f>
        <v/>
      </c>
      <c r="AD45">
        <f>HYPERLINK("https://klasma.github.io/Logging_1780/tillsynsmail/A 55277-2021 tillsynsbegäran mail.docx", "A 55277-2021")</f>
        <v/>
      </c>
    </row>
    <row r="46" ht="15" customHeight="1">
      <c r="A46" t="inlineStr">
        <is>
          <t>A 21934-2023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46289</v>
      </c>
      <c r="F46" t="inlineStr">
        <is>
          <t>VÄRMLANDS LÄN</t>
        </is>
      </c>
      <c r="G46" t="inlineStr">
        <is>
          <t>KARLSTAD</t>
        </is>
      </c>
      <c r="I46" t="n">
        <v>1.7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HYPERLINK("https://klasma.github.io/Logging_1780/artfynd/A 21934-2023 artfynd.xlsx", "A 21934-2023")</f>
        <v/>
      </c>
      <c r="X46">
        <f>HYPERLINK("https://klasma.github.io/Logging_1780/kartor/A 21934-2023 karta.png", "A 21934-2023")</f>
        <v/>
      </c>
      <c r="Y46">
        <f>HYPERLINK("https://klasma.github.io/Logging_1780/kartor_geotiff/A 21934-2023 georefererad karta.tif", "A 21934-2023")</f>
        <v/>
      </c>
      <c r="AA46">
        <f>HYPERLINK("https://klasma.github.io/Logging_1780/klagomål/A 21934-2023 FSC-klagomål.docx", "A 21934-2023")</f>
        <v/>
      </c>
      <c r="AB46">
        <f>HYPERLINK("https://klasma.github.io/Logging_1780/klagomålsmail/A 21934-2023 FSC-klagomål mail.docx", "A 21934-2023")</f>
        <v/>
      </c>
      <c r="AC46">
        <f>HYPERLINK("https://klasma.github.io/Logging_1780/tillsyn/A 21934-2023 tillsynsbegäran.docx", "A 21934-2023")</f>
        <v/>
      </c>
      <c r="AD46">
        <f>HYPERLINK("https://klasma.github.io/Logging_1780/tillsynsmail/A 21934-2023 tillsynsbegäran mail.docx", "A 21934-2023")</f>
        <v/>
      </c>
    </row>
    <row r="47" ht="15" customHeight="1">
      <c r="A47" t="inlineStr">
        <is>
          <t>A 17354-2023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45035</v>
      </c>
      <c r="E47" s="1" t="n">
        <v>46289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HYPERLINK("https://klasma.github.io/Logging_1780/artfynd/A 17354-2023 artfynd.xlsx", "A 17354-2023")</f>
        <v/>
      </c>
      <c r="X47">
        <f>HYPERLINK("https://klasma.github.io/Logging_1780/kartor/A 17354-2023 karta.png", "A 17354-2023")</f>
        <v/>
      </c>
      <c r="Y47">
        <f>HYPERLINK("https://klasma.github.io/Logging_1780/kartor_geotiff/A 17354-2023 georefererad karta.tif", "A 17354-2023")</f>
        <v/>
      </c>
      <c r="AA47">
        <f>HYPERLINK("https://klasma.github.io/Logging_1780/klagomål/A 17354-2023 FSC-klagomål.docx", "A 17354-2023")</f>
        <v/>
      </c>
      <c r="AB47">
        <f>HYPERLINK("https://klasma.github.io/Logging_1780/klagomålsmail/A 17354-2023 FSC-klagomål mail.docx", "A 17354-2023")</f>
        <v/>
      </c>
      <c r="AC47">
        <f>HYPERLINK("https://klasma.github.io/Logging_1780/tillsyn/A 17354-2023 tillsynsbegäran.docx", "A 17354-2023")</f>
        <v/>
      </c>
      <c r="AD47">
        <f>HYPERLINK("https://klasma.github.io/Logging_1780/tillsynsmail/A 17354-2023 tillsynsbegäran mail.docx", "A 17354-2023")</f>
        <v/>
      </c>
    </row>
    <row r="48" ht="15" customHeight="1">
      <c r="A48" t="inlineStr">
        <is>
          <t>A 10461-2024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45366</v>
      </c>
      <c r="E48" s="1" t="n">
        <v>46289</v>
      </c>
      <c r="F48" t="inlineStr">
        <is>
          <t>VÄRMLANDS LÄN</t>
        </is>
      </c>
      <c r="G48" t="inlineStr">
        <is>
          <t>KARLSTAD</t>
        </is>
      </c>
      <c r="H48" t="inlineStr">
        <is>
          <t>Övriga statliga verk och myndigheter</t>
        </is>
      </c>
      <c r="I48" t="n">
        <v>17.8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Strandlummer</t>
        </is>
      </c>
      <c r="W48">
        <f>HYPERLINK("https://klasma.github.io/Logging_1780/artfynd/A 10461-2024 artfynd.xlsx", "A 10461-2024")</f>
        <v/>
      </c>
      <c r="X48">
        <f>HYPERLINK("https://klasma.github.io/Logging_1780/kartor/A 10461-2024 karta.png", "A 10461-2024")</f>
        <v/>
      </c>
      <c r="Y48">
        <f>HYPERLINK("https://klasma.github.io/Logging_1780/kartor_geotiff/A 10461-2024 georefererad karta.tif", "A 10461-2024")</f>
        <v/>
      </c>
      <c r="AA48">
        <f>HYPERLINK("https://klasma.github.io/Logging_1780/klagomål/A 10461-2024 FSC-klagomål.docx", "A 10461-2024")</f>
        <v/>
      </c>
      <c r="AB48">
        <f>HYPERLINK("https://klasma.github.io/Logging_1780/klagomålsmail/A 10461-2024 FSC-klagomål mail.docx", "A 10461-2024")</f>
        <v/>
      </c>
      <c r="AC48">
        <f>HYPERLINK("https://klasma.github.io/Logging_1780/tillsyn/A 10461-2024 tillsynsbegäran.docx", "A 10461-2024")</f>
        <v/>
      </c>
      <c r="AD48">
        <f>HYPERLINK("https://klasma.github.io/Logging_1780/tillsynsmail/A 10461-2024 tillsynsbegäran mail.docx", "A 10461-2024")</f>
        <v/>
      </c>
    </row>
    <row r="49" ht="15" customHeight="1">
      <c r="A49" t="inlineStr">
        <is>
          <t>A 51895-2024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46289</v>
      </c>
      <c r="F49" t="inlineStr">
        <is>
          <t>VÄRMLANDS LÄN</t>
        </is>
      </c>
      <c r="G49" t="inlineStr">
        <is>
          <t>KARLSTAD</t>
        </is>
      </c>
      <c r="I49" t="n">
        <v>0.5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HYPERLINK("https://klasma.github.io/Logging_1780/artfynd/A 51895-2024 artfynd.xlsx", "A 51895-2024")</f>
        <v/>
      </c>
      <c r="X49">
        <f>HYPERLINK("https://klasma.github.io/Logging_1780/kartor/A 51895-2024 karta.png", "A 51895-2024")</f>
        <v/>
      </c>
      <c r="Y49">
        <f>HYPERLINK("https://klasma.github.io/Logging_1780/kartor_geotiff/A 51895-2024 georefererad karta.tif", "A 51895-2024")</f>
        <v/>
      </c>
      <c r="AA49">
        <f>HYPERLINK("https://klasma.github.io/Logging_1780/klagomål/A 51895-2024 FSC-klagomål.docx", "A 51895-2024")</f>
        <v/>
      </c>
      <c r="AB49">
        <f>HYPERLINK("https://klasma.github.io/Logging_1780/klagomålsmail/A 51895-2024 FSC-klagomål mail.docx", "A 51895-2024")</f>
        <v/>
      </c>
      <c r="AC49">
        <f>HYPERLINK("https://klasma.github.io/Logging_1780/tillsyn/A 51895-2024 tillsynsbegäran.docx", "A 51895-2024")</f>
        <v/>
      </c>
      <c r="AD49">
        <f>HYPERLINK("https://klasma.github.io/Logging_1780/tillsynsmail/A 51895-2024 tillsynsbegäran mail.docx", "A 51895-2024")</f>
        <v/>
      </c>
    </row>
    <row r="50" ht="15" customHeight="1">
      <c r="A50" t="inlineStr">
        <is>
          <t>A 3736-2023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44949</v>
      </c>
      <c r="E50" s="1" t="n">
        <v>46289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Gullklöver</t>
        </is>
      </c>
      <c r="W50">
        <f>HYPERLINK("https://klasma.github.io/Logging_1780/artfynd/A 3736-2023 artfynd.xlsx", "A 3736-2023")</f>
        <v/>
      </c>
      <c r="X50">
        <f>HYPERLINK("https://klasma.github.io/Logging_1780/kartor/A 3736-2023 karta.png", "A 3736-2023")</f>
        <v/>
      </c>
      <c r="Y50">
        <f>HYPERLINK("https://klasma.github.io/Logging_1780/kartor_geotiff/A 3736-2023 georefererad karta.tif", "A 3736-2023")</f>
        <v/>
      </c>
      <c r="AA50">
        <f>HYPERLINK("https://klasma.github.io/Logging_1780/klagomål/A 3736-2023 FSC-klagomål.docx", "A 3736-2023")</f>
        <v/>
      </c>
      <c r="AB50">
        <f>HYPERLINK("https://klasma.github.io/Logging_1780/klagomålsmail/A 3736-2023 FSC-klagomål mail.docx", "A 3736-2023")</f>
        <v/>
      </c>
      <c r="AC50">
        <f>HYPERLINK("https://klasma.github.io/Logging_1780/tillsyn/A 3736-2023 tillsynsbegäran.docx", "A 3736-2023")</f>
        <v/>
      </c>
      <c r="AD50">
        <f>HYPERLINK("https://klasma.github.io/Logging_1780/tillsynsmail/A 3736-2023 tillsynsbegäran mail.docx", "A 3736-2023")</f>
        <v/>
      </c>
    </row>
    <row r="51" ht="15" customHeight="1">
      <c r="A51" t="inlineStr">
        <is>
          <t>A 49765-2025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45940</v>
      </c>
      <c r="E51" s="1" t="n">
        <v>46289</v>
      </c>
      <c r="F51" t="inlineStr">
        <is>
          <t>VÄRMLANDS LÄN</t>
        </is>
      </c>
      <c r="G51" t="inlineStr">
        <is>
          <t>KARLSTAD</t>
        </is>
      </c>
      <c r="H51" t="inlineStr">
        <is>
          <t>Bergvik skog väst AB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Slöjvaxskivling</t>
        </is>
      </c>
      <c r="W51">
        <f>HYPERLINK("https://klasma.github.io/Logging_1780/artfynd/A 49765-2025 artfynd.xlsx", "A 49765-2025")</f>
        <v/>
      </c>
      <c r="X51">
        <f>HYPERLINK("https://klasma.github.io/Logging_1780/kartor/A 49765-2025 karta.png", "A 49765-2025")</f>
        <v/>
      </c>
      <c r="Y51">
        <f>HYPERLINK("https://klasma.github.io/Logging_1780/kartor_geotiff/A 49765-2025 georefererad karta.tif", "A 49765-2025")</f>
        <v/>
      </c>
      <c r="AA51">
        <f>HYPERLINK("https://klasma.github.io/Logging_1780/klagomål/A 49765-2025 FSC-klagomål.docx", "A 49765-2025")</f>
        <v/>
      </c>
      <c r="AB51">
        <f>HYPERLINK("https://klasma.github.io/Logging_1780/klagomålsmail/A 49765-2025 FSC-klagomål mail.docx", "A 49765-2025")</f>
        <v/>
      </c>
      <c r="AC51">
        <f>HYPERLINK("https://klasma.github.io/Logging_1780/tillsyn/A 49765-2025 tillsynsbegäran.docx", "A 49765-2025")</f>
        <v/>
      </c>
      <c r="AD51">
        <f>HYPERLINK("https://klasma.github.io/Logging_1780/tillsynsmail/A 49765-2025 tillsynsbegäran mail.docx", "A 49765-2025")</f>
        <v/>
      </c>
    </row>
    <row r="52" ht="15" customHeight="1">
      <c r="A52" t="inlineStr">
        <is>
          <t>A 14002-2022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44650</v>
      </c>
      <c r="E52" s="1" t="n">
        <v>46289</v>
      </c>
      <c r="F52" t="inlineStr">
        <is>
          <t>VÄRMLANDS LÄN</t>
        </is>
      </c>
      <c r="G52" t="inlineStr">
        <is>
          <t>KARLSTAD</t>
        </is>
      </c>
      <c r="I52" t="n">
        <v>2.3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3</v>
      </c>
      <c r="V52" s="2" t="inlineStr">
        <is>
          <t>Knärot</t>
        </is>
      </c>
      <c r="W52">
        <f>HYPERLINK("https://klasma.github.io/Logging_1780/artfynd/A 14002-2022 artfynd.xlsx", "A 14002-2022")</f>
        <v/>
      </c>
      <c r="X52">
        <f>HYPERLINK("https://klasma.github.io/Logging_1780/kartor/A 14002-2022 karta.png", "A 14002-2022")</f>
        <v/>
      </c>
      <c r="Y52">
        <f>HYPERLINK("https://klasma.github.io/Logging_1780/kartor_geotiff/A 14002-2022 georefererad karta.tif", "A 14002-2022")</f>
        <v/>
      </c>
      <c r="Z52">
        <f>HYPERLINK("https://klasma.github.io/Logging_1780/knärot/A 14002-2022 karta knärot.png", "A 14002-2022")</f>
        <v/>
      </c>
      <c r="AA52">
        <f>HYPERLINK("https://klasma.github.io/Logging_1780/klagomål/A 14002-2022 FSC-klagomål.docx", "A 14002-2022")</f>
        <v/>
      </c>
      <c r="AB52">
        <f>HYPERLINK("https://klasma.github.io/Logging_1780/klagomålsmail/A 14002-2022 FSC-klagomål mail.docx", "A 14002-2022")</f>
        <v/>
      </c>
      <c r="AC52">
        <f>HYPERLINK("https://klasma.github.io/Logging_1780/tillsyn/A 14002-2022 tillsynsbegäran.docx", "A 14002-2022")</f>
        <v/>
      </c>
      <c r="AD52">
        <f>HYPERLINK("https://klasma.github.io/Logging_1780/tillsynsmail/A 14002-2022 tillsynsbegäran mail.docx", "A 14002-2022")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46289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46289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46289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20241-2022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44698</v>
      </c>
      <c r="E56" s="1" t="n">
        <v>46289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Större vattensalamander</t>
        </is>
      </c>
      <c r="W56">
        <f>HYPERLINK("https://klasma.github.io/Logging_1780/artfynd/A 20241-2022 artfynd.xlsx", "A 20241-2022")</f>
        <v/>
      </c>
      <c r="X56">
        <f>HYPERLINK("https://klasma.github.io/Logging_1780/kartor/A 20241-2022 karta.png", "A 20241-2022")</f>
        <v/>
      </c>
      <c r="Y56">
        <f>HYPERLINK("https://klasma.github.io/Logging_1780/kartor_geotiff/A 20241-2022 georefererad karta.tif", "A 20241-2022")</f>
        <v/>
      </c>
      <c r="AA56">
        <f>HYPERLINK("https://klasma.github.io/Logging_1780/klagomål/A 20241-2022 FSC-klagomål.docx", "A 20241-2022")</f>
        <v/>
      </c>
      <c r="AB56">
        <f>HYPERLINK("https://klasma.github.io/Logging_1780/klagomålsmail/A 20241-2022 FSC-klagomål mail.docx", "A 20241-2022")</f>
        <v/>
      </c>
      <c r="AC56">
        <f>HYPERLINK("https://klasma.github.io/Logging_1780/tillsyn/A 20241-2022 tillsynsbegäran.docx", "A 20241-2022")</f>
        <v/>
      </c>
      <c r="AD56">
        <f>HYPERLINK("https://klasma.github.io/Logging_1780/tillsynsmail/A 20241-2022 tillsynsbegäran mail.docx", "A 20241-2022")</f>
        <v/>
      </c>
    </row>
    <row r="57" ht="15" customHeight="1">
      <c r="A57" t="inlineStr">
        <is>
          <t>A 9470-2023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46289</v>
      </c>
      <c r="F57" t="inlineStr">
        <is>
          <t>VÄRMLANDS LÄN</t>
        </is>
      </c>
      <c r="G57" t="inlineStr">
        <is>
          <t>KARLSTAD</t>
        </is>
      </c>
      <c r="H57" t="inlineStr">
        <is>
          <t>Kyrkan</t>
        </is>
      </c>
      <c r="I57" t="n">
        <v>9.800000000000001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Gullviva</t>
        </is>
      </c>
      <c r="W57">
        <f>HYPERLINK("https://klasma.github.io/Logging_1780/artfynd/A 9470-2023 artfynd.xlsx", "A 9470-2023")</f>
        <v/>
      </c>
      <c r="X57">
        <f>HYPERLINK("https://klasma.github.io/Logging_1780/kartor/A 9470-2023 karta.png", "A 9470-2023")</f>
        <v/>
      </c>
      <c r="Y57">
        <f>HYPERLINK("https://klasma.github.io/Logging_1780/kartor_geotiff/A 9470-2023 georefererad karta.tif", "A 9470-2023")</f>
        <v/>
      </c>
      <c r="AA57">
        <f>HYPERLINK("https://klasma.github.io/Logging_1780/klagomål/A 9470-2023 FSC-klagomål.docx", "A 9470-2023")</f>
        <v/>
      </c>
      <c r="AB57">
        <f>HYPERLINK("https://klasma.github.io/Logging_1780/klagomålsmail/A 9470-2023 FSC-klagomål mail.docx", "A 9470-2023")</f>
        <v/>
      </c>
      <c r="AC57">
        <f>HYPERLINK("https://klasma.github.io/Logging_1780/tillsyn/A 9470-2023 tillsynsbegäran.docx", "A 9470-2023")</f>
        <v/>
      </c>
      <c r="AD57">
        <f>HYPERLINK("https://klasma.github.io/Logging_1780/tillsynsmail/A 9470-2023 tillsynsbegäran mail.docx", "A 9470-2023")</f>
        <v/>
      </c>
    </row>
    <row r="58" ht="15" customHeight="1">
      <c r="A58" t="inlineStr">
        <is>
          <t>A 32531-2025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45838</v>
      </c>
      <c r="E58" s="1" t="n">
        <v>46289</v>
      </c>
      <c r="F58" t="inlineStr">
        <is>
          <t>VÄRMLANDS LÄN</t>
        </is>
      </c>
      <c r="G58" t="inlineStr">
        <is>
          <t>KARLSTAD</t>
        </is>
      </c>
      <c r="H58" t="inlineStr">
        <is>
          <t>Kyrkan</t>
        </is>
      </c>
      <c r="I58" t="n">
        <v>5.8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Trana</t>
        </is>
      </c>
      <c r="W58">
        <f>HYPERLINK("https://klasma.github.io/Logging_1780/artfynd/A 32531-2025 artfynd.xlsx", "A 32531-2025")</f>
        <v/>
      </c>
      <c r="X58">
        <f>HYPERLINK("https://klasma.github.io/Logging_1780/kartor/A 32531-2025 karta.png", "A 32531-2025")</f>
        <v/>
      </c>
      <c r="Y58">
        <f>HYPERLINK("https://klasma.github.io/Logging_1780/kartor_geotiff/A 32531-2025 georefererad karta.tif", "A 32531-2025")</f>
        <v/>
      </c>
      <c r="AA58">
        <f>HYPERLINK("https://klasma.github.io/Logging_1780/klagomål/A 32531-2025 FSC-klagomål.docx", "A 32531-2025")</f>
        <v/>
      </c>
      <c r="AB58">
        <f>HYPERLINK("https://klasma.github.io/Logging_1780/klagomålsmail/A 32531-2025 FSC-klagomål mail.docx", "A 32531-2025")</f>
        <v/>
      </c>
      <c r="AC58">
        <f>HYPERLINK("https://klasma.github.io/Logging_1780/tillsyn/A 32531-2025 tillsynsbegäran.docx", "A 32531-2025")</f>
        <v/>
      </c>
      <c r="AD58">
        <f>HYPERLINK("https://klasma.github.io/Logging_1780/tillsynsmail/A 32531-2025 tillsynsbegäran mail.docx", "A 32531-2025")</f>
        <v/>
      </c>
      <c r="AE58">
        <f>HYPERLINK("https://klasma.github.io/Logging_1780/fåglar/A 32531-2025 prioriterade fågelarter.docx", "A 32531-2025")</f>
        <v/>
      </c>
    </row>
    <row r="59" ht="15" customHeight="1">
      <c r="A59" t="inlineStr">
        <is>
          <t>A 5131-2026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46289</v>
      </c>
      <c r="F59" t="inlineStr">
        <is>
          <t>VÄRMLANDS LÄN</t>
        </is>
      </c>
      <c r="G59" t="inlineStr">
        <is>
          <t>KARLSTAD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 taggsvamp</t>
        </is>
      </c>
      <c r="W59">
        <f>HYPERLINK("https://klasma.github.io/Logging_1780/artfynd/A 5131-2026 artfynd.xlsx", "A 5131-2026")</f>
        <v/>
      </c>
      <c r="X59">
        <f>HYPERLINK("https://klasma.github.io/Logging_1780/kartor/A 5131-2026 karta.png", "A 5131-2026")</f>
        <v/>
      </c>
      <c r="Y59">
        <f>HYPERLINK("https://klasma.github.io/Logging_1780/kartor_geotiff/A 5131-2026 georefererad karta.tif", "A 5131-2026")</f>
        <v/>
      </c>
      <c r="AA59">
        <f>HYPERLINK("https://klasma.github.io/Logging_1780/klagomål/A 5131-2026 FSC-klagomål.docx", "A 5131-2026")</f>
        <v/>
      </c>
      <c r="AB59">
        <f>HYPERLINK("https://klasma.github.io/Logging_1780/klagomålsmail/A 5131-2026 FSC-klagomål mail.docx", "A 5131-2026")</f>
        <v/>
      </c>
      <c r="AC59">
        <f>HYPERLINK("https://klasma.github.io/Logging_1780/tillsyn/A 5131-2026 tillsynsbegäran.docx", "A 5131-2026")</f>
        <v/>
      </c>
      <c r="AD59">
        <f>HYPERLINK("https://klasma.github.io/Logging_1780/tillsynsmail/A 5131-2026 tillsynsbegäran mail.docx", "A 5131-2026")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46289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46289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46289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46289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46289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46289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36886-2022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46289</v>
      </c>
      <c r="F66" t="inlineStr">
        <is>
          <t>VÄRMLANDS LÄN</t>
        </is>
      </c>
      <c r="G66" t="inlineStr">
        <is>
          <t>KARLSTAD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Gröngöling</t>
        </is>
      </c>
      <c r="W66">
        <f>HYPERLINK("https://klasma.github.io/Logging_1780/artfynd/A 36886-2022 artfynd.xlsx", "A 36886-2022")</f>
        <v/>
      </c>
      <c r="X66">
        <f>HYPERLINK("https://klasma.github.io/Logging_1780/kartor/A 36886-2022 karta.png", "A 36886-2022")</f>
        <v/>
      </c>
      <c r="Y66">
        <f>HYPERLINK("https://klasma.github.io/Logging_1780/kartor_geotiff/A 36886-2022 georefererad karta.tif", "A 36886-2022")</f>
        <v/>
      </c>
      <c r="AA66">
        <f>HYPERLINK("https://klasma.github.io/Logging_1780/klagomål/A 36886-2022 FSC-klagomål.docx", "A 36886-2022")</f>
        <v/>
      </c>
      <c r="AB66">
        <f>HYPERLINK("https://klasma.github.io/Logging_1780/klagomålsmail/A 36886-2022 FSC-klagomål mail.docx", "A 36886-2022")</f>
        <v/>
      </c>
      <c r="AC66">
        <f>HYPERLINK("https://klasma.github.io/Logging_1780/tillsyn/A 36886-2022 tillsynsbegäran.docx", "A 36886-2022")</f>
        <v/>
      </c>
      <c r="AD66">
        <f>HYPERLINK("https://klasma.github.io/Logging_1780/tillsynsmail/A 36886-2022 tillsynsbegäran mail.docx", "A 36886-2022")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46289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46289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46289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46289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36422-2022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44804</v>
      </c>
      <c r="E71" s="1" t="n">
        <v>46289</v>
      </c>
      <c r="F71" t="inlineStr">
        <is>
          <t>VÄRMLANDS LÄN</t>
        </is>
      </c>
      <c r="G71" t="inlineStr">
        <is>
          <t>KARLSTAD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44599</v>
      </c>
      <c r="E72" s="1" t="n">
        <v>46289</v>
      </c>
      <c r="F72" t="inlineStr">
        <is>
          <t>VÄRMLANDS LÄN</t>
        </is>
      </c>
      <c r="G72" t="inlineStr">
        <is>
          <t>KARLSTAD</t>
        </is>
      </c>
      <c r="I72" t="n">
        <v>22.8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59627-2021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46289</v>
      </c>
      <c r="F73" t="inlineStr">
        <is>
          <t>VÄRMLANDS LÄN</t>
        </is>
      </c>
      <c r="G73" t="inlineStr">
        <is>
          <t>KARLSTAD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46289</v>
      </c>
      <c r="F74" t="inlineStr">
        <is>
          <t>VÄRMLANDS LÄN</t>
        </is>
      </c>
      <c r="G74" t="inlineStr">
        <is>
          <t>KARLSTAD</t>
        </is>
      </c>
      <c r="H74" t="inlineStr">
        <is>
          <t>Kommuner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46289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46289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46289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46289</v>
      </c>
      <c r="F78" t="inlineStr">
        <is>
          <t>VÄRMLANDS LÄN</t>
        </is>
      </c>
      <c r="G78" t="inlineStr">
        <is>
          <t>KARLSTAD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46289</v>
      </c>
      <c r="F79" t="inlineStr">
        <is>
          <t>VÄRMLANDS LÄN</t>
        </is>
      </c>
      <c r="G79" t="inlineStr">
        <is>
          <t>KARLSTAD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46289</v>
      </c>
      <c r="F80" t="inlineStr">
        <is>
          <t>VÄRMLANDS LÄN</t>
        </is>
      </c>
      <c r="G80" t="inlineStr">
        <is>
          <t>KARLSTAD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46289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46289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46289</v>
      </c>
      <c r="F83" t="inlineStr">
        <is>
          <t>VÄRMLANDS LÄN</t>
        </is>
      </c>
      <c r="G83" t="inlineStr">
        <is>
          <t>KARLSTAD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46289</v>
      </c>
      <c r="F84" t="inlineStr">
        <is>
          <t>VÄRMLANDS LÄN</t>
        </is>
      </c>
      <c r="G84" t="inlineStr">
        <is>
          <t>KARLSTAD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46289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46289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46289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9.199999999999999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46289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44599</v>
      </c>
      <c r="E89" s="1" t="n">
        <v>46289</v>
      </c>
      <c r="F89" t="inlineStr">
        <is>
          <t>VÄRMLANDS LÄN</t>
        </is>
      </c>
      <c r="G89" t="inlineStr">
        <is>
          <t>KARLSTAD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46289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46289</v>
      </c>
      <c r="F91" t="inlineStr">
        <is>
          <t>VÄRMLANDS LÄN</t>
        </is>
      </c>
      <c r="G91" t="inlineStr">
        <is>
          <t>KARLSTAD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46289</v>
      </c>
      <c r="F92" t="inlineStr">
        <is>
          <t>VÄRMLANDS LÄN</t>
        </is>
      </c>
      <c r="G92" t="inlineStr">
        <is>
          <t>KARLSTAD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46289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46289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44740</v>
      </c>
      <c r="E95" s="1" t="n">
        <v>46289</v>
      </c>
      <c r="F95" t="inlineStr">
        <is>
          <t>VÄRMLANDS LÄN</t>
        </is>
      </c>
      <c r="G95" t="inlineStr">
        <is>
          <t>KARLSTAD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46289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46289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46289</v>
      </c>
      <c r="F98" t="inlineStr">
        <is>
          <t>VÄRMLANDS LÄN</t>
        </is>
      </c>
      <c r="G98" t="inlineStr">
        <is>
          <t>KARLSTAD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46289</v>
      </c>
      <c r="F99" t="inlineStr">
        <is>
          <t>VÄRMLANDS LÄN</t>
        </is>
      </c>
      <c r="G99" t="inlineStr">
        <is>
          <t>KARLSTAD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46289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14854-2022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44656</v>
      </c>
      <c r="E101" s="1" t="n">
        <v>46289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46289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46289</v>
      </c>
      <c r="F103" t="inlineStr">
        <is>
          <t>VÄRMLANDS LÄN</t>
        </is>
      </c>
      <c r="G103" t="inlineStr">
        <is>
          <t>KARLSTAD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46289</v>
      </c>
      <c r="F104" t="inlineStr">
        <is>
          <t>VÄRMLANDS LÄN</t>
        </is>
      </c>
      <c r="G104" t="inlineStr">
        <is>
          <t>KARLSTAD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46289</v>
      </c>
      <c r="F105" t="inlineStr">
        <is>
          <t>VÄRMLANDS LÄN</t>
        </is>
      </c>
      <c r="G105" t="inlineStr">
        <is>
          <t>KARLSTAD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46289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46289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46289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46289</v>
      </c>
      <c r="F109" t="inlineStr">
        <is>
          <t>VÄRMLANDS LÄN</t>
        </is>
      </c>
      <c r="G109" t="inlineStr">
        <is>
          <t>KARLSTAD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46289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44701</v>
      </c>
      <c r="E111" s="1" t="n">
        <v>46289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45041</v>
      </c>
      <c r="E112" s="1" t="n">
        <v>46289</v>
      </c>
      <c r="F112" t="inlineStr">
        <is>
          <t>VÄRMLANDS LÄN</t>
        </is>
      </c>
      <c r="G112" t="inlineStr">
        <is>
          <t>KARLSTAD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46289</v>
      </c>
      <c r="F113" t="inlineStr">
        <is>
          <t>VÄRMLANDS LÄN</t>
        </is>
      </c>
      <c r="G113" t="inlineStr">
        <is>
          <t>KARLSTAD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46289</v>
      </c>
      <c r="F114" t="inlineStr">
        <is>
          <t>VÄRMLANDS LÄN</t>
        </is>
      </c>
      <c r="G114" t="inlineStr">
        <is>
          <t>KARLSTAD</t>
        </is>
      </c>
      <c r="H114" t="inlineStr">
        <is>
          <t>Naturvårdsverket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46289</v>
      </c>
      <c r="F115" t="inlineStr">
        <is>
          <t>VÄRMLANDS LÄN</t>
        </is>
      </c>
      <c r="G115" t="inlineStr">
        <is>
          <t>KARLSTAD</t>
        </is>
      </c>
      <c r="I115" t="n">
        <v>18.5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53656-2024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45615</v>
      </c>
      <c r="E116" s="1" t="n">
        <v>46289</v>
      </c>
      <c r="F116" t="inlineStr">
        <is>
          <t>VÄRMLANDS LÄN</t>
        </is>
      </c>
      <c r="G116" t="inlineStr">
        <is>
          <t>KARLSTAD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73318-2021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46289</v>
      </c>
      <c r="F117" t="inlineStr">
        <is>
          <t>VÄRMLANDS LÄN</t>
        </is>
      </c>
      <c r="G117" t="inlineStr">
        <is>
          <t>KARLSTAD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40855-2022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44825</v>
      </c>
      <c r="E118" s="1" t="n">
        <v>46289</v>
      </c>
      <c r="F118" t="inlineStr">
        <is>
          <t>VÄRMLANDS LÄN</t>
        </is>
      </c>
      <c r="G118" t="inlineStr">
        <is>
          <t>KARLSTAD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46289</v>
      </c>
      <c r="F119" t="inlineStr">
        <is>
          <t>VÄRMLANDS LÄN</t>
        </is>
      </c>
      <c r="G119" t="inlineStr">
        <is>
          <t>KARLSTAD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46289</v>
      </c>
      <c r="F120" t="inlineStr">
        <is>
          <t>VÄRMLANDS LÄN</t>
        </is>
      </c>
      <c r="G120" t="inlineStr">
        <is>
          <t>KARLSTAD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46289</v>
      </c>
      <c r="F121" t="inlineStr">
        <is>
          <t>VÄRMLANDS LÄN</t>
        </is>
      </c>
      <c r="G121" t="inlineStr">
        <is>
          <t>KARLSTAD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57469-2021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44483</v>
      </c>
      <c r="E122" s="1" t="n">
        <v>46289</v>
      </c>
      <c r="F122" t="inlineStr">
        <is>
          <t>VÄRMLANDS LÄN</t>
        </is>
      </c>
      <c r="G122" t="inlineStr">
        <is>
          <t>KARLSTAD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72346-2021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46289</v>
      </c>
      <c r="F123" t="inlineStr">
        <is>
          <t>VÄRMLANDS LÄN</t>
        </is>
      </c>
      <c r="G123" t="inlineStr">
        <is>
          <t>KARLSTAD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46289</v>
      </c>
      <c r="F124" t="inlineStr">
        <is>
          <t>VÄRMLANDS LÄN</t>
        </is>
      </c>
      <c r="G124" t="inlineStr">
        <is>
          <t>KARLSTAD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44872</v>
      </c>
      <c r="E125" s="1" t="n">
        <v>46289</v>
      </c>
      <c r="F125" t="inlineStr">
        <is>
          <t>VÄRMLANDS LÄN</t>
        </is>
      </c>
      <c r="G125" t="inlineStr">
        <is>
          <t>KARLSTAD</t>
        </is>
      </c>
      <c r="H125" t="inlineStr">
        <is>
          <t>Bergvik skog väst AB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44882</v>
      </c>
      <c r="E126" s="1" t="n">
        <v>46289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44613</v>
      </c>
      <c r="E127" s="1" t="n">
        <v>46289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46289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44593</v>
      </c>
      <c r="E129" s="1" t="n">
        <v>46289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46289</v>
      </c>
      <c r="F130" t="inlineStr">
        <is>
          <t>VÄRMLANDS LÄN</t>
        </is>
      </c>
      <c r="G130" t="inlineStr">
        <is>
          <t>KARLSTAD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44574</v>
      </c>
      <c r="E131" s="1" t="n">
        <v>46289</v>
      </c>
      <c r="F131" t="inlineStr">
        <is>
          <t>VÄRMLANDS LÄN</t>
        </is>
      </c>
      <c r="G131" t="inlineStr">
        <is>
          <t>KARLSTAD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44763</v>
      </c>
      <c r="E132" s="1" t="n">
        <v>46289</v>
      </c>
      <c r="F132" t="inlineStr">
        <is>
          <t>VÄRMLANDS LÄN</t>
        </is>
      </c>
      <c r="G132" t="inlineStr">
        <is>
          <t>KARLSTAD</t>
        </is>
      </c>
      <c r="H132" t="inlineStr">
        <is>
          <t>Kyrkan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25786-2024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45466</v>
      </c>
      <c r="E133" s="1" t="n">
        <v>46289</v>
      </c>
      <c r="F133" t="inlineStr">
        <is>
          <t>VÄRMLANDS LÄN</t>
        </is>
      </c>
      <c r="G133" t="inlineStr">
        <is>
          <t>KARLSTAD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46289</v>
      </c>
      <c r="F134" t="inlineStr">
        <is>
          <t>VÄRMLANDS LÄN</t>
        </is>
      </c>
      <c r="G134" t="inlineStr">
        <is>
          <t>KARLSTAD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46289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46289</v>
      </c>
      <c r="F136" t="inlineStr">
        <is>
          <t>VÄRMLANDS LÄN</t>
        </is>
      </c>
      <c r="G136" t="inlineStr">
        <is>
          <t>KARLSTAD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22585-2025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46289</v>
      </c>
      <c r="F137" t="inlineStr">
        <is>
          <t>VÄRMLANDS LÄN</t>
        </is>
      </c>
      <c r="G137" t="inlineStr">
        <is>
          <t>KARLSTAD</t>
        </is>
      </c>
      <c r="H137" t="inlineStr">
        <is>
          <t>Bergvik skog väst AB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46289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statliga verk och myndigheter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46289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64525-2023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46289</v>
      </c>
      <c r="F140" t="inlineStr">
        <is>
          <t>VÄRMLANDS LÄN</t>
        </is>
      </c>
      <c r="G140" t="inlineStr">
        <is>
          <t>KARLSTAD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62902-2023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45272</v>
      </c>
      <c r="E141" s="1" t="n">
        <v>46289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46289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73004-2021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44547</v>
      </c>
      <c r="E143" s="1" t="n">
        <v>46289</v>
      </c>
      <c r="F143" t="inlineStr">
        <is>
          <t>VÄRMLANDS LÄN</t>
        </is>
      </c>
      <c r="G143" t="inlineStr">
        <is>
          <t>KARLSTAD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46289</v>
      </c>
      <c r="F144" t="inlineStr">
        <is>
          <t>VÄRMLANDS LÄN</t>
        </is>
      </c>
      <c r="G144" t="inlineStr">
        <is>
          <t>KARLSTAD</t>
        </is>
      </c>
      <c r="I144" t="n">
        <v>11.4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45203</v>
      </c>
      <c r="E145" s="1" t="n">
        <v>46289</v>
      </c>
      <c r="F145" t="inlineStr">
        <is>
          <t>VÄRMLANDS LÄN</t>
        </is>
      </c>
      <c r="G145" t="inlineStr">
        <is>
          <t>KARLSTAD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46289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46289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46097-2023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46289</v>
      </c>
      <c r="F148" t="inlineStr">
        <is>
          <t>VÄRMLANDS LÄN</t>
        </is>
      </c>
      <c r="G148" t="inlineStr">
        <is>
          <t>KARLSTAD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66642-2021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46289</v>
      </c>
      <c r="F149" t="inlineStr">
        <is>
          <t>VÄRMLANDS LÄN</t>
        </is>
      </c>
      <c r="G149" t="inlineStr">
        <is>
          <t>KARLSTAD</t>
        </is>
      </c>
      <c r="I149" t="n">
        <v>18.2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46289</v>
      </c>
      <c r="F150" t="inlineStr">
        <is>
          <t>VÄRMLANDS LÄN</t>
        </is>
      </c>
      <c r="G150" t="inlineStr">
        <is>
          <t>KARLSTAD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45711</v>
      </c>
      <c r="E151" s="1" t="n">
        <v>46289</v>
      </c>
      <c r="F151" t="inlineStr">
        <is>
          <t>VÄRMLANDS LÄN</t>
        </is>
      </c>
      <c r="G151" t="inlineStr">
        <is>
          <t>KARLSTAD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45039</v>
      </c>
      <c r="E152" s="1" t="n">
        <v>46289</v>
      </c>
      <c r="F152" t="inlineStr">
        <is>
          <t>VÄRMLANDS LÄN</t>
        </is>
      </c>
      <c r="G152" t="inlineStr">
        <is>
          <t>KARLSTAD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66322-2021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44518</v>
      </c>
      <c r="E153" s="1" t="n">
        <v>46289</v>
      </c>
      <c r="F153" t="inlineStr">
        <is>
          <t>VÄRMLANDS LÄN</t>
        </is>
      </c>
      <c r="G153" t="inlineStr">
        <is>
          <t>KARLSTAD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46289</v>
      </c>
      <c r="F154" t="inlineStr">
        <is>
          <t>VÄRMLANDS LÄN</t>
        </is>
      </c>
      <c r="G154" t="inlineStr">
        <is>
          <t>KARLSTAD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45698</v>
      </c>
      <c r="E155" s="1" t="n">
        <v>46289</v>
      </c>
      <c r="F155" t="inlineStr">
        <is>
          <t>VÄRMLANDS LÄN</t>
        </is>
      </c>
      <c r="G155" t="inlineStr">
        <is>
          <t>KARLSTAD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45698</v>
      </c>
      <c r="E156" s="1" t="n">
        <v>46289</v>
      </c>
      <c r="F156" t="inlineStr">
        <is>
          <t>VÄRMLANDS LÄN</t>
        </is>
      </c>
      <c r="G156" t="inlineStr">
        <is>
          <t>KARLSTAD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46289</v>
      </c>
      <c r="F157" t="inlineStr">
        <is>
          <t>VÄRMLANDS LÄN</t>
        </is>
      </c>
      <c r="G157" t="inlineStr">
        <is>
          <t>KARLSTAD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46289</v>
      </c>
      <c r="F158" t="inlineStr">
        <is>
          <t>VÄRMLANDS LÄN</t>
        </is>
      </c>
      <c r="G158" t="inlineStr">
        <is>
          <t>KARLSTAD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46289</v>
      </c>
      <c r="F159" t="inlineStr">
        <is>
          <t>VÄRMLANDS LÄN</t>
        </is>
      </c>
      <c r="G159" t="inlineStr">
        <is>
          <t>KARLSTAD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45177</v>
      </c>
      <c r="E160" s="1" t="n">
        <v>46289</v>
      </c>
      <c r="F160" t="inlineStr">
        <is>
          <t>VÄRMLANDS LÄN</t>
        </is>
      </c>
      <c r="G160" t="inlineStr">
        <is>
          <t>KARLSTAD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46289</v>
      </c>
      <c r="F161" t="inlineStr">
        <is>
          <t>VÄRMLANDS LÄN</t>
        </is>
      </c>
      <c r="G161" t="inlineStr">
        <is>
          <t>KARLSTAD</t>
        </is>
      </c>
      <c r="I161" t="n">
        <v>12.5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46289</v>
      </c>
      <c r="F162" t="inlineStr">
        <is>
          <t>VÄRMLANDS LÄN</t>
        </is>
      </c>
      <c r="G162" t="inlineStr">
        <is>
          <t>KARLSTAD</t>
        </is>
      </c>
      <c r="H162" t="inlineStr">
        <is>
          <t>Bergvik skog väst AB</t>
        </is>
      </c>
      <c r="I162" t="n">
        <v>24.3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45546</v>
      </c>
      <c r="E163" s="1" t="n">
        <v>46289</v>
      </c>
      <c r="F163" t="inlineStr">
        <is>
          <t>VÄRMLANDS LÄN</t>
        </is>
      </c>
      <c r="G163" t="inlineStr">
        <is>
          <t>KARLSTAD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46289</v>
      </c>
      <c r="F164" t="inlineStr">
        <is>
          <t>VÄRMLANDS LÄN</t>
        </is>
      </c>
      <c r="G164" t="inlineStr">
        <is>
          <t>KARLSTAD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45035</v>
      </c>
      <c r="E165" s="1" t="n">
        <v>46289</v>
      </c>
      <c r="F165" t="inlineStr">
        <is>
          <t>VÄRMLANDS LÄN</t>
        </is>
      </c>
      <c r="G165" t="inlineStr">
        <is>
          <t>KARLSTAD</t>
        </is>
      </c>
      <c r="H165" t="inlineStr">
        <is>
          <t>Kommuner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47349-2022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44852</v>
      </c>
      <c r="E166" s="1" t="n">
        <v>46289</v>
      </c>
      <c r="F166" t="inlineStr">
        <is>
          <t>VÄRMLANDS LÄN</t>
        </is>
      </c>
      <c r="G166" t="inlineStr">
        <is>
          <t>KARLSTAD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46289</v>
      </c>
      <c r="F167" t="inlineStr">
        <is>
          <t>VÄRMLANDS LÄN</t>
        </is>
      </c>
      <c r="G167" t="inlineStr">
        <is>
          <t>KARLSTAD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46289</v>
      </c>
      <c r="F168" t="inlineStr">
        <is>
          <t>VÄRMLANDS LÄN</t>
        </is>
      </c>
      <c r="G168" t="inlineStr">
        <is>
          <t>KARLSTAD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46289</v>
      </c>
      <c r="F169" t="inlineStr">
        <is>
          <t>VÄRMLANDS LÄN</t>
        </is>
      </c>
      <c r="G169" t="inlineStr">
        <is>
          <t>KARLSTAD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45621</v>
      </c>
      <c r="E170" s="1" t="n">
        <v>46289</v>
      </c>
      <c r="F170" t="inlineStr">
        <is>
          <t>VÄRMLANDS LÄN</t>
        </is>
      </c>
      <c r="G170" t="inlineStr">
        <is>
          <t>KARLSTAD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46289</v>
      </c>
      <c r="F171" t="inlineStr">
        <is>
          <t>VÄRMLANDS LÄN</t>
        </is>
      </c>
      <c r="G171" t="inlineStr">
        <is>
          <t>KARLSTAD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46289</v>
      </c>
      <c r="F172" t="inlineStr">
        <is>
          <t>VÄRMLANDS LÄN</t>
        </is>
      </c>
      <c r="G172" t="inlineStr">
        <is>
          <t>KARLSTAD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46289</v>
      </c>
      <c r="F173" t="inlineStr">
        <is>
          <t>VÄRMLANDS LÄN</t>
        </is>
      </c>
      <c r="G173" t="inlineStr">
        <is>
          <t>KARLSTAD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45382</v>
      </c>
      <c r="E174" s="1" t="n">
        <v>46289</v>
      </c>
      <c r="F174" t="inlineStr">
        <is>
          <t>VÄRMLANDS LÄN</t>
        </is>
      </c>
      <c r="G174" t="inlineStr">
        <is>
          <t>KARLSTAD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45386</v>
      </c>
      <c r="E175" s="1" t="n">
        <v>46289</v>
      </c>
      <c r="F175" t="inlineStr">
        <is>
          <t>VÄRMLANDS LÄN</t>
        </is>
      </c>
      <c r="G175" t="inlineStr">
        <is>
          <t>KARLSTAD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53305-2023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45229</v>
      </c>
      <c r="E176" s="1" t="n">
        <v>46289</v>
      </c>
      <c r="F176" t="inlineStr">
        <is>
          <t>VÄRMLANDS LÄN</t>
        </is>
      </c>
      <c r="G176" t="inlineStr">
        <is>
          <t>KARLSTAD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46289</v>
      </c>
      <c r="F177" t="inlineStr">
        <is>
          <t>VÄRMLANDS LÄN</t>
        </is>
      </c>
      <c r="G177" t="inlineStr">
        <is>
          <t>KARLSTAD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46289</v>
      </c>
      <c r="F178" t="inlineStr">
        <is>
          <t>VÄRMLANDS LÄN</t>
        </is>
      </c>
      <c r="G178" t="inlineStr">
        <is>
          <t>KARLSTAD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46289</v>
      </c>
      <c r="F179" t="inlineStr">
        <is>
          <t>VÄRMLANDS LÄN</t>
        </is>
      </c>
      <c r="G179" t="inlineStr">
        <is>
          <t>KARLSTAD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46289</v>
      </c>
      <c r="F180" t="inlineStr">
        <is>
          <t>VÄRMLANDS LÄN</t>
        </is>
      </c>
      <c r="G180" t="inlineStr">
        <is>
          <t>KARLSTAD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46289</v>
      </c>
      <c r="F181" t="inlineStr">
        <is>
          <t>VÄRMLANDS LÄN</t>
        </is>
      </c>
      <c r="G181" t="inlineStr">
        <is>
          <t>KARLSTAD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45095</v>
      </c>
      <c r="E182" s="1" t="n">
        <v>46289</v>
      </c>
      <c r="F182" t="inlineStr">
        <is>
          <t>VÄRMLANDS LÄN</t>
        </is>
      </c>
      <c r="G182" t="inlineStr">
        <is>
          <t>KARLSTAD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46289</v>
      </c>
      <c r="F183" t="inlineStr">
        <is>
          <t>VÄRMLANDS LÄN</t>
        </is>
      </c>
      <c r="G183" t="inlineStr">
        <is>
          <t>KARLSTAD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44945</v>
      </c>
      <c r="E184" s="1" t="n">
        <v>46289</v>
      </c>
      <c r="F184" t="inlineStr">
        <is>
          <t>VÄRMLANDS LÄN</t>
        </is>
      </c>
      <c r="G184" t="inlineStr">
        <is>
          <t>KARLSTAD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46289</v>
      </c>
      <c r="F185" t="inlineStr">
        <is>
          <t>VÄRMLANDS LÄN</t>
        </is>
      </c>
      <c r="G185" t="inlineStr">
        <is>
          <t>KARLSTAD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46289</v>
      </c>
      <c r="F186" t="inlineStr">
        <is>
          <t>VÄRMLANDS LÄN</t>
        </is>
      </c>
      <c r="G186" t="inlineStr">
        <is>
          <t>KARLSTAD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46289</v>
      </c>
      <c r="F187" t="inlineStr">
        <is>
          <t>VÄRMLANDS LÄN</t>
        </is>
      </c>
      <c r="G187" t="inlineStr">
        <is>
          <t>KARLSTAD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19166-2023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45044</v>
      </c>
      <c r="E188" s="1" t="n">
        <v>46289</v>
      </c>
      <c r="F188" t="inlineStr">
        <is>
          <t>VÄRMLANDS LÄN</t>
        </is>
      </c>
      <c r="G188" t="inlineStr">
        <is>
          <t>KARLSTAD</t>
        </is>
      </c>
      <c r="H188" t="inlineStr">
        <is>
          <t>Övriga statliga verk och myndigheter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60025-2023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45258</v>
      </c>
      <c r="E189" s="1" t="n">
        <v>46289</v>
      </c>
      <c r="F189" t="inlineStr">
        <is>
          <t>VÄRMLANDS LÄN</t>
        </is>
      </c>
      <c r="G189" t="inlineStr">
        <is>
          <t>KARLSTAD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46289</v>
      </c>
      <c r="F190" t="inlineStr">
        <is>
          <t>VÄRMLANDS LÄN</t>
        </is>
      </c>
      <c r="G190" t="inlineStr">
        <is>
          <t>KARLSTAD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45260</v>
      </c>
      <c r="E191" s="1" t="n">
        <v>46289</v>
      </c>
      <c r="F191" t="inlineStr">
        <is>
          <t>VÄRMLANDS LÄN</t>
        </is>
      </c>
      <c r="G191" t="inlineStr">
        <is>
          <t>KARLSTAD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45382</v>
      </c>
      <c r="E192" s="1" t="n">
        <v>46289</v>
      </c>
      <c r="F192" t="inlineStr">
        <is>
          <t>VÄRMLANDS LÄN</t>
        </is>
      </c>
      <c r="G192" t="inlineStr">
        <is>
          <t>KARLSTAD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45751</v>
      </c>
      <c r="E193" s="1" t="n">
        <v>46289</v>
      </c>
      <c r="F193" t="inlineStr">
        <is>
          <t>VÄRMLANDS LÄN</t>
        </is>
      </c>
      <c r="G193" t="inlineStr">
        <is>
          <t>KARLSTAD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9405-2025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45715</v>
      </c>
      <c r="E194" s="1" t="n">
        <v>46289</v>
      </c>
      <c r="F194" t="inlineStr">
        <is>
          <t>VÄRMLANDS LÄN</t>
        </is>
      </c>
      <c r="G194" t="inlineStr">
        <is>
          <t>KARLSTAD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46289</v>
      </c>
      <c r="F195" t="inlineStr">
        <is>
          <t>VÄRMLANDS LÄN</t>
        </is>
      </c>
      <c r="G195" t="inlineStr">
        <is>
          <t>KARLSTAD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45520</v>
      </c>
      <c r="E196" s="1" t="n">
        <v>46289</v>
      </c>
      <c r="F196" t="inlineStr">
        <is>
          <t>VÄRMLANDS LÄN</t>
        </is>
      </c>
      <c r="G196" t="inlineStr">
        <is>
          <t>KARLSTAD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45450</v>
      </c>
      <c r="E197" s="1" t="n">
        <v>46289</v>
      </c>
      <c r="F197" t="inlineStr">
        <is>
          <t>VÄRMLANDS LÄN</t>
        </is>
      </c>
      <c r="G197" t="inlineStr">
        <is>
          <t>KARLSTAD</t>
        </is>
      </c>
      <c r="I197" t="n">
        <v>10.7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44952</v>
      </c>
      <c r="E198" s="1" t="n">
        <v>46289</v>
      </c>
      <c r="F198" t="inlineStr">
        <is>
          <t>VÄRMLANDS LÄN</t>
        </is>
      </c>
      <c r="G198" t="inlineStr">
        <is>
          <t>KARLSTAD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46289</v>
      </c>
      <c r="F199" t="inlineStr">
        <is>
          <t>VÄRMLANDS LÄN</t>
        </is>
      </c>
      <c r="G199" t="inlineStr">
        <is>
          <t>KARLSTAD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46289</v>
      </c>
      <c r="F200" t="inlineStr">
        <is>
          <t>VÄRMLANDS LÄN</t>
        </is>
      </c>
      <c r="G200" t="inlineStr">
        <is>
          <t>KARLSTAD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45260</v>
      </c>
      <c r="E201" s="1" t="n">
        <v>46289</v>
      </c>
      <c r="F201" t="inlineStr">
        <is>
          <t>VÄRMLANDS LÄN</t>
        </is>
      </c>
      <c r="G201" t="inlineStr">
        <is>
          <t>KARLSTAD</t>
        </is>
      </c>
      <c r="I201" t="n">
        <v>10.4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45393</v>
      </c>
      <c r="E202" s="1" t="n">
        <v>46289</v>
      </c>
      <c r="F202" t="inlineStr">
        <is>
          <t>VÄRMLANDS LÄN</t>
        </is>
      </c>
      <c r="G202" t="inlineStr">
        <is>
          <t>KARLSTAD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46289</v>
      </c>
      <c r="F203" t="inlineStr">
        <is>
          <t>VÄRMLANDS LÄN</t>
        </is>
      </c>
      <c r="G203" t="inlineStr">
        <is>
          <t>KARLSTAD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45299</v>
      </c>
      <c r="E204" s="1" t="n">
        <v>46289</v>
      </c>
      <c r="F204" t="inlineStr">
        <is>
          <t>VÄRMLANDS LÄN</t>
        </is>
      </c>
      <c r="G204" t="inlineStr">
        <is>
          <t>KARLSTAD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46289</v>
      </c>
      <c r="F205" t="inlineStr">
        <is>
          <t>VÄRMLANDS LÄN</t>
        </is>
      </c>
      <c r="G205" t="inlineStr">
        <is>
          <t>KARLSTAD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45877</v>
      </c>
      <c r="E206" s="1" t="n">
        <v>46289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46289</v>
      </c>
      <c r="F207" t="inlineStr">
        <is>
          <t>VÄRMLANDS LÄN</t>
        </is>
      </c>
      <c r="G207" t="inlineStr">
        <is>
          <t>KARLSTAD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46289</v>
      </c>
      <c r="F208" t="inlineStr">
        <is>
          <t>VÄRMLANDS LÄN</t>
        </is>
      </c>
      <c r="G208" t="inlineStr">
        <is>
          <t>KARLSTAD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46289</v>
      </c>
      <c r="F209" t="inlineStr">
        <is>
          <t>VÄRMLANDS LÄN</t>
        </is>
      </c>
      <c r="G209" t="inlineStr">
        <is>
          <t>KARLSTAD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45279</v>
      </c>
      <c r="E210" s="1" t="n">
        <v>46289</v>
      </c>
      <c r="F210" t="inlineStr">
        <is>
          <t>VÄRMLANDS LÄN</t>
        </is>
      </c>
      <c r="G210" t="inlineStr">
        <is>
          <t>KARLSTAD</t>
        </is>
      </c>
      <c r="I210" t="n">
        <v>9.300000000000001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43400-2025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45911</v>
      </c>
      <c r="E211" s="1" t="n">
        <v>46289</v>
      </c>
      <c r="F211" t="inlineStr">
        <is>
          <t>VÄRMLANDS LÄN</t>
        </is>
      </c>
      <c r="G211" t="inlineStr">
        <is>
          <t>KARLSTAD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45020</v>
      </c>
      <c r="E212" s="1" t="n">
        <v>46289</v>
      </c>
      <c r="F212" t="inlineStr">
        <is>
          <t>VÄRMLANDS LÄN</t>
        </is>
      </c>
      <c r="G212" t="inlineStr">
        <is>
          <t>KARLSTAD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46289</v>
      </c>
      <c r="F213" t="inlineStr">
        <is>
          <t>VÄRMLANDS LÄN</t>
        </is>
      </c>
      <c r="G213" t="inlineStr">
        <is>
          <t>KARLSTAD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37982-2024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45544</v>
      </c>
      <c r="E214" s="1" t="n">
        <v>46289</v>
      </c>
      <c r="F214" t="inlineStr">
        <is>
          <t>VÄRMLANDS LÄN</t>
        </is>
      </c>
      <c r="G214" t="inlineStr">
        <is>
          <t>KARLSTAD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46289</v>
      </c>
      <c r="F215" t="inlineStr">
        <is>
          <t>VÄRMLANDS LÄN</t>
        </is>
      </c>
      <c r="G215" t="inlineStr">
        <is>
          <t>KARLSTAD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44595</v>
      </c>
      <c r="E216" s="1" t="n">
        <v>46289</v>
      </c>
      <c r="F216" t="inlineStr">
        <is>
          <t>VÄRMLANDS LÄN</t>
        </is>
      </c>
      <c r="G216" t="inlineStr">
        <is>
          <t>KARLSTAD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44985</v>
      </c>
      <c r="E217" s="1" t="n">
        <v>46289</v>
      </c>
      <c r="F217" t="inlineStr">
        <is>
          <t>VÄRMLANDS LÄN</t>
        </is>
      </c>
      <c r="G217" t="inlineStr">
        <is>
          <t>KARLSTAD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46289</v>
      </c>
      <c r="F218" t="inlineStr">
        <is>
          <t>VÄRMLANDS LÄN</t>
        </is>
      </c>
      <c r="G218" t="inlineStr">
        <is>
          <t>KARLSTAD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46289</v>
      </c>
      <c r="F219" t="inlineStr">
        <is>
          <t>VÄRMLANDS LÄN</t>
        </is>
      </c>
      <c r="G219" t="inlineStr">
        <is>
          <t>KARLSTAD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68011-2021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46289</v>
      </c>
      <c r="F220" t="inlineStr">
        <is>
          <t>VÄRMLANDS LÄN</t>
        </is>
      </c>
      <c r="G220" t="inlineStr">
        <is>
          <t>KARLSTAD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53654-2024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45615</v>
      </c>
      <c r="E221" s="1" t="n">
        <v>46289</v>
      </c>
      <c r="F221" t="inlineStr">
        <is>
          <t>VÄRMLANDS LÄN</t>
        </is>
      </c>
      <c r="G221" t="inlineStr">
        <is>
          <t>KARLSTAD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45565</v>
      </c>
      <c r="E222" s="1" t="n">
        <v>46289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45457</v>
      </c>
      <c r="E223" s="1" t="n">
        <v>46289</v>
      </c>
      <c r="F223" t="inlineStr">
        <is>
          <t>VÄRMLANDS LÄN</t>
        </is>
      </c>
      <c r="G223" t="inlineStr">
        <is>
          <t>KARLSTAD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44959</v>
      </c>
      <c r="E224" s="1" t="n">
        <v>46289</v>
      </c>
      <c r="F224" t="inlineStr">
        <is>
          <t>VÄRMLANDS LÄN</t>
        </is>
      </c>
      <c r="G224" t="inlineStr">
        <is>
          <t>KARLSTAD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45306</v>
      </c>
      <c r="E225" s="1" t="n">
        <v>46289</v>
      </c>
      <c r="F225" t="inlineStr">
        <is>
          <t>VÄRMLANDS LÄN</t>
        </is>
      </c>
      <c r="G225" t="inlineStr">
        <is>
          <t>KARLSTAD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45582</v>
      </c>
      <c r="E226" s="1" t="n">
        <v>46289</v>
      </c>
      <c r="F226" t="inlineStr">
        <is>
          <t>VÄRMLANDS LÄN</t>
        </is>
      </c>
      <c r="G226" t="inlineStr">
        <is>
          <t>KARLSTAD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46289</v>
      </c>
      <c r="F227" t="inlineStr">
        <is>
          <t>VÄRMLANDS LÄN</t>
        </is>
      </c>
      <c r="G227" t="inlineStr">
        <is>
          <t>KARLSTAD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46289</v>
      </c>
      <c r="F228" t="inlineStr">
        <is>
          <t>VÄRMLANDS LÄN</t>
        </is>
      </c>
      <c r="G228" t="inlineStr">
        <is>
          <t>KARLSTAD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46289</v>
      </c>
      <c r="F229" t="inlineStr">
        <is>
          <t>VÄRMLANDS LÄN</t>
        </is>
      </c>
      <c r="G229" t="inlineStr">
        <is>
          <t>KARLSTAD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44503</v>
      </c>
      <c r="E230" s="1" t="n">
        <v>46289</v>
      </c>
      <c r="F230" t="inlineStr">
        <is>
          <t>VÄRMLANDS LÄN</t>
        </is>
      </c>
      <c r="G230" t="inlineStr">
        <is>
          <t>KARLSTAD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46289</v>
      </c>
      <c r="F231" t="inlineStr">
        <is>
          <t>VÄRMLANDS LÄN</t>
        </is>
      </c>
      <c r="G231" t="inlineStr">
        <is>
          <t>KARLSTAD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45720</v>
      </c>
      <c r="E232" s="1" t="n">
        <v>46289</v>
      </c>
      <c r="F232" t="inlineStr">
        <is>
          <t>VÄRMLANDS LÄN</t>
        </is>
      </c>
      <c r="G232" t="inlineStr">
        <is>
          <t>KARLSTAD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41514-2024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45560</v>
      </c>
      <c r="E233" s="1" t="n">
        <v>46289</v>
      </c>
      <c r="F233" t="inlineStr">
        <is>
          <t>VÄRMLANDS LÄN</t>
        </is>
      </c>
      <c r="G233" t="inlineStr">
        <is>
          <t>KARLSTAD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16757-2024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45411</v>
      </c>
      <c r="E234" s="1" t="n">
        <v>46289</v>
      </c>
      <c r="F234" t="inlineStr">
        <is>
          <t>VÄRMLANDS LÄN</t>
        </is>
      </c>
      <c r="G234" t="inlineStr">
        <is>
          <t>KARLSTAD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46289</v>
      </c>
      <c r="F235" t="inlineStr">
        <is>
          <t>VÄRMLANDS LÄN</t>
        </is>
      </c>
      <c r="G235" t="inlineStr">
        <is>
          <t>KARLSTAD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44986</v>
      </c>
      <c r="E236" s="1" t="n">
        <v>46289</v>
      </c>
      <c r="F236" t="inlineStr">
        <is>
          <t>VÄRMLANDS LÄN</t>
        </is>
      </c>
      <c r="G236" t="inlineStr">
        <is>
          <t>KARLSTAD</t>
        </is>
      </c>
      <c r="H236" t="inlineStr">
        <is>
          <t>Kommuner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46289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45810</v>
      </c>
      <c r="E238" s="1" t="n">
        <v>46289</v>
      </c>
      <c r="F238" t="inlineStr">
        <is>
          <t>VÄRMLANDS LÄN</t>
        </is>
      </c>
      <c r="G238" t="inlineStr">
        <is>
          <t>KARLSTAD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45163</v>
      </c>
      <c r="E239" s="1" t="n">
        <v>46289</v>
      </c>
      <c r="F239" t="inlineStr">
        <is>
          <t>VÄRMLANDS LÄN</t>
        </is>
      </c>
      <c r="G239" t="inlineStr">
        <is>
          <t>KARLSTAD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46289</v>
      </c>
      <c r="F240" t="inlineStr">
        <is>
          <t>VÄRMLANDS LÄN</t>
        </is>
      </c>
      <c r="G240" t="inlineStr">
        <is>
          <t>KARLSTAD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44888</v>
      </c>
      <c r="E241" s="1" t="n">
        <v>46289</v>
      </c>
      <c r="F241" t="inlineStr">
        <is>
          <t>VÄRMLANDS LÄN</t>
        </is>
      </c>
      <c r="G241" t="inlineStr">
        <is>
          <t>KARLSTAD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44589</v>
      </c>
      <c r="E242" s="1" t="n">
        <v>46289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17.9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46289</v>
      </c>
      <c r="F243" t="inlineStr">
        <is>
          <t>VÄRMLANDS LÄN</t>
        </is>
      </c>
      <c r="G243" t="inlineStr">
        <is>
          <t>KARLSTAD</t>
        </is>
      </c>
      <c r="H243" t="inlineStr">
        <is>
          <t>Kommuner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54141-2024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45616</v>
      </c>
      <c r="E244" s="1" t="n">
        <v>46289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46289</v>
      </c>
      <c r="F245" t="inlineStr">
        <is>
          <t>VÄRMLANDS LÄN</t>
        </is>
      </c>
      <c r="G245" t="inlineStr">
        <is>
          <t>KARLSTAD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46289</v>
      </c>
      <c r="F246" t="inlineStr">
        <is>
          <t>VÄRMLANDS LÄN</t>
        </is>
      </c>
      <c r="G246" t="inlineStr">
        <is>
          <t>KARLSTAD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46289</v>
      </c>
      <c r="F247" t="inlineStr">
        <is>
          <t>VÄRMLANDS LÄN</t>
        </is>
      </c>
      <c r="G247" t="inlineStr">
        <is>
          <t>KARLSTAD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46289</v>
      </c>
      <c r="F248" t="inlineStr">
        <is>
          <t>VÄRMLANDS LÄN</t>
        </is>
      </c>
      <c r="G248" t="inlineStr">
        <is>
          <t>KARLSTAD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73753-2021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44552</v>
      </c>
      <c r="E249" s="1" t="n">
        <v>46289</v>
      </c>
      <c r="F249" t="inlineStr">
        <is>
          <t>VÄRMLANDS LÄN</t>
        </is>
      </c>
      <c r="G249" t="inlineStr">
        <is>
          <t>KARLSTAD</t>
        </is>
      </c>
      <c r="H249" t="inlineStr">
        <is>
          <t>Kyrkan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46289</v>
      </c>
      <c r="F250" t="inlineStr">
        <is>
          <t>VÄRMLANDS LÄN</t>
        </is>
      </c>
      <c r="G250" t="inlineStr">
        <is>
          <t>KARLSTAD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46289</v>
      </c>
      <c r="F251" t="inlineStr">
        <is>
          <t>VÄRMLANDS LÄN</t>
        </is>
      </c>
      <c r="G251" t="inlineStr">
        <is>
          <t>KARLSTAD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46289</v>
      </c>
      <c r="F252" t="inlineStr">
        <is>
          <t>VÄRMLANDS LÄN</t>
        </is>
      </c>
      <c r="G252" t="inlineStr">
        <is>
          <t>KARLSTAD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45120</v>
      </c>
      <c r="E253" s="1" t="n">
        <v>46289</v>
      </c>
      <c r="F253" t="inlineStr">
        <is>
          <t>VÄRMLANDS LÄN</t>
        </is>
      </c>
      <c r="G253" t="inlineStr">
        <is>
          <t>KARLSTAD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46289</v>
      </c>
      <c r="F254" t="inlineStr">
        <is>
          <t>VÄRMLANDS LÄN</t>
        </is>
      </c>
      <c r="G254" t="inlineStr">
        <is>
          <t>KARLSTAD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46289</v>
      </c>
      <c r="F255" t="inlineStr">
        <is>
          <t>VÄRMLANDS LÄN</t>
        </is>
      </c>
      <c r="G255" t="inlineStr">
        <is>
          <t>KARLSTAD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45813</v>
      </c>
      <c r="E256" s="1" t="n">
        <v>46289</v>
      </c>
      <c r="F256" t="inlineStr">
        <is>
          <t>VÄRMLANDS LÄN</t>
        </is>
      </c>
      <c r="G256" t="inlineStr">
        <is>
          <t>KARLSTAD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45379</v>
      </c>
      <c r="E257" s="1" t="n">
        <v>46289</v>
      </c>
      <c r="F257" t="inlineStr">
        <is>
          <t>VÄRMLANDS LÄN</t>
        </is>
      </c>
      <c r="G257" t="inlineStr">
        <is>
          <t>KARLSTAD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13745-2022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44649</v>
      </c>
      <c r="E258" s="1" t="n">
        <v>46289</v>
      </c>
      <c r="F258" t="inlineStr">
        <is>
          <t>VÄRMLANDS LÄN</t>
        </is>
      </c>
      <c r="G258" t="inlineStr">
        <is>
          <t>KARLSTAD</t>
        </is>
      </c>
      <c r="H258" t="inlineStr">
        <is>
          <t>Bergvik skog väst AB</t>
        </is>
      </c>
      <c r="I258" t="n">
        <v>20.8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46289</v>
      </c>
      <c r="F259" t="inlineStr">
        <is>
          <t>VÄRMLANDS LÄN</t>
        </is>
      </c>
      <c r="G259" t="inlineStr">
        <is>
          <t>KARLSTAD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46289</v>
      </c>
      <c r="F260" t="inlineStr">
        <is>
          <t>VÄRMLANDS LÄN</t>
        </is>
      </c>
      <c r="G260" t="inlineStr">
        <is>
          <t>KARLSTAD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55250-2022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44887</v>
      </c>
      <c r="E261" s="1" t="n">
        <v>46289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46289</v>
      </c>
      <c r="F262" t="inlineStr">
        <is>
          <t>VÄRMLANDS LÄN</t>
        </is>
      </c>
      <c r="G262" t="inlineStr">
        <is>
          <t>KARLSTAD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46289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46289</v>
      </c>
      <c r="F264" t="inlineStr">
        <is>
          <t>VÄRMLANDS LÄN</t>
        </is>
      </c>
      <c r="G264" t="inlineStr">
        <is>
          <t>KARLSTAD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45320</v>
      </c>
      <c r="E265" s="1" t="n">
        <v>46289</v>
      </c>
      <c r="F265" t="inlineStr">
        <is>
          <t>VÄRMLANDS LÄN</t>
        </is>
      </c>
      <c r="G265" t="inlineStr">
        <is>
          <t>KARLSTAD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44629</v>
      </c>
      <c r="E266" s="1" t="n">
        <v>46289</v>
      </c>
      <c r="F266" t="inlineStr">
        <is>
          <t>VÄRMLANDS LÄN</t>
        </is>
      </c>
      <c r="G266" t="inlineStr">
        <is>
          <t>KARLSTAD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16560-2022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44672</v>
      </c>
      <c r="E267" s="1" t="n">
        <v>46289</v>
      </c>
      <c r="F267" t="inlineStr">
        <is>
          <t>VÄRMLANDS LÄN</t>
        </is>
      </c>
      <c r="G267" t="inlineStr">
        <is>
          <t>KARLSTAD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44566</v>
      </c>
      <c r="E268" s="1" t="n">
        <v>46289</v>
      </c>
      <c r="F268" t="inlineStr">
        <is>
          <t>VÄRMLANDS LÄN</t>
        </is>
      </c>
      <c r="G268" t="inlineStr">
        <is>
          <t>KARLSTAD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45616</v>
      </c>
      <c r="E269" s="1" t="n">
        <v>46289</v>
      </c>
      <c r="F269" t="inlineStr">
        <is>
          <t>VÄRMLANDS LÄN</t>
        </is>
      </c>
      <c r="G269" t="inlineStr">
        <is>
          <t>KARLSTAD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45533</v>
      </c>
      <c r="E270" s="1" t="n">
        <v>46289</v>
      </c>
      <c r="F270" t="inlineStr">
        <is>
          <t>VÄRMLANDS LÄN</t>
        </is>
      </c>
      <c r="G270" t="inlineStr">
        <is>
          <t>KARLSTAD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50236-2024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45600</v>
      </c>
      <c r="E271" s="1" t="n">
        <v>46289</v>
      </c>
      <c r="F271" t="inlineStr">
        <is>
          <t>VÄRMLANDS LÄN</t>
        </is>
      </c>
      <c r="G271" t="inlineStr">
        <is>
          <t>KARLSTAD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58456-2022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44902</v>
      </c>
      <c r="E272" s="1" t="n">
        <v>46289</v>
      </c>
      <c r="F272" t="inlineStr">
        <is>
          <t>VÄRMLANDS LÄN</t>
        </is>
      </c>
      <c r="G272" t="inlineStr">
        <is>
          <t>KARLSTAD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45217</v>
      </c>
      <c r="E273" s="1" t="n">
        <v>46289</v>
      </c>
      <c r="F273" t="inlineStr">
        <is>
          <t>VÄRMLANDS LÄN</t>
        </is>
      </c>
      <c r="G273" t="inlineStr">
        <is>
          <t>KARLSTAD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44727</v>
      </c>
      <c r="E274" s="1" t="n">
        <v>46289</v>
      </c>
      <c r="F274" t="inlineStr">
        <is>
          <t>VÄRMLANDS LÄN</t>
        </is>
      </c>
      <c r="G274" t="inlineStr">
        <is>
          <t>KARLSTAD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44634</v>
      </c>
      <c r="E275" s="1" t="n">
        <v>46289</v>
      </c>
      <c r="F275" t="inlineStr">
        <is>
          <t>VÄRMLANDS LÄN</t>
        </is>
      </c>
      <c r="G275" t="inlineStr">
        <is>
          <t>KARLSTAD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46289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44686</v>
      </c>
      <c r="E277" s="1" t="n">
        <v>46289</v>
      </c>
      <c r="F277" t="inlineStr">
        <is>
          <t>VÄRMLANDS LÄN</t>
        </is>
      </c>
      <c r="G277" t="inlineStr">
        <is>
          <t>KARLSTAD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45672</v>
      </c>
      <c r="E278" s="1" t="n">
        <v>46289</v>
      </c>
      <c r="F278" t="inlineStr">
        <is>
          <t>VÄRMLANDS LÄN</t>
        </is>
      </c>
      <c r="G278" t="inlineStr">
        <is>
          <t>KARLSTAD</t>
        </is>
      </c>
      <c r="H278" t="inlineStr">
        <is>
          <t>Övriga statliga verk och myndigheter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45371</v>
      </c>
      <c r="E279" s="1" t="n">
        <v>46289</v>
      </c>
      <c r="F279" t="inlineStr">
        <is>
          <t>VÄRMLANDS LÄN</t>
        </is>
      </c>
      <c r="G279" t="inlineStr">
        <is>
          <t>KARLSTAD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46289</v>
      </c>
      <c r="F280" t="inlineStr">
        <is>
          <t>VÄRMLANDS LÄN</t>
        </is>
      </c>
      <c r="G280" t="inlineStr">
        <is>
          <t>KARLSTAD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45175</v>
      </c>
      <c r="E281" s="1" t="n">
        <v>46289</v>
      </c>
      <c r="F281" t="inlineStr">
        <is>
          <t>VÄRMLANDS LÄN</t>
        </is>
      </c>
      <c r="G281" t="inlineStr">
        <is>
          <t>KARLSTAD</t>
        </is>
      </c>
      <c r="H281" t="inlineStr">
        <is>
          <t>Övriga Aktiebolag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46967-2023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45201</v>
      </c>
      <c r="E282" s="1" t="n">
        <v>46289</v>
      </c>
      <c r="F282" t="inlineStr">
        <is>
          <t>VÄRMLANDS LÄN</t>
        </is>
      </c>
      <c r="G282" t="inlineStr">
        <is>
          <t>KARLSTAD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44594</v>
      </c>
      <c r="E283" s="1" t="n">
        <v>46289</v>
      </c>
      <c r="F283" t="inlineStr">
        <is>
          <t>VÄRMLANDS LÄN</t>
        </is>
      </c>
      <c r="G283" t="inlineStr">
        <is>
          <t>KARLSTAD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46289</v>
      </c>
      <c r="F284" t="inlineStr">
        <is>
          <t>VÄRMLANDS LÄN</t>
        </is>
      </c>
      <c r="G284" t="inlineStr">
        <is>
          <t>KARLSTAD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7491-2022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46289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46289</v>
      </c>
      <c r="F286" t="inlineStr">
        <is>
          <t>VÄRMLANDS LÄN</t>
        </is>
      </c>
      <c r="G286" t="inlineStr">
        <is>
          <t>KARLSTAD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45077</v>
      </c>
      <c r="E287" s="1" t="n">
        <v>46289</v>
      </c>
      <c r="F287" t="inlineStr">
        <is>
          <t>VÄRMLANDS LÄN</t>
        </is>
      </c>
      <c r="G287" t="inlineStr">
        <is>
          <t>KARLSTAD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6323-2022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44600</v>
      </c>
      <c r="E288" s="1" t="n">
        <v>46289</v>
      </c>
      <c r="F288" t="inlineStr">
        <is>
          <t>VÄRMLANDS LÄN</t>
        </is>
      </c>
      <c r="G288" t="inlineStr">
        <is>
          <t>KARLSTAD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44979</v>
      </c>
      <c r="E289" s="1" t="n">
        <v>46289</v>
      </c>
      <c r="F289" t="inlineStr">
        <is>
          <t>VÄRMLANDS LÄN</t>
        </is>
      </c>
      <c r="G289" t="inlineStr">
        <is>
          <t>KARLSTAD</t>
        </is>
      </c>
      <c r="H289" t="inlineStr">
        <is>
          <t>Kyrkan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46289</v>
      </c>
      <c r="F290" t="inlineStr">
        <is>
          <t>VÄRMLANDS LÄN</t>
        </is>
      </c>
      <c r="G290" t="inlineStr">
        <is>
          <t>KARLSTAD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45049</v>
      </c>
      <c r="E291" s="1" t="n">
        <v>46289</v>
      </c>
      <c r="F291" t="inlineStr">
        <is>
          <t>VÄRMLANDS LÄN</t>
        </is>
      </c>
      <c r="G291" t="inlineStr">
        <is>
          <t>KARLSTAD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44593</v>
      </c>
      <c r="E292" s="1" t="n">
        <v>46289</v>
      </c>
      <c r="F292" t="inlineStr">
        <is>
          <t>VÄRMLANDS LÄN</t>
        </is>
      </c>
      <c r="G292" t="inlineStr">
        <is>
          <t>KARLSTAD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44634</v>
      </c>
      <c r="E293" s="1" t="n">
        <v>46289</v>
      </c>
      <c r="F293" t="inlineStr">
        <is>
          <t>VÄRMLANDS LÄN</t>
        </is>
      </c>
      <c r="G293" t="inlineStr">
        <is>
          <t>KARLSTAD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45095</v>
      </c>
      <c r="E294" s="1" t="n">
        <v>46289</v>
      </c>
      <c r="F294" t="inlineStr">
        <is>
          <t>VÄRMLANDS LÄN</t>
        </is>
      </c>
      <c r="G294" t="inlineStr">
        <is>
          <t>KARLSTAD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10931-2025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45723</v>
      </c>
      <c r="E295" s="1" t="n">
        <v>46289</v>
      </c>
      <c r="F295" t="inlineStr">
        <is>
          <t>VÄRMLANDS LÄN</t>
        </is>
      </c>
      <c r="G295" t="inlineStr">
        <is>
          <t>KARLSTAD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46289</v>
      </c>
      <c r="F296" t="inlineStr">
        <is>
          <t>VÄRMLANDS LÄN</t>
        </is>
      </c>
      <c r="G296" t="inlineStr">
        <is>
          <t>KARLSTAD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46289</v>
      </c>
      <c r="F297" t="inlineStr">
        <is>
          <t>VÄRMLANDS LÄN</t>
        </is>
      </c>
      <c r="G297" t="inlineStr">
        <is>
          <t>KARLSTAD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46289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16154-2022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44666</v>
      </c>
      <c r="E299" s="1" t="n">
        <v>46289</v>
      </c>
      <c r="F299" t="inlineStr">
        <is>
          <t>VÄRMLANDS LÄN</t>
        </is>
      </c>
      <c r="G299" t="inlineStr">
        <is>
          <t>KARLSTAD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45068</v>
      </c>
      <c r="E300" s="1" t="n">
        <v>46289</v>
      </c>
      <c r="F300" t="inlineStr">
        <is>
          <t>VÄRMLANDS LÄN</t>
        </is>
      </c>
      <c r="G300" t="inlineStr">
        <is>
          <t>KARLSTAD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63282-2023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45273</v>
      </c>
      <c r="E301" s="1" t="n">
        <v>46289</v>
      </c>
      <c r="F301" t="inlineStr">
        <is>
          <t>VÄRMLANDS LÄN</t>
        </is>
      </c>
      <c r="G301" t="inlineStr">
        <is>
          <t>KARLSTAD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46289</v>
      </c>
      <c r="F302" t="inlineStr">
        <is>
          <t>VÄRMLANDS LÄN</t>
        </is>
      </c>
      <c r="G302" t="inlineStr">
        <is>
          <t>KARLSTAD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45111</v>
      </c>
      <c r="E303" s="1" t="n">
        <v>46289</v>
      </c>
      <c r="F303" t="inlineStr">
        <is>
          <t>VÄRMLANDS LÄN</t>
        </is>
      </c>
      <c r="G303" t="inlineStr">
        <is>
          <t>KARLSTAD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46289</v>
      </c>
      <c r="F304" t="inlineStr">
        <is>
          <t>VÄRMLANDS LÄN</t>
        </is>
      </c>
      <c r="G304" t="inlineStr">
        <is>
          <t>KARLSTAD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46289</v>
      </c>
      <c r="F305" t="inlineStr">
        <is>
          <t>VÄRMLANDS LÄN</t>
        </is>
      </c>
      <c r="G305" t="inlineStr">
        <is>
          <t>KARLSTAD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46289</v>
      </c>
      <c r="F306" t="inlineStr">
        <is>
          <t>VÄRMLANDS LÄN</t>
        </is>
      </c>
      <c r="G306" t="inlineStr">
        <is>
          <t>KARLSTAD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45148</v>
      </c>
      <c r="E307" s="1" t="n">
        <v>46289</v>
      </c>
      <c r="F307" t="inlineStr">
        <is>
          <t>VÄRMLANDS LÄN</t>
        </is>
      </c>
      <c r="G307" t="inlineStr">
        <is>
          <t>KARLSTAD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45822</v>
      </c>
      <c r="E308" s="1" t="n">
        <v>46289</v>
      </c>
      <c r="F308" t="inlineStr">
        <is>
          <t>VÄRMLANDS LÄN</t>
        </is>
      </c>
      <c r="G308" t="inlineStr">
        <is>
          <t>KARLSTAD</t>
        </is>
      </c>
      <c r="I308" t="n">
        <v>23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55765-2024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45623</v>
      </c>
      <c r="E309" s="1" t="n">
        <v>46289</v>
      </c>
      <c r="F309" t="inlineStr">
        <is>
          <t>VÄRMLANDS LÄN</t>
        </is>
      </c>
      <c r="G309" t="inlineStr">
        <is>
          <t>KARLSTAD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46289</v>
      </c>
      <c r="F310" t="inlineStr">
        <is>
          <t>VÄRMLANDS LÄN</t>
        </is>
      </c>
      <c r="G310" t="inlineStr">
        <is>
          <t>KARLSTAD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46289</v>
      </c>
      <c r="F311" t="inlineStr">
        <is>
          <t>VÄRMLANDS LÄN</t>
        </is>
      </c>
      <c r="G311" t="inlineStr">
        <is>
          <t>KARLSTAD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46289</v>
      </c>
      <c r="F312" t="inlineStr">
        <is>
          <t>VÄRMLANDS LÄN</t>
        </is>
      </c>
      <c r="G312" t="inlineStr">
        <is>
          <t>KARLSTAD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46289</v>
      </c>
      <c r="F313" t="inlineStr">
        <is>
          <t>VÄRMLANDS LÄN</t>
        </is>
      </c>
      <c r="G313" t="inlineStr">
        <is>
          <t>KARLSTAD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46289</v>
      </c>
      <c r="F314" t="inlineStr">
        <is>
          <t>VÄRMLANDS LÄN</t>
        </is>
      </c>
      <c r="G314" t="inlineStr">
        <is>
          <t>KARLSTAD</t>
        </is>
      </c>
      <c r="H314" t="inlineStr">
        <is>
          <t>Naturvårdsverket</t>
        </is>
      </c>
      <c r="I314" t="n">
        <v>16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46289</v>
      </c>
      <c r="F315" t="inlineStr">
        <is>
          <t>VÄRMLANDS LÄN</t>
        </is>
      </c>
      <c r="G315" t="inlineStr">
        <is>
          <t>KARLSTAD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46289</v>
      </c>
      <c r="F316" t="inlineStr">
        <is>
          <t>VÄRMLANDS LÄN</t>
        </is>
      </c>
      <c r="G316" t="inlineStr">
        <is>
          <t>KARLSTAD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  <c r="Z316">
        <f>HYPERLINK("https://klasma.github.io/Logging_1780/knärot/A 57466-2025 karta knärot.png", "A 57466-2025")</f>
        <v/>
      </c>
      <c r="AA316">
        <f>HYPERLINK("https://klasma.github.io/Logging_1780/klagomål/A 57466-2025 FSC-klagomål.docx", "A 57466-2025")</f>
        <v/>
      </c>
      <c r="AB316">
        <f>HYPERLINK("https://klasma.github.io/Logging_1780/klagomålsmail/A 57466-2025 FSC-klagomål mail.docx", "A 57466-2025")</f>
        <v/>
      </c>
      <c r="AC316">
        <f>HYPERLINK("https://klasma.github.io/Logging_1780/tillsyn/A 57466-2025 tillsynsbegäran.docx", "A 57466-2025")</f>
        <v/>
      </c>
      <c r="AD316">
        <f>HYPERLINK("https://klasma.github.io/Logging_1780/tillsynsmail/A 57466-2025 tillsynsbegäran mail.docx", "A 57466-2025")</f>
        <v/>
      </c>
    </row>
    <row r="317" ht="15" customHeight="1">
      <c r="A317" t="inlineStr">
        <is>
          <t>A 6262-2025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45698</v>
      </c>
      <c r="E317" s="1" t="n">
        <v>46289</v>
      </c>
      <c r="F317" t="inlineStr">
        <is>
          <t>VÄRMLANDS LÄN</t>
        </is>
      </c>
      <c r="G317" t="inlineStr">
        <is>
          <t>KARLSTAD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55764-2022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46289</v>
      </c>
      <c r="F318" t="inlineStr">
        <is>
          <t>VÄRMLANDS LÄN</t>
        </is>
      </c>
      <c r="G318" t="inlineStr">
        <is>
          <t>KARLSTAD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  <c r="Z318">
        <f>HYPERLINK("https://klasma.github.io/Logging_1780/knärot/A 55764-2022 karta knärot.png", "A 55764-2022")</f>
        <v/>
      </c>
      <c r="AA318">
        <f>HYPERLINK("https://klasma.github.io/Logging_1780/klagomål/A 55764-2022 FSC-klagomål.docx", "A 55764-2022")</f>
        <v/>
      </c>
      <c r="AB318">
        <f>HYPERLINK("https://klasma.github.io/Logging_1780/klagomålsmail/A 55764-2022 FSC-klagomål mail.docx", "A 55764-2022")</f>
        <v/>
      </c>
      <c r="AC318">
        <f>HYPERLINK("https://klasma.github.io/Logging_1780/tillsyn/A 55764-2022 tillsynsbegäran.docx", "A 55764-2022")</f>
        <v/>
      </c>
      <c r="AD318">
        <f>HYPERLINK("https://klasma.github.io/Logging_1780/tillsynsmail/A 55764-2022 tillsynsbegäran mail.docx", "A 55764-2022")</f>
        <v/>
      </c>
    </row>
    <row r="319" ht="15" customHeight="1">
      <c r="A319" t="inlineStr">
        <is>
          <t>A 61009-2023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46289</v>
      </c>
      <c r="F319" t="inlineStr">
        <is>
          <t>VÄRMLANDS LÄN</t>
        </is>
      </c>
      <c r="G319" t="inlineStr">
        <is>
          <t>KARLSTAD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15836-2022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44664</v>
      </c>
      <c r="E320" s="1" t="n">
        <v>46289</v>
      </c>
      <c r="F320" t="inlineStr">
        <is>
          <t>VÄRMLANDS LÄN</t>
        </is>
      </c>
      <c r="G320" t="inlineStr">
        <is>
          <t>KARLSTAD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45618</v>
      </c>
      <c r="E321" s="1" t="n">
        <v>46289</v>
      </c>
      <c r="F321" t="inlineStr">
        <is>
          <t>VÄRMLANDS LÄN</t>
        </is>
      </c>
      <c r="G321" t="inlineStr">
        <is>
          <t>KARLSTAD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45175</v>
      </c>
      <c r="E322" s="1" t="n">
        <v>46289</v>
      </c>
      <c r="F322" t="inlineStr">
        <is>
          <t>VÄRMLANDS LÄN</t>
        </is>
      </c>
      <c r="G322" t="inlineStr">
        <is>
          <t>KARLSTAD</t>
        </is>
      </c>
      <c r="H322" t="inlineStr">
        <is>
          <t>Övriga Aktiebolag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46289</v>
      </c>
      <c r="F323" t="inlineStr">
        <is>
          <t>VÄRMLANDS LÄN</t>
        </is>
      </c>
      <c r="G323" t="inlineStr">
        <is>
          <t>KARLSTAD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45012</v>
      </c>
      <c r="E324" s="1" t="n">
        <v>46289</v>
      </c>
      <c r="F324" t="inlineStr">
        <is>
          <t>VÄRMLANDS LÄN</t>
        </is>
      </c>
      <c r="G324" t="inlineStr">
        <is>
          <t>KARLSTAD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46289</v>
      </c>
      <c r="F325" t="inlineStr">
        <is>
          <t>VÄRMLANDS LÄN</t>
        </is>
      </c>
      <c r="G325" t="inlineStr">
        <is>
          <t>KARLSTAD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45112</v>
      </c>
      <c r="E326" s="1" t="n">
        <v>46289</v>
      </c>
      <c r="F326" t="inlineStr">
        <is>
          <t>VÄRMLANDS LÄN</t>
        </is>
      </c>
      <c r="G326" t="inlineStr">
        <is>
          <t>KARLSTAD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50955-2025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45946</v>
      </c>
      <c r="E327" s="1" t="n">
        <v>46289</v>
      </c>
      <c r="F327" t="inlineStr">
        <is>
          <t>VÄRMLANDS LÄN</t>
        </is>
      </c>
      <c r="G327" t="inlineStr">
        <is>
          <t>KARLSTAD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46289</v>
      </c>
      <c r="F328" t="inlineStr">
        <is>
          <t>VÄRMLANDS LÄN</t>
        </is>
      </c>
      <c r="G328" t="inlineStr">
        <is>
          <t>KARLSTAD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46289</v>
      </c>
      <c r="F329" t="inlineStr">
        <is>
          <t>VÄRMLANDS LÄN</t>
        </is>
      </c>
      <c r="G329" t="inlineStr">
        <is>
          <t>KARLSTAD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50478-2024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46289</v>
      </c>
      <c r="F330" t="inlineStr">
        <is>
          <t>VÄRMLANDS LÄN</t>
        </is>
      </c>
      <c r="G330" t="inlineStr">
        <is>
          <t>KARLSTAD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46289</v>
      </c>
      <c r="F331" t="inlineStr">
        <is>
          <t>VÄRMLANDS LÄN</t>
        </is>
      </c>
      <c r="G331" t="inlineStr">
        <is>
          <t>KARLSTAD</t>
        </is>
      </c>
      <c r="I331" t="n">
        <v>22.7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44715</v>
      </c>
      <c r="E332" s="1" t="n">
        <v>46289</v>
      </c>
      <c r="F332" t="inlineStr">
        <is>
          <t>VÄRMLANDS LÄN</t>
        </is>
      </c>
      <c r="G332" t="inlineStr">
        <is>
          <t>KARLSTAD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26323-2022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44735</v>
      </c>
      <c r="E333" s="1" t="n">
        <v>46289</v>
      </c>
      <c r="F333" t="inlineStr">
        <is>
          <t>VÄRMLANDS LÄN</t>
        </is>
      </c>
      <c r="G333" t="inlineStr">
        <is>
          <t>KARLSTAD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21094-2023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45061</v>
      </c>
      <c r="E334" s="1" t="n">
        <v>46289</v>
      </c>
      <c r="F334" t="inlineStr">
        <is>
          <t>VÄRMLANDS LÄN</t>
        </is>
      </c>
      <c r="G334" t="inlineStr">
        <is>
          <t>KARLSTAD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12475-2023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44999</v>
      </c>
      <c r="E335" s="1" t="n">
        <v>46289</v>
      </c>
      <c r="F335" t="inlineStr">
        <is>
          <t>VÄRMLANDS LÄN</t>
        </is>
      </c>
      <c r="G335" t="inlineStr">
        <is>
          <t>KARLSTAD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61441-2024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45646</v>
      </c>
      <c r="E336" s="1" t="n">
        <v>46289</v>
      </c>
      <c r="F336" t="inlineStr">
        <is>
          <t>VÄRMLANDS LÄN</t>
        </is>
      </c>
      <c r="G336" t="inlineStr">
        <is>
          <t>KARLSTAD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45322</v>
      </c>
      <c r="E337" s="1" t="n">
        <v>46289</v>
      </c>
      <c r="F337" t="inlineStr">
        <is>
          <t>VÄRMLANDS LÄN</t>
        </is>
      </c>
      <c r="G337" t="inlineStr">
        <is>
          <t>KARLSTAD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46289</v>
      </c>
      <c r="F338" t="inlineStr">
        <is>
          <t>VÄRMLANDS LÄN</t>
        </is>
      </c>
      <c r="G338" t="inlineStr">
        <is>
          <t>KARLSTAD</t>
        </is>
      </c>
      <c r="I338" t="n">
        <v>21.7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65085-2023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45288</v>
      </c>
      <c r="E339" s="1" t="n">
        <v>46289</v>
      </c>
      <c r="F339" t="inlineStr">
        <is>
          <t>VÄRMLANDS LÄN</t>
        </is>
      </c>
      <c r="G339" t="inlineStr">
        <is>
          <t>KARLSTAD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60434-2025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45995</v>
      </c>
      <c r="E340" s="1" t="n">
        <v>46289</v>
      </c>
      <c r="F340" t="inlineStr">
        <is>
          <t>VÄRMLANDS LÄN</t>
        </is>
      </c>
      <c r="G340" t="inlineStr">
        <is>
          <t>KARLSTAD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8892-2025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45713</v>
      </c>
      <c r="E341" s="1" t="n">
        <v>46289</v>
      </c>
      <c r="F341" t="inlineStr">
        <is>
          <t>VÄRMLANDS LÄN</t>
        </is>
      </c>
      <c r="G341" t="inlineStr">
        <is>
          <t>KARLSTAD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46289</v>
      </c>
      <c r="F342" t="inlineStr">
        <is>
          <t>VÄRMLANDS LÄN</t>
        </is>
      </c>
      <c r="G342" t="inlineStr">
        <is>
          <t>KARLSTAD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46289</v>
      </c>
      <c r="F343" t="inlineStr">
        <is>
          <t>VÄRMLANDS LÄN</t>
        </is>
      </c>
      <c r="G343" t="inlineStr">
        <is>
          <t>KARLSTAD</t>
        </is>
      </c>
      <c r="H343" t="inlineStr">
        <is>
          <t>Kyrkan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51088-2023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45218</v>
      </c>
      <c r="E344" s="1" t="n">
        <v>46289</v>
      </c>
      <c r="F344" t="inlineStr">
        <is>
          <t>VÄRMLANDS LÄN</t>
        </is>
      </c>
      <c r="G344" t="inlineStr">
        <is>
          <t>KARLSTAD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46289</v>
      </c>
      <c r="F345" t="inlineStr">
        <is>
          <t>VÄRMLANDS LÄN</t>
        </is>
      </c>
      <c r="G345" t="inlineStr">
        <is>
          <t>KARLSTAD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29655-2022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44754</v>
      </c>
      <c r="E346" s="1" t="n">
        <v>46289</v>
      </c>
      <c r="F346" t="inlineStr">
        <is>
          <t>VÄRMLANDS LÄN</t>
        </is>
      </c>
      <c r="G346" t="inlineStr">
        <is>
          <t>KARLSTAD</t>
        </is>
      </c>
      <c r="H346" t="inlineStr">
        <is>
          <t>Kommuner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45833</v>
      </c>
      <c r="E347" s="1" t="n">
        <v>46289</v>
      </c>
      <c r="F347" t="inlineStr">
        <is>
          <t>VÄRMLANDS LÄN</t>
        </is>
      </c>
      <c r="G347" t="inlineStr">
        <is>
          <t>KARLSTAD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31833-2025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46289</v>
      </c>
      <c r="F348" t="inlineStr">
        <is>
          <t>VÄRMLANDS LÄN</t>
        </is>
      </c>
      <c r="G348" t="inlineStr">
        <is>
          <t>KARLSTAD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61673-2025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46002</v>
      </c>
      <c r="E349" s="1" t="n">
        <v>46289</v>
      </c>
      <c r="F349" t="inlineStr">
        <is>
          <t>VÄRMLANDS LÄN</t>
        </is>
      </c>
      <c r="G349" t="inlineStr">
        <is>
          <t>KARLSTAD</t>
        </is>
      </c>
      <c r="H349" t="inlineStr">
        <is>
          <t>Naturvårdsverket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46289</v>
      </c>
      <c r="F350" t="inlineStr">
        <is>
          <t>VÄRMLANDS LÄN</t>
        </is>
      </c>
      <c r="G350" t="inlineStr">
        <is>
          <t>KARLSTAD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61968-2025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46003</v>
      </c>
      <c r="E351" s="1" t="n">
        <v>46289</v>
      </c>
      <c r="F351" t="inlineStr">
        <is>
          <t>VÄRMLANDS LÄN</t>
        </is>
      </c>
      <c r="G351" t="inlineStr">
        <is>
          <t>KARLSTAD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46289</v>
      </c>
      <c r="F352" t="inlineStr">
        <is>
          <t>VÄRMLANDS LÄN</t>
        </is>
      </c>
      <c r="G352" t="inlineStr">
        <is>
          <t>KARLSTAD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45163</v>
      </c>
      <c r="E353" s="1" t="n">
        <v>46289</v>
      </c>
      <c r="F353" t="inlineStr">
        <is>
          <t>VÄRMLANDS LÄN</t>
        </is>
      </c>
      <c r="G353" t="inlineStr">
        <is>
          <t>KARLSTAD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45299</v>
      </c>
      <c r="E354" s="1" t="n">
        <v>46289</v>
      </c>
      <c r="F354" t="inlineStr">
        <is>
          <t>VÄRMLANDS LÄN</t>
        </is>
      </c>
      <c r="G354" t="inlineStr">
        <is>
          <t>KARLSTAD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32590-2025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46289</v>
      </c>
      <c r="F355" t="inlineStr">
        <is>
          <t>VÄRMLANDS LÄN</t>
        </is>
      </c>
      <c r="G355" t="inlineStr">
        <is>
          <t>KARLSTAD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46289</v>
      </c>
      <c r="F356" t="inlineStr">
        <is>
          <t>VÄRMLANDS LÄN</t>
        </is>
      </c>
      <c r="G356" t="inlineStr">
        <is>
          <t>KARLSTAD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45755</v>
      </c>
      <c r="E357" s="1" t="n">
        <v>46289</v>
      </c>
      <c r="F357" t="inlineStr">
        <is>
          <t>VÄRMLANDS LÄN</t>
        </is>
      </c>
      <c r="G357" t="inlineStr">
        <is>
          <t>KARLSTAD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63122-2025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46009</v>
      </c>
      <c r="E358" s="1" t="n">
        <v>46289</v>
      </c>
      <c r="F358" t="inlineStr">
        <is>
          <t>VÄRMLANDS LÄN</t>
        </is>
      </c>
      <c r="G358" t="inlineStr">
        <is>
          <t>KARLSTAD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45258</v>
      </c>
      <c r="E359" s="1" t="n">
        <v>46289</v>
      </c>
      <c r="F359" t="inlineStr">
        <is>
          <t>VÄRMLANDS LÄN</t>
        </is>
      </c>
      <c r="G359" t="inlineStr">
        <is>
          <t>KARLSTAD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46289</v>
      </c>
      <c r="F360" t="inlineStr">
        <is>
          <t>VÄRMLANDS LÄN</t>
        </is>
      </c>
      <c r="G360" t="inlineStr">
        <is>
          <t>KARLSTAD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44938</v>
      </c>
      <c r="E361" s="1" t="n">
        <v>46289</v>
      </c>
      <c r="F361" t="inlineStr">
        <is>
          <t>VÄRMLANDS LÄN</t>
        </is>
      </c>
      <c r="G361" t="inlineStr">
        <is>
          <t>KARLSTAD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55621-2022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44888</v>
      </c>
      <c r="E362" s="1" t="n">
        <v>46289</v>
      </c>
      <c r="F362" t="inlineStr">
        <is>
          <t>VÄRMLANDS LÄN</t>
        </is>
      </c>
      <c r="G362" t="inlineStr">
        <is>
          <t>KARLSTAD</t>
        </is>
      </c>
      <c r="H362" t="inlineStr">
        <is>
          <t>Bergvik skog väst AB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46289</v>
      </c>
      <c r="F363" t="inlineStr">
        <is>
          <t>VÄRMLANDS LÄN</t>
        </is>
      </c>
      <c r="G363" t="inlineStr">
        <is>
          <t>KARLSTAD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46289</v>
      </c>
      <c r="F364" t="inlineStr">
        <is>
          <t>VÄRMLANDS LÄN</t>
        </is>
      </c>
      <c r="G364" t="inlineStr">
        <is>
          <t>KARLSTAD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63120-2025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46289</v>
      </c>
      <c r="F365" t="inlineStr">
        <is>
          <t>VÄRMLANDS LÄN</t>
        </is>
      </c>
      <c r="G365" t="inlineStr">
        <is>
          <t>KARLSTAD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46289</v>
      </c>
      <c r="F366" t="inlineStr">
        <is>
          <t>VÄRMLANDS LÄN</t>
        </is>
      </c>
      <c r="G366" t="inlineStr">
        <is>
          <t>KARLSTAD</t>
        </is>
      </c>
      <c r="H366" t="inlineStr">
        <is>
          <t>Kommuner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46289</v>
      </c>
      <c r="F367" t="inlineStr">
        <is>
          <t>VÄRMLANDS LÄN</t>
        </is>
      </c>
      <c r="G367" t="inlineStr">
        <is>
          <t>KARLSTAD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45487</v>
      </c>
      <c r="E368" s="1" t="n">
        <v>46289</v>
      </c>
      <c r="F368" t="inlineStr">
        <is>
          <t>VÄRMLANDS LÄN</t>
        </is>
      </c>
      <c r="G368" t="inlineStr">
        <is>
          <t>KARLSTAD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46049</v>
      </c>
      <c r="E369" s="1" t="n">
        <v>46289</v>
      </c>
      <c r="F369" t="inlineStr">
        <is>
          <t>VÄRMLANDS LÄN</t>
        </is>
      </c>
      <c r="G369" t="inlineStr">
        <is>
          <t>KARLSTAD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46020</v>
      </c>
      <c r="E370" s="1" t="n">
        <v>46289</v>
      </c>
      <c r="F370" t="inlineStr">
        <is>
          <t>VÄRMLANDS LÄN</t>
        </is>
      </c>
      <c r="G370" t="inlineStr">
        <is>
          <t>KARLSTAD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46289</v>
      </c>
      <c r="F371" t="inlineStr">
        <is>
          <t>VÄRMLANDS LÄN</t>
        </is>
      </c>
      <c r="G371" t="inlineStr">
        <is>
          <t>KARLSTAD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46289</v>
      </c>
      <c r="F372" t="inlineStr">
        <is>
          <t>VÄRMLANDS LÄN</t>
        </is>
      </c>
      <c r="G372" t="inlineStr">
        <is>
          <t>KARLSTAD</t>
        </is>
      </c>
      <c r="H372" t="inlineStr">
        <is>
          <t>Naturvårdsverket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45693</v>
      </c>
      <c r="E373" s="1" t="n">
        <v>46289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72072-2021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44544</v>
      </c>
      <c r="E374" s="1" t="n">
        <v>46289</v>
      </c>
      <c r="F374" t="inlineStr">
        <is>
          <t>VÄRMLANDS LÄN</t>
        </is>
      </c>
      <c r="G374" t="inlineStr">
        <is>
          <t>KARLSTAD</t>
        </is>
      </c>
      <c r="H374" t="inlineStr">
        <is>
          <t>Kommuner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33807-2024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45520</v>
      </c>
      <c r="E375" s="1" t="n">
        <v>46289</v>
      </c>
      <c r="F375" t="inlineStr">
        <is>
          <t>VÄRMLANDS LÄN</t>
        </is>
      </c>
      <c r="G375" t="inlineStr">
        <is>
          <t>KARLSTAD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59295-2022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44904</v>
      </c>
      <c r="E376" s="1" t="n">
        <v>46289</v>
      </c>
      <c r="F376" t="inlineStr">
        <is>
          <t>VÄRMLANDS LÄN</t>
        </is>
      </c>
      <c r="G376" t="inlineStr">
        <is>
          <t>KARLSTAD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46289</v>
      </c>
      <c r="F377" t="inlineStr">
        <is>
          <t>VÄRMLANDS LÄN</t>
        </is>
      </c>
      <c r="G377" t="inlineStr">
        <is>
          <t>KARLSTAD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46176-2024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45581</v>
      </c>
      <c r="E378" s="1" t="n">
        <v>46289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46289</v>
      </c>
      <c r="F379" t="inlineStr">
        <is>
          <t>VÄRMLANDS LÄN</t>
        </is>
      </c>
      <c r="G379" t="inlineStr">
        <is>
          <t>KARLSTAD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53048-2022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44876</v>
      </c>
      <c r="E380" s="1" t="n">
        <v>46289</v>
      </c>
      <c r="F380" t="inlineStr">
        <is>
          <t>VÄRMLANDS LÄN</t>
        </is>
      </c>
      <c r="G380" t="inlineStr">
        <is>
          <t>KARLSTAD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8656-2026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46289</v>
      </c>
      <c r="F381" t="inlineStr">
        <is>
          <t>VÄRMLANDS LÄN</t>
        </is>
      </c>
      <c r="G381" t="inlineStr">
        <is>
          <t>KARLSTAD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46289</v>
      </c>
      <c r="F382" t="inlineStr">
        <is>
          <t>VÄRMLANDS LÄN</t>
        </is>
      </c>
      <c r="G382" t="inlineStr">
        <is>
          <t>KARLSTAD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9075-2026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46069</v>
      </c>
      <c r="E383" s="1" t="n">
        <v>46289</v>
      </c>
      <c r="F383" t="inlineStr">
        <is>
          <t>VÄRMLANDS LÄN</t>
        </is>
      </c>
      <c r="G383" t="inlineStr">
        <is>
          <t>KARLSTAD</t>
        </is>
      </c>
      <c r="I383" t="n">
        <v>8.6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61005-2023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45261</v>
      </c>
      <c r="E384" s="1" t="n">
        <v>46289</v>
      </c>
      <c r="F384" t="inlineStr">
        <is>
          <t>VÄRMLANDS LÄN</t>
        </is>
      </c>
      <c r="G384" t="inlineStr">
        <is>
          <t>KARLSTAD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45175</v>
      </c>
      <c r="E385" s="1" t="n">
        <v>46289</v>
      </c>
      <c r="F385" t="inlineStr">
        <is>
          <t>VÄRMLANDS LÄN</t>
        </is>
      </c>
      <c r="G385" t="inlineStr">
        <is>
          <t>KARLSTAD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41376-2024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45559</v>
      </c>
      <c r="E386" s="1" t="n">
        <v>46289</v>
      </c>
      <c r="F386" t="inlineStr">
        <is>
          <t>VÄRMLANDS LÄN</t>
        </is>
      </c>
      <c r="G386" t="inlineStr">
        <is>
          <t>KARLSTAD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59626-2021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44491</v>
      </c>
      <c r="E387" s="1" t="n">
        <v>46289</v>
      </c>
      <c r="F387" t="inlineStr">
        <is>
          <t>VÄRMLANDS LÄN</t>
        </is>
      </c>
      <c r="G387" t="inlineStr">
        <is>
          <t>KARLSTAD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45622</v>
      </c>
      <c r="E388" s="1" t="n">
        <v>46289</v>
      </c>
      <c r="F388" t="inlineStr">
        <is>
          <t>VÄRMLANDS LÄN</t>
        </is>
      </c>
      <c r="G388" t="inlineStr">
        <is>
          <t>KARLSTAD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11342-2026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46082</v>
      </c>
      <c r="E389" s="1" t="n">
        <v>46289</v>
      </c>
      <c r="F389" t="inlineStr">
        <is>
          <t>VÄRMLANDS LÄN</t>
        </is>
      </c>
      <c r="G389" t="inlineStr">
        <is>
          <t>KARLSTAD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44945</v>
      </c>
      <c r="E390" s="1" t="n">
        <v>46289</v>
      </c>
      <c r="F390" t="inlineStr">
        <is>
          <t>VÄRMLANDS LÄN</t>
        </is>
      </c>
      <c r="G390" t="inlineStr">
        <is>
          <t>KARLSTAD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5056-2022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44593</v>
      </c>
      <c r="E391" s="1" t="n">
        <v>46289</v>
      </c>
      <c r="F391" t="inlineStr">
        <is>
          <t>VÄRMLANDS LÄN</t>
        </is>
      </c>
      <c r="G391" t="inlineStr">
        <is>
          <t>KARLSTAD</t>
        </is>
      </c>
      <c r="H391" t="inlineStr">
        <is>
          <t>Kommuner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46086</v>
      </c>
      <c r="E392" s="1" t="n">
        <v>46289</v>
      </c>
      <c r="F392" t="inlineStr">
        <is>
          <t>VÄRMLANDS LÄN</t>
        </is>
      </c>
      <c r="G392" t="inlineStr">
        <is>
          <t>KARLSTAD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45572</v>
      </c>
      <c r="E393" s="1" t="n">
        <v>46289</v>
      </c>
      <c r="F393" t="inlineStr">
        <is>
          <t>VÄRMLANDS LÄN</t>
        </is>
      </c>
      <c r="G393" t="inlineStr">
        <is>
          <t>KARLSTAD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45062</v>
      </c>
      <c r="E394" s="1" t="n">
        <v>46289</v>
      </c>
      <c r="F394" t="inlineStr">
        <is>
          <t>VÄRMLANDS LÄN</t>
        </is>
      </c>
      <c r="G394" t="inlineStr">
        <is>
          <t>KARLSTAD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45583</v>
      </c>
      <c r="E395" s="1" t="n">
        <v>46289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46092</v>
      </c>
      <c r="E396" s="1" t="n">
        <v>46289</v>
      </c>
      <c r="F396" t="inlineStr">
        <is>
          <t>VÄRMLANDS LÄN</t>
        </is>
      </c>
      <c r="G396" t="inlineStr">
        <is>
          <t>KARLSTAD</t>
        </is>
      </c>
      <c r="H396" t="inlineStr">
        <is>
          <t>Bergvik skog väst AB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14467-2022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44654</v>
      </c>
      <c r="E397" s="1" t="n">
        <v>46289</v>
      </c>
      <c r="F397" t="inlineStr">
        <is>
          <t>VÄRMLANDS LÄN</t>
        </is>
      </c>
      <c r="G397" t="inlineStr">
        <is>
          <t>KARLSTAD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12903-2026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46092</v>
      </c>
      <c r="E398" s="1" t="n">
        <v>46289</v>
      </c>
      <c r="F398" t="inlineStr">
        <is>
          <t>VÄRMLANDS LÄN</t>
        </is>
      </c>
      <c r="G398" t="inlineStr">
        <is>
          <t>KARLSTAD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57780-2021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44484</v>
      </c>
      <c r="E399" s="1" t="n">
        <v>46289</v>
      </c>
      <c r="F399" t="inlineStr">
        <is>
          <t>VÄRMLANDS LÄN</t>
        </is>
      </c>
      <c r="G399" t="inlineStr">
        <is>
          <t>KARLSTAD</t>
        </is>
      </c>
      <c r="H399" t="inlineStr">
        <is>
          <t>Kommuner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46289</v>
      </c>
      <c r="F400" t="inlineStr">
        <is>
          <t>VÄRMLANDS LÄN</t>
        </is>
      </c>
      <c r="G400" t="inlineStr">
        <is>
          <t>KARLSTAD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46289</v>
      </c>
      <c r="F401" t="inlineStr">
        <is>
          <t>VÄRMLANDS LÄN</t>
        </is>
      </c>
      <c r="G401" t="inlineStr">
        <is>
          <t>KARLSTAD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41654-2024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45560</v>
      </c>
      <c r="E402" s="1" t="n">
        <v>46289</v>
      </c>
      <c r="F402" t="inlineStr">
        <is>
          <t>VÄRMLANDS LÄN</t>
        </is>
      </c>
      <c r="G402" t="inlineStr">
        <is>
          <t>KARLSTAD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57100-2022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44895</v>
      </c>
      <c r="E403" s="1" t="n">
        <v>46289</v>
      </c>
      <c r="F403" t="inlineStr">
        <is>
          <t>VÄRMLANDS LÄN</t>
        </is>
      </c>
      <c r="G403" t="inlineStr">
        <is>
          <t>KARLSTAD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70127-2021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44533</v>
      </c>
      <c r="E404" s="1" t="n">
        <v>46289</v>
      </c>
      <c r="F404" t="inlineStr">
        <is>
          <t>VÄRMLANDS LÄN</t>
        </is>
      </c>
      <c r="G404" t="inlineStr">
        <is>
          <t>KARLSTAD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46289</v>
      </c>
      <c r="F405" t="inlineStr">
        <is>
          <t>VÄRMLANDS LÄN</t>
        </is>
      </c>
      <c r="G405" t="inlineStr">
        <is>
          <t>KARLSTAD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14079-2026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46099</v>
      </c>
      <c r="E406" s="1" t="n">
        <v>46289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14433-2026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46289</v>
      </c>
      <c r="F407" t="inlineStr">
        <is>
          <t>VÄRMLANDS LÄN</t>
        </is>
      </c>
      <c r="G407" t="inlineStr">
        <is>
          <t>KARLSTAD</t>
        </is>
      </c>
      <c r="H407" t="inlineStr">
        <is>
          <t>Bergvik skog väst AB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28154-2022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46289</v>
      </c>
      <c r="F408" t="inlineStr">
        <is>
          <t>VÄRMLANDS LÄN</t>
        </is>
      </c>
      <c r="G408" t="inlineStr">
        <is>
          <t>KARLSTAD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14468-2026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46289</v>
      </c>
      <c r="F409" t="inlineStr">
        <is>
          <t>VÄRMLANDS LÄN</t>
        </is>
      </c>
      <c r="G409" t="inlineStr">
        <is>
          <t>KARLSTAD</t>
        </is>
      </c>
      <c r="H409" t="inlineStr">
        <is>
          <t>Bergvik skog väst AB</t>
        </is>
      </c>
      <c r="I409" t="n">
        <v>10.9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19666-2023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45051</v>
      </c>
      <c r="E410" s="1" t="n">
        <v>46289</v>
      </c>
      <c r="F410" t="inlineStr">
        <is>
          <t>VÄRMLANDS LÄN</t>
        </is>
      </c>
      <c r="G410" t="inlineStr">
        <is>
          <t>KARLSTAD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14890-2026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46104</v>
      </c>
      <c r="E411" s="1" t="n">
        <v>46289</v>
      </c>
      <c r="F411" t="inlineStr">
        <is>
          <t>VÄRMLANDS LÄN</t>
        </is>
      </c>
      <c r="G411" t="inlineStr">
        <is>
          <t>KARLSTAD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45307</v>
      </c>
      <c r="E412" s="1" t="n">
        <v>46289</v>
      </c>
      <c r="F412" t="inlineStr">
        <is>
          <t>VÄRMLANDS LÄN</t>
        </is>
      </c>
      <c r="G412" t="inlineStr">
        <is>
          <t>KARLSTAD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46289</v>
      </c>
      <c r="F413" t="inlineStr">
        <is>
          <t>VÄRMLANDS LÄN</t>
        </is>
      </c>
      <c r="G413" t="inlineStr">
        <is>
          <t>KARLSTAD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46289</v>
      </c>
      <c r="F414" t="inlineStr">
        <is>
          <t>VÄRMLANDS LÄN</t>
        </is>
      </c>
      <c r="G414" t="inlineStr">
        <is>
          <t>KARLSTAD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60724-2022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44913</v>
      </c>
      <c r="E415" s="1" t="n">
        <v>46289</v>
      </c>
      <c r="F415" t="inlineStr">
        <is>
          <t>VÄRMLANDS LÄN</t>
        </is>
      </c>
      <c r="G415" t="inlineStr">
        <is>
          <t>KARLSTAD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45520</v>
      </c>
      <c r="E416" s="1" t="n">
        <v>46289</v>
      </c>
      <c r="F416" t="inlineStr">
        <is>
          <t>VÄRMLANDS LÄN</t>
        </is>
      </c>
      <c r="G416" t="inlineStr">
        <is>
          <t>KARLSTAD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36399-2023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46289</v>
      </c>
      <c r="F417" t="inlineStr">
        <is>
          <t>VÄRMLANDS LÄN</t>
        </is>
      </c>
      <c r="G417" t="inlineStr">
        <is>
          <t>KARLSTAD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46289</v>
      </c>
      <c r="F418" t="inlineStr">
        <is>
          <t>VÄRMLANDS LÄN</t>
        </is>
      </c>
      <c r="G418" t="inlineStr">
        <is>
          <t>KARLSTAD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15772-2026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46107</v>
      </c>
      <c r="E419" s="1" t="n">
        <v>46289</v>
      </c>
      <c r="F419" t="inlineStr">
        <is>
          <t>VÄRMLANDS LÄN</t>
        </is>
      </c>
      <c r="G419" t="inlineStr">
        <is>
          <t>KARLSTAD</t>
        </is>
      </c>
      <c r="H419" t="inlineStr">
        <is>
          <t>Bergvik skog väst AB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37076-2023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46289</v>
      </c>
      <c r="F420" t="inlineStr">
        <is>
          <t>VÄRMLANDS LÄN</t>
        </is>
      </c>
      <c r="G420" t="inlineStr">
        <is>
          <t>KARLSTAD</t>
        </is>
      </c>
      <c r="H420" t="inlineStr">
        <is>
          <t>Övriga statliga verk och myndigheter</t>
        </is>
      </c>
      <c r="I420" t="n">
        <v>11.6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45114</v>
      </c>
      <c r="E421" s="1" t="n">
        <v>46289</v>
      </c>
      <c r="F421" t="inlineStr">
        <is>
          <t>VÄRMLANDS LÄN</t>
        </is>
      </c>
      <c r="G421" t="inlineStr">
        <is>
          <t>KARLSTAD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44573</v>
      </c>
      <c r="E422" s="1" t="n">
        <v>46289</v>
      </c>
      <c r="F422" t="inlineStr">
        <is>
          <t>VÄRMLANDS LÄN</t>
        </is>
      </c>
      <c r="G422" t="inlineStr">
        <is>
          <t>KARLSTAD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46019-2023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46289</v>
      </c>
      <c r="F423" t="inlineStr">
        <is>
          <t>VÄRMLANDS LÄN</t>
        </is>
      </c>
      <c r="G423" t="inlineStr">
        <is>
          <t>KARLSTAD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39958-2023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46289</v>
      </c>
      <c r="F424" t="inlineStr">
        <is>
          <t>VÄRMLANDS LÄN</t>
        </is>
      </c>
      <c r="G424" t="inlineStr">
        <is>
          <t>KARLSTAD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17108-2026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46114</v>
      </c>
      <c r="E425" s="1" t="n">
        <v>46289</v>
      </c>
      <c r="F425" t="inlineStr">
        <is>
          <t>VÄRMLANDS LÄN</t>
        </is>
      </c>
      <c r="G425" t="inlineStr">
        <is>
          <t>KARLSTAD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69008-2021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44530</v>
      </c>
      <c r="E426" s="1" t="n">
        <v>46289</v>
      </c>
      <c r="F426" t="inlineStr">
        <is>
          <t>VÄRMLANDS LÄN</t>
        </is>
      </c>
      <c r="G426" t="inlineStr">
        <is>
          <t>KARLSTAD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25799-2022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44708</v>
      </c>
      <c r="E427" s="1" t="n">
        <v>46289</v>
      </c>
      <c r="F427" t="inlineStr">
        <is>
          <t>VÄRMLANDS LÄN</t>
        </is>
      </c>
      <c r="G427" t="inlineStr">
        <is>
          <t>KARLSTAD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56643-2022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46289</v>
      </c>
      <c r="F428" t="inlineStr">
        <is>
          <t>VÄRMLANDS LÄN</t>
        </is>
      </c>
      <c r="G428" t="inlineStr">
        <is>
          <t>KARLSTAD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72772-2021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44547</v>
      </c>
      <c r="E429" s="1" t="n">
        <v>46289</v>
      </c>
      <c r="F429" t="inlineStr">
        <is>
          <t>VÄRMLANDS LÄN</t>
        </is>
      </c>
      <c r="G429" t="inlineStr">
        <is>
          <t>KARLSTAD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45641</v>
      </c>
      <c r="E430" s="1" t="n">
        <v>46289</v>
      </c>
      <c r="F430" t="inlineStr">
        <is>
          <t>VÄRMLANDS LÄN</t>
        </is>
      </c>
      <c r="G430" t="inlineStr">
        <is>
          <t>KARLSTAD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56327-2023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45243</v>
      </c>
      <c r="E431" s="1" t="n">
        <v>46289</v>
      </c>
      <c r="F431" t="inlineStr">
        <is>
          <t>VÄRMLANDS LÄN</t>
        </is>
      </c>
      <c r="G431" t="inlineStr">
        <is>
          <t>KARLSTAD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46961-2023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46289</v>
      </c>
      <c r="F432" t="inlineStr">
        <is>
          <t>VÄRMLANDS LÄN</t>
        </is>
      </c>
      <c r="G432" t="inlineStr">
        <is>
          <t>KARLSTAD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45099</v>
      </c>
      <c r="E433" s="1" t="n">
        <v>46289</v>
      </c>
      <c r="F433" t="inlineStr">
        <is>
          <t>VÄRMLANDS LÄN</t>
        </is>
      </c>
      <c r="G433" t="inlineStr">
        <is>
          <t>KARLSTAD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65086-2023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45288</v>
      </c>
      <c r="E434" s="1" t="n">
        <v>46289</v>
      </c>
      <c r="F434" t="inlineStr">
        <is>
          <t>VÄRMLANDS LÄN</t>
        </is>
      </c>
      <c r="G434" t="inlineStr">
        <is>
          <t>KARLSTAD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45299</v>
      </c>
      <c r="E435" s="1" t="n">
        <v>46289</v>
      </c>
      <c r="F435" t="inlineStr">
        <is>
          <t>VÄRMLANDS LÄN</t>
        </is>
      </c>
      <c r="G435" t="inlineStr">
        <is>
          <t>KARLSTAD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46125</v>
      </c>
      <c r="E436" s="1" t="n">
        <v>46289</v>
      </c>
      <c r="F436" t="inlineStr">
        <is>
          <t>VÄRMLANDS LÄN</t>
        </is>
      </c>
      <c r="G436" t="inlineStr">
        <is>
          <t>KARLSTAD</t>
        </is>
      </c>
      <c r="H436" t="inlineStr">
        <is>
          <t>Bergvik skog väst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33515-2023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45131</v>
      </c>
      <c r="E437" s="1" t="n">
        <v>46289</v>
      </c>
      <c r="F437" t="inlineStr">
        <is>
          <t>VÄRMLANDS LÄN</t>
        </is>
      </c>
      <c r="G437" t="inlineStr">
        <is>
          <t>KARLSTAD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34321-2024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45524</v>
      </c>
      <c r="E438" s="1" t="n">
        <v>46289</v>
      </c>
      <c r="F438" t="inlineStr">
        <is>
          <t>VÄRMLANDS LÄN</t>
        </is>
      </c>
      <c r="G438" t="inlineStr">
        <is>
          <t>KARLSTAD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46289</v>
      </c>
      <c r="F439" t="inlineStr">
        <is>
          <t>VÄRMLANDS LÄN</t>
        </is>
      </c>
      <c r="G439" t="inlineStr">
        <is>
          <t>KARLSTAD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46289</v>
      </c>
      <c r="F440" t="inlineStr">
        <is>
          <t>VÄRMLANDS LÄN</t>
        </is>
      </c>
      <c r="G440" t="inlineStr">
        <is>
          <t>KARLSTAD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13863-2023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45007</v>
      </c>
      <c r="E441" s="1" t="n">
        <v>46289</v>
      </c>
      <c r="F441" t="inlineStr">
        <is>
          <t>VÄRMLANDS LÄN</t>
        </is>
      </c>
      <c r="G441" t="inlineStr">
        <is>
          <t>KARLSTAD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45390</v>
      </c>
      <c r="E442" s="1" t="n">
        <v>46289</v>
      </c>
      <c r="F442" t="inlineStr">
        <is>
          <t>VÄRMLANDS LÄN</t>
        </is>
      </c>
      <c r="G442" t="inlineStr">
        <is>
          <t>KARLSTAD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44952</v>
      </c>
      <c r="E443" s="1" t="n">
        <v>46289</v>
      </c>
      <c r="F443" t="inlineStr">
        <is>
          <t>VÄRMLANDS LÄN</t>
        </is>
      </c>
      <c r="G443" t="inlineStr">
        <is>
          <t>KARLSTAD</t>
        </is>
      </c>
      <c r="I443" t="n">
        <v>10.7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44937</v>
      </c>
      <c r="E444" s="1" t="n">
        <v>46289</v>
      </c>
      <c r="F444" t="inlineStr">
        <is>
          <t>VÄRMLANDS LÄN</t>
        </is>
      </c>
      <c r="G444" t="inlineStr">
        <is>
          <t>KARLSTAD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22242-2025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45785</v>
      </c>
      <c r="E445" s="1" t="n">
        <v>46289</v>
      </c>
      <c r="F445" t="inlineStr">
        <is>
          <t>VÄRMLANDS LÄN</t>
        </is>
      </c>
      <c r="G445" t="inlineStr">
        <is>
          <t>KARLSTAD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12029-2023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44995</v>
      </c>
      <c r="E446" s="1" t="n">
        <v>46289</v>
      </c>
      <c r="F446" t="inlineStr">
        <is>
          <t>VÄRMLANDS LÄN</t>
        </is>
      </c>
      <c r="G446" t="inlineStr">
        <is>
          <t>KARLSTAD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45049</v>
      </c>
      <c r="E447" s="1" t="n">
        <v>46289</v>
      </c>
      <c r="F447" t="inlineStr">
        <is>
          <t>VÄRMLANDS LÄN</t>
        </is>
      </c>
      <c r="G447" t="inlineStr">
        <is>
          <t>KARLSTAD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42684-2025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45908</v>
      </c>
      <c r="E448" s="1" t="n">
        <v>46289</v>
      </c>
      <c r="F448" t="inlineStr">
        <is>
          <t>VÄRMLANDS LÄN</t>
        </is>
      </c>
      <c r="G448" t="inlineStr">
        <is>
          <t>KARLSTAD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45880</v>
      </c>
      <c r="E449" s="1" t="n">
        <v>46289</v>
      </c>
      <c r="F449" t="inlineStr">
        <is>
          <t>VÄRMLANDS LÄN</t>
        </is>
      </c>
      <c r="G449" t="inlineStr">
        <is>
          <t>KARLSTAD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38023-2023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45160</v>
      </c>
      <c r="E450" s="1" t="n">
        <v>46289</v>
      </c>
      <c r="F450" t="inlineStr">
        <is>
          <t>VÄRMLANDS LÄN</t>
        </is>
      </c>
      <c r="G450" t="inlineStr">
        <is>
          <t>KARLSTAD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54611-2024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45617</v>
      </c>
      <c r="E451" s="1" t="n">
        <v>46289</v>
      </c>
      <c r="F451" t="inlineStr">
        <is>
          <t>VÄRMLANDS LÄN</t>
        </is>
      </c>
      <c r="G451" t="inlineStr">
        <is>
          <t>KARLSTAD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46289</v>
      </c>
      <c r="F452" t="inlineStr">
        <is>
          <t>VÄRMLANDS LÄN</t>
        </is>
      </c>
      <c r="G452" t="inlineStr">
        <is>
          <t>KARLSTAD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10511-2024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45366</v>
      </c>
      <c r="E453" s="1" t="n">
        <v>46289</v>
      </c>
      <c r="F453" t="inlineStr">
        <is>
          <t>VÄRMLANDS LÄN</t>
        </is>
      </c>
      <c r="G453" t="inlineStr">
        <is>
          <t>KARLSTAD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25558-2025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45803</v>
      </c>
      <c r="E454" s="1" t="n">
        <v>46289</v>
      </c>
      <c r="F454" t="inlineStr">
        <is>
          <t>VÄRMLANDS LÄN</t>
        </is>
      </c>
      <c r="G454" t="inlineStr">
        <is>
          <t>KARLSTAD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37932-2025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45881</v>
      </c>
      <c r="E455" s="1" t="n">
        <v>46289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46289</v>
      </c>
      <c r="F456" t="inlineStr">
        <is>
          <t>VÄRMLANDS LÄN</t>
        </is>
      </c>
      <c r="G456" t="inlineStr">
        <is>
          <t>KARLSTAD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46289</v>
      </c>
      <c r="F457" t="inlineStr">
        <is>
          <t>VÄRMLANDS LÄN</t>
        </is>
      </c>
      <c r="G457" t="inlineStr">
        <is>
          <t>KARLSTAD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46289</v>
      </c>
      <c r="F458" t="inlineStr">
        <is>
          <t>VÄRMLANDS LÄN</t>
        </is>
      </c>
      <c r="G458" t="inlineStr">
        <is>
          <t>KARLSTAD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45877</v>
      </c>
      <c r="E459" s="1" t="n">
        <v>46289</v>
      </c>
      <c r="F459" t="inlineStr">
        <is>
          <t>VÄRMLANDS LÄN</t>
        </is>
      </c>
      <c r="G459" t="inlineStr">
        <is>
          <t>KARLSTAD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57153-2024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45629</v>
      </c>
      <c r="E460" s="1" t="n">
        <v>46289</v>
      </c>
      <c r="F460" t="inlineStr">
        <is>
          <t>VÄRMLANDS LÄN</t>
        </is>
      </c>
      <c r="G460" t="inlineStr">
        <is>
          <t>KARLSTAD</t>
        </is>
      </c>
      <c r="I460" t="n">
        <v>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42174-2025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45904</v>
      </c>
      <c r="E461" s="1" t="n">
        <v>46289</v>
      </c>
      <c r="F461" t="inlineStr">
        <is>
          <t>VÄRMLANDS LÄN</t>
        </is>
      </c>
      <c r="G461" t="inlineStr">
        <is>
          <t>KARLSTAD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45688</v>
      </c>
      <c r="E462" s="1" t="n">
        <v>46289</v>
      </c>
      <c r="F462" t="inlineStr">
        <is>
          <t>VÄRMLANDS LÄN</t>
        </is>
      </c>
      <c r="G462" t="inlineStr">
        <is>
          <t>KARLSTAD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45141</v>
      </c>
      <c r="E463" s="1" t="n">
        <v>46289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34727-2023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45141</v>
      </c>
      <c r="E464" s="1" t="n">
        <v>46289</v>
      </c>
      <c r="F464" t="inlineStr">
        <is>
          <t>VÄRMLANDS LÄN</t>
        </is>
      </c>
      <c r="G464" t="inlineStr">
        <is>
          <t>KARLSTAD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44896</v>
      </c>
      <c r="E465" s="1" t="n">
        <v>46289</v>
      </c>
      <c r="F465" t="inlineStr">
        <is>
          <t>VÄRMLANDS LÄN</t>
        </is>
      </c>
      <c r="G465" t="inlineStr">
        <is>
          <t>KARLSTAD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16421-2025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45751</v>
      </c>
      <c r="E466" s="1" t="n">
        <v>46289</v>
      </c>
      <c r="F466" t="inlineStr">
        <is>
          <t>VÄRMLANDS LÄN</t>
        </is>
      </c>
      <c r="G466" t="inlineStr">
        <is>
          <t>KARLSTAD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16952-2024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45411</v>
      </c>
      <c r="E467" s="1" t="n">
        <v>46289</v>
      </c>
      <c r="F467" t="inlineStr">
        <is>
          <t>VÄRMLANDS LÄN</t>
        </is>
      </c>
      <c r="G467" t="inlineStr">
        <is>
          <t>KARLSTAD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45260</v>
      </c>
      <c r="E468" s="1" t="n">
        <v>46289</v>
      </c>
      <c r="F468" t="inlineStr">
        <is>
          <t>VÄRMLANDS LÄN</t>
        </is>
      </c>
      <c r="G468" t="inlineStr">
        <is>
          <t>KARLSTAD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45265-2023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45187</v>
      </c>
      <c r="E469" s="1" t="n">
        <v>46289</v>
      </c>
      <c r="F469" t="inlineStr">
        <is>
          <t>VÄRMLANDS LÄN</t>
        </is>
      </c>
      <c r="G469" t="inlineStr">
        <is>
          <t>KARLSTAD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45265-2023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46289</v>
      </c>
      <c r="F470" t="inlineStr">
        <is>
          <t>VÄRMLANDS LÄN</t>
        </is>
      </c>
      <c r="G470" t="inlineStr">
        <is>
          <t>KARLSTAD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45799</v>
      </c>
      <c r="E471" s="1" t="n">
        <v>46289</v>
      </c>
      <c r="F471" t="inlineStr">
        <is>
          <t>VÄRMLANDS LÄN</t>
        </is>
      </c>
      <c r="G471" t="inlineStr">
        <is>
          <t>KARLSTAD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45796</v>
      </c>
      <c r="E472" s="1" t="n">
        <v>46289</v>
      </c>
      <c r="F472" t="inlineStr">
        <is>
          <t>VÄRMLANDS LÄN</t>
        </is>
      </c>
      <c r="G472" t="inlineStr">
        <is>
          <t>KARLSTAD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24656-2025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45798</v>
      </c>
      <c r="E473" s="1" t="n">
        <v>46289</v>
      </c>
      <c r="F473" t="inlineStr">
        <is>
          <t>VÄRMLANDS LÄN</t>
        </is>
      </c>
      <c r="G473" t="inlineStr">
        <is>
          <t>KARLSTAD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45665</v>
      </c>
      <c r="E474" s="1" t="n">
        <v>46289</v>
      </c>
      <c r="F474" t="inlineStr">
        <is>
          <t>VÄRMLANDS LÄN</t>
        </is>
      </c>
      <c r="G474" t="inlineStr">
        <is>
          <t>KARLSTAD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36884-2022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44805</v>
      </c>
      <c r="E475" s="1" t="n">
        <v>46289</v>
      </c>
      <c r="F475" t="inlineStr">
        <is>
          <t>VÄRMLANDS LÄN</t>
        </is>
      </c>
      <c r="G475" t="inlineStr">
        <is>
          <t>KARLSTAD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46289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8664-2026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46066</v>
      </c>
      <c r="E477" s="1" t="n">
        <v>46289</v>
      </c>
      <c r="F477" t="inlineStr">
        <is>
          <t>VÄRMLANDS LÄN</t>
        </is>
      </c>
      <c r="G477" t="inlineStr">
        <is>
          <t>KARLSTAD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43545-2023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45184</v>
      </c>
      <c r="E478" s="1" t="n">
        <v>46289</v>
      </c>
      <c r="F478" t="inlineStr">
        <is>
          <t>VÄRMLANDS LÄN</t>
        </is>
      </c>
      <c r="G478" t="inlineStr">
        <is>
          <t>KARLSTAD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46091</v>
      </c>
      <c r="E479" s="1" t="n">
        <v>46289</v>
      </c>
      <c r="F479" t="inlineStr">
        <is>
          <t>VÄRMLANDS LÄN</t>
        </is>
      </c>
      <c r="G479" t="inlineStr">
        <is>
          <t>KARLSTAD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7370-2025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45704</v>
      </c>
      <c r="E480" s="1" t="n">
        <v>46289</v>
      </c>
      <c r="F480" t="inlineStr">
        <is>
          <t>VÄRMLANDS LÄN</t>
        </is>
      </c>
      <c r="G480" t="inlineStr">
        <is>
          <t>KARLSTAD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29359-2023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45106</v>
      </c>
      <c r="E481" s="1" t="n">
        <v>46289</v>
      </c>
      <c r="F481" t="inlineStr">
        <is>
          <t>VÄRMLANDS LÄN</t>
        </is>
      </c>
      <c r="G481" t="inlineStr">
        <is>
          <t>KARLSTAD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51663-2023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45222</v>
      </c>
      <c r="E482" s="1" t="n">
        <v>46289</v>
      </c>
      <c r="F482" t="inlineStr">
        <is>
          <t>VÄRMLANDS LÄN</t>
        </is>
      </c>
      <c r="G482" t="inlineStr">
        <is>
          <t>KARLSTAD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45308</v>
      </c>
      <c r="E483" s="1" t="n">
        <v>46289</v>
      </c>
      <c r="F483" t="inlineStr">
        <is>
          <t>VÄRMLANDS LÄN</t>
        </is>
      </c>
      <c r="G483" t="inlineStr">
        <is>
          <t>KARLSTAD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45187</v>
      </c>
      <c r="E484" s="1" t="n">
        <v>46289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45700</v>
      </c>
      <c r="E485" s="1" t="n">
        <v>46289</v>
      </c>
      <c r="F485" t="inlineStr">
        <is>
          <t>VÄRMLANDS LÄN</t>
        </is>
      </c>
      <c r="G485" t="inlineStr">
        <is>
          <t>KARLSTAD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45877</v>
      </c>
      <c r="E486" s="1" t="n">
        <v>46289</v>
      </c>
      <c r="F486" t="inlineStr">
        <is>
          <t>VÄRMLANDS LÄN</t>
        </is>
      </c>
      <c r="G486" t="inlineStr">
        <is>
          <t>KARLSTAD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45836</v>
      </c>
      <c r="E487" s="1" t="n">
        <v>46289</v>
      </c>
      <c r="F487" t="inlineStr">
        <is>
          <t>VÄRMLANDS LÄN</t>
        </is>
      </c>
      <c r="G487" t="inlineStr">
        <is>
          <t>KARLSTAD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13287-2024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45386</v>
      </c>
      <c r="E488" s="1" t="n">
        <v>46289</v>
      </c>
      <c r="F488" t="inlineStr">
        <is>
          <t>VÄRMLANDS LÄN</t>
        </is>
      </c>
      <c r="G488" t="inlineStr">
        <is>
          <t>KARLSTAD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45231-2024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45575</v>
      </c>
      <c r="E489" s="1" t="n">
        <v>46289</v>
      </c>
      <c r="F489" t="inlineStr">
        <is>
          <t>VÄRMLANDS LÄN</t>
        </is>
      </c>
      <c r="G489" t="inlineStr">
        <is>
          <t>KARLSTAD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45641</v>
      </c>
      <c r="E490" s="1" t="n">
        <v>46289</v>
      </c>
      <c r="F490" t="inlineStr">
        <is>
          <t>VÄRMLANDS LÄN</t>
        </is>
      </c>
      <c r="G490" t="inlineStr">
        <is>
          <t>KARLSTAD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46109-2024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45581</v>
      </c>
      <c r="E491" s="1" t="n">
        <v>46289</v>
      </c>
      <c r="F491" t="inlineStr">
        <is>
          <t>VÄRMLANDS LÄN</t>
        </is>
      </c>
      <c r="G491" t="inlineStr">
        <is>
          <t>KARLSTAD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29550-2023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46289</v>
      </c>
      <c r="F492" t="inlineStr">
        <is>
          <t>VÄRMLANDS LÄN</t>
        </is>
      </c>
      <c r="G492" t="inlineStr">
        <is>
          <t>KARLSTAD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32169-2023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45107</v>
      </c>
      <c r="E493" s="1" t="n">
        <v>46289</v>
      </c>
      <c r="F493" t="inlineStr">
        <is>
          <t>VÄRMLANDS LÄN</t>
        </is>
      </c>
      <c r="G493" t="inlineStr">
        <is>
          <t>KARLSTAD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13063-2025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46289</v>
      </c>
      <c r="F494" t="inlineStr">
        <is>
          <t>VÄRMLANDS LÄN</t>
        </is>
      </c>
      <c r="G494" t="inlineStr">
        <is>
          <t>KARLSTAD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60932-2024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46289</v>
      </c>
      <c r="F495" t="inlineStr">
        <is>
          <t>VÄRMLANDS LÄN</t>
        </is>
      </c>
      <c r="G495" t="inlineStr">
        <is>
          <t>KARLSTAD</t>
        </is>
      </c>
      <c r="H495" t="inlineStr">
        <is>
          <t>Bergvik skog väst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46142</v>
      </c>
      <c r="E496" s="1" t="n">
        <v>46289</v>
      </c>
      <c r="F496" t="inlineStr">
        <is>
          <t>VÄRMLANDS LÄN</t>
        </is>
      </c>
      <c r="G496" t="inlineStr">
        <is>
          <t>KARLSTAD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45767</v>
      </c>
      <c r="E497" s="1" t="n">
        <v>46289</v>
      </c>
      <c r="F497" t="inlineStr">
        <is>
          <t>VÄRMLANDS LÄN</t>
        </is>
      </c>
      <c r="G497" t="inlineStr">
        <is>
          <t>KARLSTAD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46289</v>
      </c>
      <c r="F498" t="inlineStr">
        <is>
          <t>VÄRMLANDS LÄN</t>
        </is>
      </c>
      <c r="G498" t="inlineStr">
        <is>
          <t>KARLSTAD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59204-2023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45253</v>
      </c>
      <c r="E499" s="1" t="n">
        <v>46289</v>
      </c>
      <c r="F499" t="inlineStr">
        <is>
          <t>VÄRMLANDS LÄN</t>
        </is>
      </c>
      <c r="G499" t="inlineStr">
        <is>
          <t>KARLSTAD</t>
        </is>
      </c>
      <c r="H499" t="inlineStr">
        <is>
          <t>Kommuner</t>
        </is>
      </c>
      <c r="I499" t="n">
        <v>9.4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46289</v>
      </c>
      <c r="F500" t="inlineStr">
        <is>
          <t>VÄRMLANDS LÄN</t>
        </is>
      </c>
      <c r="G500" t="inlineStr">
        <is>
          <t>KARLSTAD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45432</v>
      </c>
      <c r="E501" s="1" t="n">
        <v>46289</v>
      </c>
      <c r="F501" t="inlineStr">
        <is>
          <t>VÄRMLANDS LÄN</t>
        </is>
      </c>
      <c r="G501" t="inlineStr">
        <is>
          <t>KARLSTAD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21220-2026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46289</v>
      </c>
      <c r="F502" t="inlineStr">
        <is>
          <t>VÄRMLANDS LÄN</t>
        </is>
      </c>
      <c r="G502" t="inlineStr">
        <is>
          <t>KARLSTAD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45300</v>
      </c>
      <c r="E503" s="1" t="n">
        <v>46289</v>
      </c>
      <c r="F503" t="inlineStr">
        <is>
          <t>VÄRMLANDS LÄN</t>
        </is>
      </c>
      <c r="G503" t="inlineStr">
        <is>
          <t>KARLSTAD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45782</v>
      </c>
      <c r="E504" s="1" t="n">
        <v>46289</v>
      </c>
      <c r="F504" t="inlineStr">
        <is>
          <t>VÄRMLANDS LÄN</t>
        </is>
      </c>
      <c r="G504" t="inlineStr">
        <is>
          <t>KARLSTAD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45782</v>
      </c>
      <c r="E505" s="1" t="n">
        <v>46289</v>
      </c>
      <c r="F505" t="inlineStr">
        <is>
          <t>VÄRMLANDS LÄN</t>
        </is>
      </c>
      <c r="G505" t="inlineStr">
        <is>
          <t>KARLSTAD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46289</v>
      </c>
      <c r="F506" t="inlineStr">
        <is>
          <t>VÄRMLANDS LÄN</t>
        </is>
      </c>
      <c r="G506" t="inlineStr">
        <is>
          <t>KARLSTAD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46289</v>
      </c>
      <c r="F507" t="inlineStr">
        <is>
          <t>VÄRMLANDS LÄN</t>
        </is>
      </c>
      <c r="G507" t="inlineStr">
        <is>
          <t>KARLSTAD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46289</v>
      </c>
      <c r="F508" t="inlineStr">
        <is>
          <t>VÄRMLANDS LÄN</t>
        </is>
      </c>
      <c r="G508" t="inlineStr">
        <is>
          <t>KARLSTAD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21840-2025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45784</v>
      </c>
      <c r="E509" s="1" t="n">
        <v>46289</v>
      </c>
      <c r="F509" t="inlineStr">
        <is>
          <t>VÄRMLANDS LÄN</t>
        </is>
      </c>
      <c r="G509" t="inlineStr">
        <is>
          <t>KARLSTAD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45784</v>
      </c>
      <c r="E510" s="1" t="n">
        <v>46289</v>
      </c>
      <c r="F510" t="inlineStr">
        <is>
          <t>VÄRMLANDS LÄN</t>
        </is>
      </c>
      <c r="G510" t="inlineStr">
        <is>
          <t>KARLSTAD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22258-2026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46154</v>
      </c>
      <c r="E511" s="1" t="n">
        <v>46289</v>
      </c>
      <c r="F511" t="inlineStr">
        <is>
          <t>VÄRMLANDS LÄN</t>
        </is>
      </c>
      <c r="G511" t="inlineStr">
        <is>
          <t>KARLSTAD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39792-2024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45553</v>
      </c>
      <c r="E512" s="1" t="n">
        <v>46289</v>
      </c>
      <c r="F512" t="inlineStr">
        <is>
          <t>VÄRMLANDS LÄN</t>
        </is>
      </c>
      <c r="G512" t="inlineStr">
        <is>
          <t>KARLSTAD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22302-2026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46154</v>
      </c>
      <c r="E513" s="1" t="n">
        <v>46289</v>
      </c>
      <c r="F513" t="inlineStr">
        <is>
          <t>VÄRMLANDS LÄN</t>
        </is>
      </c>
      <c r="G513" t="inlineStr">
        <is>
          <t>KARLSTAD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56869-2025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46289</v>
      </c>
      <c r="F514" t="inlineStr">
        <is>
          <t>VÄRMLANDS LÄN</t>
        </is>
      </c>
      <c r="G514" t="inlineStr">
        <is>
          <t>KARLSTAD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48777-2025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45937</v>
      </c>
      <c r="E515" s="1" t="n">
        <v>46289</v>
      </c>
      <c r="F515" t="inlineStr">
        <is>
          <t>VÄRMLANDS LÄN</t>
        </is>
      </c>
      <c r="G515" t="inlineStr">
        <is>
          <t>KARLSTAD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45861</v>
      </c>
      <c r="E516" s="1" t="n">
        <v>46289</v>
      </c>
      <c r="F516" t="inlineStr">
        <is>
          <t>VÄRMLANDS LÄN</t>
        </is>
      </c>
      <c r="G516" t="inlineStr">
        <is>
          <t>KARLSTAD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46289</v>
      </c>
      <c r="F517" t="inlineStr">
        <is>
          <t>VÄRMLANDS LÄN</t>
        </is>
      </c>
      <c r="G517" t="inlineStr">
        <is>
          <t>KARLSTAD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46289</v>
      </c>
      <c r="F518" t="inlineStr">
        <is>
          <t>VÄRMLANDS LÄN</t>
        </is>
      </c>
      <c r="G518" t="inlineStr">
        <is>
          <t>KARLSTAD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46289</v>
      </c>
      <c r="F519" t="inlineStr">
        <is>
          <t>VÄRMLANDS LÄN</t>
        </is>
      </c>
      <c r="G519" t="inlineStr">
        <is>
          <t>KARLSTAD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25068-2026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46289</v>
      </c>
      <c r="F520" t="inlineStr">
        <is>
          <t>VÄRMLANDS LÄN</t>
        </is>
      </c>
      <c r="G520" t="inlineStr">
        <is>
          <t>KARLSTAD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46181</v>
      </c>
      <c r="E521" s="1" t="n">
        <v>46289</v>
      </c>
      <c r="F521" t="inlineStr">
        <is>
          <t>VÄRMLANDS LÄN</t>
        </is>
      </c>
      <c r="G521" t="inlineStr">
        <is>
          <t>KARLSTAD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25785-2026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46178</v>
      </c>
      <c r="E522" s="1" t="n">
        <v>46289</v>
      </c>
      <c r="F522" t="inlineStr">
        <is>
          <t>VÄRMLANDS LÄN</t>
        </is>
      </c>
      <c r="G522" t="inlineStr">
        <is>
          <t>KARLSTAD</t>
        </is>
      </c>
      <c r="H522" t="inlineStr">
        <is>
          <t>Bergvik skog väst AB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46289</v>
      </c>
      <c r="F523" t="inlineStr">
        <is>
          <t>VÄRMLANDS LÄN</t>
        </is>
      </c>
      <c r="G523" t="inlineStr">
        <is>
          <t>KARLSTAD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46289</v>
      </c>
      <c r="F524" t="inlineStr">
        <is>
          <t>VÄRMLANDS LÄN</t>
        </is>
      </c>
      <c r="G524" t="inlineStr">
        <is>
          <t>KARLSTAD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25796-2026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46178</v>
      </c>
      <c r="E525" s="1" t="n">
        <v>46289</v>
      </c>
      <c r="F525" t="inlineStr">
        <is>
          <t>VÄRMLANDS LÄN</t>
        </is>
      </c>
      <c r="G525" t="inlineStr">
        <is>
          <t>KARLSTAD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46181</v>
      </c>
      <c r="E526" s="1" t="n">
        <v>46289</v>
      </c>
      <c r="F526" t="inlineStr">
        <is>
          <t>VÄRMLANDS LÄN</t>
        </is>
      </c>
      <c r="G526" t="inlineStr">
        <is>
          <t>KARLSTAD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46289</v>
      </c>
      <c r="F527" t="inlineStr">
        <is>
          <t>VÄRMLANDS LÄN</t>
        </is>
      </c>
      <c r="G527" t="inlineStr">
        <is>
          <t>KARLSTAD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27576-2026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46289</v>
      </c>
      <c r="F528" t="inlineStr">
        <is>
          <t>VÄRMLANDS LÄN</t>
        </is>
      </c>
      <c r="G528" t="inlineStr">
        <is>
          <t>KARLSTAD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46289</v>
      </c>
      <c r="F529" t="inlineStr">
        <is>
          <t>VÄRMLANDS LÄN</t>
        </is>
      </c>
      <c r="G529" t="inlineStr">
        <is>
          <t>KARLSTAD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46190</v>
      </c>
      <c r="E530" s="1" t="n">
        <v>46289</v>
      </c>
      <c r="F530" t="inlineStr">
        <is>
          <t>VÄRMLANDS LÄN</t>
        </is>
      </c>
      <c r="G530" t="inlineStr">
        <is>
          <t>KARLSTAD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45636</v>
      </c>
      <c r="E531" s="1" t="n">
        <v>46289</v>
      </c>
      <c r="F531" t="inlineStr">
        <is>
          <t>VÄRMLANDS LÄN</t>
        </is>
      </c>
      <c r="G531" t="inlineStr">
        <is>
          <t>KARLSTAD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46289</v>
      </c>
      <c r="F532" t="inlineStr">
        <is>
          <t>VÄRMLANDS LÄN</t>
        </is>
      </c>
      <c r="G532" t="inlineStr">
        <is>
          <t>KARLSTAD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46289</v>
      </c>
      <c r="F533" t="inlineStr">
        <is>
          <t>VÄRMLANDS LÄN</t>
        </is>
      </c>
      <c r="G533" t="inlineStr">
        <is>
          <t>KARLSTAD</t>
        </is>
      </c>
      <c r="I533" t="n">
        <v>10.7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46289</v>
      </c>
      <c r="F534" t="inlineStr">
        <is>
          <t>VÄRMLANDS LÄN</t>
        </is>
      </c>
      <c r="G534" t="inlineStr">
        <is>
          <t>KARLSTAD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46289</v>
      </c>
      <c r="F535" t="inlineStr">
        <is>
          <t>VÄRMLANDS LÄN</t>
        </is>
      </c>
      <c r="G535" t="inlineStr">
        <is>
          <t>KARLSTAD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34722-2026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46258</v>
      </c>
      <c r="E536" s="1" t="n">
        <v>46289</v>
      </c>
      <c r="F536" t="inlineStr">
        <is>
          <t>VÄRMLANDS LÄN</t>
        </is>
      </c>
      <c r="G536" t="inlineStr">
        <is>
          <t>KARLSTAD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46289</v>
      </c>
      <c r="F537" t="inlineStr">
        <is>
          <t>VÄRMLANDS LÄN</t>
        </is>
      </c>
      <c r="G537" t="inlineStr">
        <is>
          <t>KARLSTAD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34788-2026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46258</v>
      </c>
      <c r="E538" s="1" t="n">
        <v>46289</v>
      </c>
      <c r="F538" t="inlineStr">
        <is>
          <t>VÄRMLANDS LÄN</t>
        </is>
      </c>
      <c r="G538" t="inlineStr">
        <is>
          <t>KARLSTAD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46222</v>
      </c>
      <c r="E539" s="1" t="n">
        <v>46289</v>
      </c>
      <c r="F539" t="inlineStr">
        <is>
          <t>VÄRMLANDS LÄN</t>
        </is>
      </c>
      <c r="G539" t="inlineStr">
        <is>
          <t>KARLSTAD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46222</v>
      </c>
      <c r="E540" s="1" t="n">
        <v>46289</v>
      </c>
      <c r="F540" t="inlineStr">
        <is>
          <t>VÄRMLANDS LÄN</t>
        </is>
      </c>
      <c r="G540" t="inlineStr">
        <is>
          <t>KARLSTAD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31474-2026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46222</v>
      </c>
      <c r="E541" s="1" t="n">
        <v>46289</v>
      </c>
      <c r="F541" t="inlineStr">
        <is>
          <t>VÄRMLANDS LÄN</t>
        </is>
      </c>
      <c r="G541" t="inlineStr">
        <is>
          <t>KARLSTAD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31391-2026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46220</v>
      </c>
      <c r="E542" s="1" t="n">
        <v>46289</v>
      </c>
      <c r="F542" t="inlineStr">
        <is>
          <t>VÄRMLANDS LÄN</t>
        </is>
      </c>
      <c r="G542" t="inlineStr">
        <is>
          <t>KARLSTAD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46220</v>
      </c>
      <c r="E543" s="1" t="n">
        <v>46289</v>
      </c>
      <c r="F543" t="inlineStr">
        <is>
          <t>VÄRMLANDS LÄN</t>
        </is>
      </c>
      <c r="G543" t="inlineStr">
        <is>
          <t>KARLSTAD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46220</v>
      </c>
      <c r="E544" s="1" t="n">
        <v>46289</v>
      </c>
      <c r="F544" t="inlineStr">
        <is>
          <t>VÄRMLANDS LÄN</t>
        </is>
      </c>
      <c r="G544" t="inlineStr">
        <is>
          <t>KARLSTAD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31426-2026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46220</v>
      </c>
      <c r="E545" s="1" t="n">
        <v>46289</v>
      </c>
      <c r="F545" t="inlineStr">
        <is>
          <t>VÄRMLANDS LÄN</t>
        </is>
      </c>
      <c r="G545" t="inlineStr">
        <is>
          <t>KARLSTAD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31430-2026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46220</v>
      </c>
      <c r="E546" s="1" t="n">
        <v>46289</v>
      </c>
      <c r="F546" t="inlineStr">
        <is>
          <t>VÄRMLANDS LÄN</t>
        </is>
      </c>
      <c r="G546" t="inlineStr">
        <is>
          <t>KARLSTAD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46222</v>
      </c>
      <c r="E547" s="1" t="n">
        <v>46289</v>
      </c>
      <c r="F547" t="inlineStr">
        <is>
          <t>VÄRMLANDS LÄN</t>
        </is>
      </c>
      <c r="G547" t="inlineStr">
        <is>
          <t>KARLSTAD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46222</v>
      </c>
      <c r="E548" s="1" t="n">
        <v>46289</v>
      </c>
      <c r="F548" t="inlineStr">
        <is>
          <t>VÄRMLANDS LÄN</t>
        </is>
      </c>
      <c r="G548" t="inlineStr">
        <is>
          <t>KARLSTAD</t>
        </is>
      </c>
      <c r="I548" t="n">
        <v>10.2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31415-2026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46220</v>
      </c>
      <c r="E549" s="1" t="n">
        <v>46289</v>
      </c>
      <c r="F549" t="inlineStr">
        <is>
          <t>VÄRMLANDS LÄN</t>
        </is>
      </c>
      <c r="G549" t="inlineStr">
        <is>
          <t>KARLSTAD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31470-2026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46222</v>
      </c>
      <c r="E550" s="1" t="n">
        <v>46289</v>
      </c>
      <c r="F550" t="inlineStr">
        <is>
          <t>VÄRMLANDS LÄN</t>
        </is>
      </c>
      <c r="G550" t="inlineStr">
        <is>
          <t>KARLSTAD</t>
        </is>
      </c>
      <c r="I550" t="n">
        <v>9.800000000000001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46289</v>
      </c>
      <c r="F551" t="inlineStr">
        <is>
          <t>VÄRMLANDS LÄN</t>
        </is>
      </c>
      <c r="G551" t="inlineStr">
        <is>
          <t>KARLSTAD</t>
        </is>
      </c>
      <c r="H551" t="inlineStr">
        <is>
          <t>Övriga statliga verk och myndigheter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36720-2026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46289</v>
      </c>
      <c r="F552" t="inlineStr">
        <is>
          <t>VÄRMLANDS LÄN</t>
        </is>
      </c>
      <c r="G552" t="inlineStr">
        <is>
          <t>KARLSTAD</t>
        </is>
      </c>
      <c r="H552" t="inlineStr">
        <is>
          <t>Bergvik skog väst AB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46270</v>
      </c>
      <c r="E553" s="1" t="n">
        <v>46289</v>
      </c>
      <c r="F553" t="inlineStr">
        <is>
          <t>VÄRMLANDS LÄN</t>
        </is>
      </c>
      <c r="G553" t="inlineStr">
        <is>
          <t>KARLSTAD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36621-2026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46270</v>
      </c>
      <c r="E554" s="1" t="n">
        <v>46289</v>
      </c>
      <c r="F554" t="inlineStr">
        <is>
          <t>VÄRMLANDS LÄN</t>
        </is>
      </c>
      <c r="G554" t="inlineStr">
        <is>
          <t>KARLSTAD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43601-2025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45911</v>
      </c>
      <c r="E555" s="1" t="n">
        <v>46289</v>
      </c>
      <c r="F555" t="inlineStr">
        <is>
          <t>VÄRMLANDS LÄN</t>
        </is>
      </c>
      <c r="G555" t="inlineStr">
        <is>
          <t>KARLSTAD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38090-2026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46281</v>
      </c>
      <c r="E556" s="1" t="n">
        <v>46289</v>
      </c>
      <c r="F556" t="inlineStr">
        <is>
          <t>VÄRMLANDS LÄN</t>
        </is>
      </c>
      <c r="G556" t="inlineStr">
        <is>
          <t>KARLSTAD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928-2022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44606</v>
      </c>
      <c r="E557" s="1" t="n">
        <v>46289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3510-2022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44733</v>
      </c>
      <c r="E558" s="1" t="n">
        <v>46289</v>
      </c>
      <c r="F558" t="inlineStr">
        <is>
          <t>VÄRMLANDS LÄN</t>
        </is>
      </c>
      <c r="G558" t="inlineStr">
        <is>
          <t>KARLSTAD</t>
        </is>
      </c>
      <c r="I558" t="n">
        <v>27.7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686-2022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44596</v>
      </c>
      <c r="E559" s="1" t="n">
        <v>46289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3546-2022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44735</v>
      </c>
      <c r="E560" s="1" t="n">
        <v>46289</v>
      </c>
      <c r="F560" t="inlineStr">
        <is>
          <t>VÄRMLANDS LÄN</t>
        </is>
      </c>
      <c r="G560" t="inlineStr">
        <is>
          <t>KARLSTAD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4402-2023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45266</v>
      </c>
      <c r="E561" s="1" t="n">
        <v>46289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14.5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435-2024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45337</v>
      </c>
      <c r="E562" s="1" t="n">
        <v>46289</v>
      </c>
      <c r="F562" t="inlineStr">
        <is>
          <t>VÄRMLANDS LÄN</t>
        </is>
      </c>
      <c r="G562" t="inlineStr">
        <is>
          <t>KARLSTAD</t>
        </is>
      </c>
      <c r="I562" t="n">
        <v>101.6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5511-2022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44834</v>
      </c>
      <c r="E563" s="1" t="n">
        <v>46289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44.5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4396-2023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45266</v>
      </c>
      <c r="E564" s="1" t="n">
        <v>46289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2688-2024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45481</v>
      </c>
      <c r="E565" s="1" t="n">
        <v>46289</v>
      </c>
      <c r="F565" t="inlineStr">
        <is>
          <t>VÄRMLANDS LÄN</t>
        </is>
      </c>
      <c r="G565" t="inlineStr">
        <is>
          <t>KARLSTAD</t>
        </is>
      </c>
      <c r="I565" t="n">
        <v>31.6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416-2024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45335</v>
      </c>
      <c r="E566" s="1" t="n">
        <v>46289</v>
      </c>
      <c r="F566" t="inlineStr">
        <is>
          <t>VÄRMLANDS LÄN</t>
        </is>
      </c>
      <c r="G566" t="inlineStr">
        <is>
          <t>KARLSTAD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6972-2022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44901</v>
      </c>
      <c r="E567" s="1" t="n">
        <v>46289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2560-2024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45476</v>
      </c>
      <c r="E568" s="1" t="n">
        <v>46289</v>
      </c>
      <c r="F568" t="inlineStr">
        <is>
          <t>VÄRMLANDS LÄN</t>
        </is>
      </c>
      <c r="G568" t="inlineStr">
        <is>
          <t>KARLSTAD</t>
        </is>
      </c>
      <c r="I568" t="n">
        <v>19.1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4126-2022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44763</v>
      </c>
      <c r="E569" s="1" t="n">
        <v>46289</v>
      </c>
      <c r="F569" t="inlineStr">
        <is>
          <t>VÄRMLANDS LÄN</t>
        </is>
      </c>
      <c r="G569" t="inlineStr">
        <is>
          <t>KARLSTAD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1875-2023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45076</v>
      </c>
      <c r="E570" s="1" t="n">
        <v>46289</v>
      </c>
      <c r="F570" t="inlineStr">
        <is>
          <t>VÄRMLANDS LÄN</t>
        </is>
      </c>
      <c r="G570" t="inlineStr">
        <is>
          <t>KARLSTAD</t>
        </is>
      </c>
      <c r="H570" t="inlineStr">
        <is>
          <t>Kommuner</t>
        </is>
      </c>
      <c r="I570" t="n">
        <v>163.7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664-2025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45716</v>
      </c>
      <c r="E571" s="1" t="n">
        <v>46289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3060-2025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45964</v>
      </c>
      <c r="E572" s="1" t="n">
        <v>46289</v>
      </c>
      <c r="F572" t="inlineStr">
        <is>
          <t>VÄRMLANDS LÄN</t>
        </is>
      </c>
      <c r="G572" t="inlineStr">
        <is>
          <t>KARLSTAD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>
      <c r="A573" t="inlineStr">
        <is>
          <t>S 100-2026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46036</v>
      </c>
      <c r="E573" s="1" t="n">
        <v>46289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2026-09-24T01:56:37Z</dcterms:created>
  <dcterms:modified xmlns:dcterms="http://purl.org/dc/terms/" xmlns:xsi="http://www.w3.org/2001/XMLSchema-instance" xsi:type="dcterms:W3CDTF">2026-09-24T01:56:38Z</dcterms:modified>
</cp:coreProperties>
</file>