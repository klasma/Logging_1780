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46302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46302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46302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46302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46302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46302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46302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46302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46302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46302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46302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46302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46302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46302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46302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46302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46302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46302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44808</v>
      </c>
      <c r="E29" s="1" t="n">
        <v>46302</v>
      </c>
      <c r="F29" t="inlineStr">
        <is>
          <t>VÄRMLANDS LÄN</t>
        </is>
      </c>
      <c r="G29" t="inlineStr">
        <is>
          <t>KARLSTAD</t>
        </is>
      </c>
      <c r="I29" t="n">
        <v>14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Nötkråka
Talltita</t>
        </is>
      </c>
      <c r="W29">
        <f>HYPERLINK("https://klasma.github.io/Logging_1780/artfynd/A 37299-2022 artfynd.xlsx", "A 37299-2022")</f>
        <v/>
      </c>
      <c r="X29">
        <f>HYPERLINK("https://klasma.github.io/Logging_1780/kartor/A 37299-2022 karta.png", "A 37299-2022")</f>
        <v/>
      </c>
      <c r="Y29">
        <f>HYPERLINK("https://klasma.github.io/Logging_1780/kartor_geotiff/A 37299-2022 georefererad karta.tif", "A 37299-2022")</f>
        <v/>
      </c>
      <c r="AA29">
        <f>HYPERLINK("https://klasma.github.io/Logging_1780/klagomål/A 37299-2022 FSC-klagomål.docx", "A 37299-2022")</f>
        <v/>
      </c>
      <c r="AB29">
        <f>HYPERLINK("https://klasma.github.io/Logging_1780/klagomålsmail/A 37299-2022 FSC-klagomål mail.docx", "A 37299-2022")</f>
        <v/>
      </c>
      <c r="AC29">
        <f>HYPERLINK("https://klasma.github.io/Logging_1780/tillsyn/A 37299-2022 tillsynsbegäran.docx", "A 37299-2022")</f>
        <v/>
      </c>
      <c r="AD29">
        <f>HYPERLINK("https://klasma.github.io/Logging_1780/tillsynsmail/A 37299-2022 tillsynsbegäran mail.docx", "A 37299-2022")</f>
        <v/>
      </c>
      <c r="AE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44876</v>
      </c>
      <c r="E30" s="1" t="n">
        <v>46302</v>
      </c>
      <c r="F30" t="inlineStr">
        <is>
          <t>VÄRMLANDS LÄN</t>
        </is>
      </c>
      <c r="G30" t="inlineStr">
        <is>
          <t>KARLSTAD</t>
        </is>
      </c>
      <c r="I30" t="n">
        <v>32.8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Gulsparv
Trana</t>
        </is>
      </c>
      <c r="W30">
        <f>HYPERLINK("https://klasma.github.io/Logging_1780/artfynd/A 53155-2022 artfynd.xlsx", "A 53155-2022")</f>
        <v/>
      </c>
      <c r="X30">
        <f>HYPERLINK("https://klasma.github.io/Logging_1780/kartor/A 53155-2022 karta.png", "A 53155-2022")</f>
        <v/>
      </c>
      <c r="Y30">
        <f>HYPERLINK("https://klasma.github.io/Logging_1780/kartor_geotiff/A 53155-2022 georefererad karta.tif", "A 53155-2022")</f>
        <v/>
      </c>
      <c r="AA30">
        <f>HYPERLINK("https://klasma.github.io/Logging_1780/klagomål/A 53155-2022 FSC-klagomål.docx", "A 53155-2022")</f>
        <v/>
      </c>
      <c r="AB30">
        <f>HYPERLINK("https://klasma.github.io/Logging_1780/klagomålsmail/A 53155-2022 FSC-klagomål mail.docx", "A 53155-2022")</f>
        <v/>
      </c>
      <c r="AC30">
        <f>HYPERLINK("https://klasma.github.io/Logging_1780/tillsyn/A 53155-2022 tillsynsbegäran.docx", "A 53155-2022")</f>
        <v/>
      </c>
      <c r="AD30">
        <f>HYPERLINK("https://klasma.github.io/Logging_1780/tillsynsmail/A 53155-2022 tillsynsbegäran mail.docx", "A 53155-2022")</f>
        <v/>
      </c>
      <c r="AE30">
        <f>HYPERLINK("https://klasma.github.io/Logging_1780/fåglar/A 53155-2022 prioriterade fågelarter.docx", "A 53155-2022")</f>
        <v/>
      </c>
    </row>
    <row r="31" ht="15" customHeight="1">
      <c r="A31" t="inlineStr">
        <is>
          <t>A 57145-2024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46302</v>
      </c>
      <c r="F31" t="inlineStr">
        <is>
          <t>VÄRMLANDS LÄN</t>
        </is>
      </c>
      <c r="G31" t="inlineStr">
        <is>
          <t>KARLSTAD</t>
        </is>
      </c>
      <c r="I31" t="n">
        <v>16.5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Bårdlav
Blåsippa</t>
        </is>
      </c>
      <c r="W31">
        <f>HYPERLINK("https://klasma.github.io/Logging_1780/artfynd/A 57145-2024 artfynd.xlsx", "A 57145-2024")</f>
        <v/>
      </c>
      <c r="X31">
        <f>HYPERLINK("https://klasma.github.io/Logging_1780/kartor/A 57145-2024 karta.png", "A 57145-2024")</f>
        <v/>
      </c>
      <c r="Y31">
        <f>HYPERLINK("https://klasma.github.io/Logging_1780/kartor_geotiff/A 57145-2024 georefererad karta.tif", "A 57145-2024")</f>
        <v/>
      </c>
      <c r="AA31">
        <f>HYPERLINK("https://klasma.github.io/Logging_1780/klagomål/A 57145-2024 FSC-klagomål.docx", "A 57145-2024")</f>
        <v/>
      </c>
      <c r="AB31">
        <f>HYPERLINK("https://klasma.github.io/Logging_1780/klagomålsmail/A 57145-2024 FSC-klagomål mail.docx", "A 57145-2024")</f>
        <v/>
      </c>
      <c r="AC31">
        <f>HYPERLINK("https://klasma.github.io/Logging_1780/tillsyn/A 57145-2024 tillsynsbegäran.docx", "A 57145-2024")</f>
        <v/>
      </c>
      <c r="AD31">
        <f>HYPERLINK("https://klasma.github.io/Logging_1780/tillsynsmail/A 57145-2024 tillsynsbegäran mail.docx", "A 57145-2024")</f>
        <v/>
      </c>
    </row>
    <row r="32" ht="15" customHeight="1">
      <c r="A32" t="inlineStr">
        <is>
          <t>A 9023-2026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46302</v>
      </c>
      <c r="F32" t="inlineStr">
        <is>
          <t>VÄRMLANDS LÄN</t>
        </is>
      </c>
      <c r="G32" t="inlineStr">
        <is>
          <t>KARLSTAD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Linnea
Revlummer</t>
        </is>
      </c>
      <c r="W32">
        <f>HYPERLINK("https://klasma.github.io/Logging_1780/artfynd/A 9023-2026 artfynd.xlsx", "A 9023-2026")</f>
        <v/>
      </c>
      <c r="X32">
        <f>HYPERLINK("https://klasma.github.io/Logging_1780/kartor/A 9023-2026 karta.png", "A 9023-2026")</f>
        <v/>
      </c>
      <c r="Y32">
        <f>HYPERLINK("https://klasma.github.io/Logging_1780/kartor_geotiff/A 9023-2026 georefererad karta.tif", "A 9023-2026")</f>
        <v/>
      </c>
      <c r="AA32">
        <f>HYPERLINK("https://klasma.github.io/Logging_1780/klagomål/A 9023-2026 FSC-klagomål.docx", "A 9023-2026")</f>
        <v/>
      </c>
      <c r="AB32">
        <f>HYPERLINK("https://klasma.github.io/Logging_1780/klagomålsmail/A 9023-2026 FSC-klagomål mail.docx", "A 9023-2026")</f>
        <v/>
      </c>
      <c r="AC32">
        <f>HYPERLINK("https://klasma.github.io/Logging_1780/tillsyn/A 9023-2026 tillsynsbegäran.docx", "A 9023-2026")</f>
        <v/>
      </c>
      <c r="AD32">
        <f>HYPERLINK("https://klasma.github.io/Logging_1780/tillsynsmail/A 9023-2026 tillsynsbegäran mail.docx", "A 9023-2026")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46302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46302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46302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58911-2025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46302</v>
      </c>
      <c r="F36" t="inlineStr">
        <is>
          <t>VÄRMLANDS LÄN</t>
        </is>
      </c>
      <c r="G36" t="inlineStr">
        <is>
          <t>KARLSTAD</t>
        </is>
      </c>
      <c r="I36" t="n">
        <v>5.6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Svart trolldruva</t>
        </is>
      </c>
      <c r="W36">
        <f>HYPERLINK("https://klasma.github.io/Logging_1780/artfynd/A 58911-2025 artfynd.xlsx", "A 58911-2025")</f>
        <v/>
      </c>
      <c r="X36">
        <f>HYPERLINK("https://klasma.github.io/Logging_1780/kartor/A 58911-2025 karta.png", "A 58911-2025")</f>
        <v/>
      </c>
      <c r="Y36">
        <f>HYPERLINK("https://klasma.github.io/Logging_1780/kartor_geotiff/A 58911-2025 georefererad karta.tif", "A 58911-2025")</f>
        <v/>
      </c>
      <c r="AA36">
        <f>HYPERLINK("https://klasma.github.io/Logging_1780/klagomål/A 58911-2025 FSC-klagomål.docx", "A 58911-2025")</f>
        <v/>
      </c>
      <c r="AB36">
        <f>HYPERLINK("https://klasma.github.io/Logging_1780/klagomålsmail/A 58911-2025 FSC-klagomål mail.docx", "A 58911-2025")</f>
        <v/>
      </c>
      <c r="AC36">
        <f>HYPERLINK("https://klasma.github.io/Logging_1780/tillsyn/A 58911-2025 tillsynsbegäran.docx", "A 58911-2025")</f>
        <v/>
      </c>
      <c r="AD36">
        <f>HYPERLINK("https://klasma.github.io/Logging_1780/tillsynsmail/A 58911-2025 tillsynsbegäran mail.docx", "A 58911-2025")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46302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46302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9499-2024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46302</v>
      </c>
      <c r="F39" t="inlineStr">
        <is>
          <t>VÄRMLANDS LÄN</t>
        </is>
      </c>
      <c r="G39" t="inlineStr">
        <is>
          <t>KARLSTAD</t>
        </is>
      </c>
      <c r="I39" t="n">
        <v>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Grönsiska
Kungsfågel</t>
        </is>
      </c>
      <c r="W39">
        <f>HYPERLINK("https://klasma.github.io/Logging_1780/artfynd/A 9499-2024 artfynd.xlsx", "A 9499-2024")</f>
        <v/>
      </c>
      <c r="X39">
        <f>HYPERLINK("https://klasma.github.io/Logging_1780/kartor/A 9499-2024 karta.png", "A 9499-2024")</f>
        <v/>
      </c>
      <c r="Y39">
        <f>HYPERLINK("https://klasma.github.io/Logging_1780/kartor_geotiff/A 9499-2024 georefererad karta.tif", "A 9499-2024")</f>
        <v/>
      </c>
      <c r="AA39">
        <f>HYPERLINK("https://klasma.github.io/Logging_1780/klagomål/A 9499-2024 FSC-klagomål.docx", "A 9499-2024")</f>
        <v/>
      </c>
      <c r="AB39">
        <f>HYPERLINK("https://klasma.github.io/Logging_1780/klagomålsmail/A 9499-2024 FSC-klagomål mail.docx", "A 9499-2024")</f>
        <v/>
      </c>
      <c r="AC39">
        <f>HYPERLINK("https://klasma.github.io/Logging_1780/tillsyn/A 9499-2024 tillsynsbegäran.docx", "A 9499-2024")</f>
        <v/>
      </c>
      <c r="AD39">
        <f>HYPERLINK("https://klasma.github.io/Logging_1780/tillsynsmail/A 9499-2024 tillsynsbegäran mail.docx", "A 9499-2024")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46302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46302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44592</v>
      </c>
      <c r="E42" s="1" t="n">
        <v>46302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Vedskivlav</t>
        </is>
      </c>
      <c r="W42">
        <f>HYPERLINK("https://klasma.github.io/Logging_1780/artfynd/A 4664-2022 artfynd.xlsx", "A 4664-2022")</f>
        <v/>
      </c>
      <c r="X42">
        <f>HYPERLINK("https://klasma.github.io/Logging_1780/kartor/A 4664-2022 karta.png", "A 4664-2022")</f>
        <v/>
      </c>
      <c r="Y42">
        <f>HYPERLINK("https://klasma.github.io/Logging_1780/kartor_geotiff/A 4664-2022 georefererad karta.tif", "A 4664-2022")</f>
        <v/>
      </c>
      <c r="AA42">
        <f>HYPERLINK("https://klasma.github.io/Logging_1780/klagomål/A 4664-2022 FSC-klagomål.docx", "A 4664-2022")</f>
        <v/>
      </c>
      <c r="AB42">
        <f>HYPERLINK("https://klasma.github.io/Logging_1780/klagomålsmail/A 4664-2022 FSC-klagomål mail.docx", "A 4664-2022")</f>
        <v/>
      </c>
      <c r="AC42">
        <f>HYPERLINK("https://klasma.github.io/Logging_1780/tillsyn/A 4664-2022 tillsynsbegäran.docx", "A 4664-2022")</f>
        <v/>
      </c>
      <c r="AD42">
        <f>HYPERLINK("https://klasma.github.io/Logging_1780/tillsynsmail/A 4664-2022 tillsynsbegäran mail.docx", "A 4664-2022")</f>
        <v/>
      </c>
    </row>
    <row r="43" ht="15" customHeight="1">
      <c r="A43" t="inlineStr">
        <is>
          <t>A 5131-2026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46049</v>
      </c>
      <c r="E43" s="1" t="n">
        <v>46302</v>
      </c>
      <c r="F43" t="inlineStr">
        <is>
          <t>VÄRMLANDS LÄN</t>
        </is>
      </c>
      <c r="G43" t="inlineStr">
        <is>
          <t>KARLSTAD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 taggsvamp</t>
        </is>
      </c>
      <c r="W43">
        <f>HYPERLINK("https://klasma.github.io/Logging_1780/artfynd/A 5131-2026 artfynd.xlsx", "A 5131-2026")</f>
        <v/>
      </c>
      <c r="X43">
        <f>HYPERLINK("https://klasma.github.io/Logging_1780/kartor/A 5131-2026 karta.png", "A 5131-2026")</f>
        <v/>
      </c>
      <c r="Y43">
        <f>HYPERLINK("https://klasma.github.io/Logging_1780/kartor_geotiff/A 5131-2026 georefererad karta.tif", "A 5131-2026")</f>
        <v/>
      </c>
      <c r="AA43">
        <f>HYPERLINK("https://klasma.github.io/Logging_1780/klagomål/A 5131-2026 FSC-klagomål.docx", "A 5131-2026")</f>
        <v/>
      </c>
      <c r="AB43">
        <f>HYPERLINK("https://klasma.github.io/Logging_1780/klagomålsmail/A 5131-2026 FSC-klagomål mail.docx", "A 5131-2026")</f>
        <v/>
      </c>
      <c r="AC43">
        <f>HYPERLINK("https://klasma.github.io/Logging_1780/tillsyn/A 5131-2026 tillsynsbegäran.docx", "A 5131-2026")</f>
        <v/>
      </c>
      <c r="AD43">
        <f>HYPERLINK("https://klasma.github.io/Logging_1780/tillsynsmail/A 5131-2026 tillsynsbegäran mail.docx", "A 5131-2026")</f>
        <v/>
      </c>
    </row>
    <row r="44" ht="15" customHeight="1">
      <c r="A44" t="inlineStr">
        <is>
          <t>A 13259-2026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46093</v>
      </c>
      <c r="E44" s="1" t="n">
        <v>46302</v>
      </c>
      <c r="F44" t="inlineStr">
        <is>
          <t>VÄRMLANDS LÄN</t>
        </is>
      </c>
      <c r="G44" t="inlineStr">
        <is>
          <t>KARLSTAD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HYPERLINK("https://klasma.github.io/Logging_1780/artfynd/A 13259-2026 artfynd.xlsx", "A 13259-2026")</f>
        <v/>
      </c>
      <c r="X44">
        <f>HYPERLINK("https://klasma.github.io/Logging_1780/kartor/A 13259-2026 karta.png", "A 13259-2026")</f>
        <v/>
      </c>
      <c r="Y44">
        <f>HYPERLINK("https://klasma.github.io/Logging_1780/kartor_geotiff/A 13259-2026 georefererad karta.tif", "A 13259-2026")</f>
        <v/>
      </c>
      <c r="AA44">
        <f>HYPERLINK("https://klasma.github.io/Logging_1780/klagomål/A 13259-2026 FSC-klagomål.docx", "A 13259-2026")</f>
        <v/>
      </c>
      <c r="AB44">
        <f>HYPERLINK("https://klasma.github.io/Logging_1780/klagomålsmail/A 13259-2026 FSC-klagomål mail.docx", "A 13259-2026")</f>
        <v/>
      </c>
      <c r="AC44">
        <f>HYPERLINK("https://klasma.github.io/Logging_1780/tillsyn/A 13259-2026 tillsynsbegäran.docx", "A 13259-2026")</f>
        <v/>
      </c>
      <c r="AD44">
        <f>HYPERLINK("https://klasma.github.io/Logging_1780/tillsynsmail/A 13259-2026 tillsynsbegäran mail.docx", "A 13259-2026")</f>
        <v/>
      </c>
    </row>
    <row r="45" ht="15" customHeight="1">
      <c r="A45" t="inlineStr">
        <is>
          <t>A 32531-2025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46302</v>
      </c>
      <c r="F45" t="inlineStr">
        <is>
          <t>VÄRMLANDS LÄN</t>
        </is>
      </c>
      <c r="G45" t="inlineStr">
        <is>
          <t>KARLSTAD</t>
        </is>
      </c>
      <c r="H45" t="inlineStr">
        <is>
          <t>Kyrkan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Trana</t>
        </is>
      </c>
      <c r="W45">
        <f>HYPERLINK("https://klasma.github.io/Logging_1780/artfynd/A 32531-2025 artfynd.xlsx", "A 32531-2025")</f>
        <v/>
      </c>
      <c r="X45">
        <f>HYPERLINK("https://klasma.github.io/Logging_1780/kartor/A 32531-2025 karta.png", "A 32531-2025")</f>
        <v/>
      </c>
      <c r="Y45">
        <f>HYPERLINK("https://klasma.github.io/Logging_1780/kartor_geotiff/A 32531-2025 georefererad karta.tif", "A 32531-2025")</f>
        <v/>
      </c>
      <c r="AA45">
        <f>HYPERLINK("https://klasma.github.io/Logging_1780/klagomål/A 32531-2025 FSC-klagomål.docx", "A 32531-2025")</f>
        <v/>
      </c>
      <c r="AB45">
        <f>HYPERLINK("https://klasma.github.io/Logging_1780/klagomålsmail/A 32531-2025 FSC-klagomål mail.docx", "A 32531-2025")</f>
        <v/>
      </c>
      <c r="AC45">
        <f>HYPERLINK("https://klasma.github.io/Logging_1780/tillsyn/A 32531-2025 tillsynsbegäran.docx", "A 32531-2025")</f>
        <v/>
      </c>
      <c r="AD45">
        <f>HYPERLINK("https://klasma.github.io/Logging_1780/tillsynsmail/A 32531-2025 tillsynsbegäran mail.docx", "A 32531-2025")</f>
        <v/>
      </c>
      <c r="AE45">
        <f>HYPERLINK("https://klasma.github.io/Logging_1780/fåglar/A 32531-2025 prioriterade fågelarter.docx", "A 32531-2025")</f>
        <v/>
      </c>
    </row>
    <row r="46" ht="15" customHeight="1">
      <c r="A46" t="inlineStr">
        <is>
          <t>A 49765-2025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45940</v>
      </c>
      <c r="E46" s="1" t="n">
        <v>46302</v>
      </c>
      <c r="F46" t="inlineStr">
        <is>
          <t>VÄRMLANDS LÄN</t>
        </is>
      </c>
      <c r="G46" t="inlineStr">
        <is>
          <t>KARLSTAD</t>
        </is>
      </c>
      <c r="H46" t="inlineStr">
        <is>
          <t>Bergvik skog väst AB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Slöjvaxskivling</t>
        </is>
      </c>
      <c r="W46">
        <f>HYPERLINK("https://klasma.github.io/Logging_1780/artfynd/A 49765-2025 artfynd.xlsx", "A 49765-2025")</f>
        <v/>
      </c>
      <c r="X46">
        <f>HYPERLINK("https://klasma.github.io/Logging_1780/kartor/A 49765-2025 karta.png", "A 49765-2025")</f>
        <v/>
      </c>
      <c r="Y46">
        <f>HYPERLINK("https://klasma.github.io/Logging_1780/kartor_geotiff/A 49765-2025 georefererad karta.tif", "A 49765-2025")</f>
        <v/>
      </c>
      <c r="AA46">
        <f>HYPERLINK("https://klasma.github.io/Logging_1780/klagomål/A 49765-2025 FSC-klagomål.docx", "A 49765-2025")</f>
        <v/>
      </c>
      <c r="AB46">
        <f>HYPERLINK("https://klasma.github.io/Logging_1780/klagomålsmail/A 49765-2025 FSC-klagomål mail.docx", "A 49765-2025")</f>
        <v/>
      </c>
      <c r="AC46">
        <f>HYPERLINK("https://klasma.github.io/Logging_1780/tillsyn/A 49765-2025 tillsynsbegäran.docx", "A 49765-2025")</f>
        <v/>
      </c>
      <c r="AD46">
        <f>HYPERLINK("https://klasma.github.io/Logging_1780/tillsynsmail/A 49765-2025 tillsynsbegäran mail.docx", "A 49765-2025")</f>
        <v/>
      </c>
    </row>
    <row r="47" ht="15" customHeight="1">
      <c r="A47" t="inlineStr">
        <is>
          <t>A 36886-2022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46302</v>
      </c>
      <c r="F47" t="inlineStr">
        <is>
          <t>VÄRMLANDS LÄN</t>
        </is>
      </c>
      <c r="G47" t="inlineStr">
        <is>
          <t>KARLSTAD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Gröngöling</t>
        </is>
      </c>
      <c r="W47">
        <f>HYPERLINK("https://klasma.github.io/Logging_1780/artfynd/A 36886-2022 artfynd.xlsx", "A 36886-2022")</f>
        <v/>
      </c>
      <c r="X47">
        <f>HYPERLINK("https://klasma.github.io/Logging_1780/kartor/A 36886-2022 karta.png", "A 36886-2022")</f>
        <v/>
      </c>
      <c r="Y47">
        <f>HYPERLINK("https://klasma.github.io/Logging_1780/kartor_geotiff/A 36886-2022 georefererad karta.tif", "A 36886-2022")</f>
        <v/>
      </c>
      <c r="AA47">
        <f>HYPERLINK("https://klasma.github.io/Logging_1780/klagomål/A 36886-2022 FSC-klagomål.docx", "A 36886-2022")</f>
        <v/>
      </c>
      <c r="AB47">
        <f>HYPERLINK("https://klasma.github.io/Logging_1780/klagomålsmail/A 36886-2022 FSC-klagomål mail.docx", "A 36886-2022")</f>
        <v/>
      </c>
      <c r="AC47">
        <f>HYPERLINK("https://klasma.github.io/Logging_1780/tillsyn/A 36886-2022 tillsynsbegäran.docx", "A 36886-2022")</f>
        <v/>
      </c>
      <c r="AD47">
        <f>HYPERLINK("https://klasma.github.io/Logging_1780/tillsynsmail/A 36886-2022 tillsynsbegäran mail.docx", "A 36886-2022")</f>
        <v/>
      </c>
    </row>
    <row r="48" ht="15" customHeight="1">
      <c r="A48" t="inlineStr">
        <is>
          <t>A 56238-2025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46302</v>
      </c>
      <c r="F48" t="inlineStr">
        <is>
          <t>VÄRMLANDS LÄN</t>
        </is>
      </c>
      <c r="G48" t="inlineStr">
        <is>
          <t>KARLSTAD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HYPERLINK("https://klasma.github.io/Logging_1780/artfynd/A 56238-2025 artfynd.xlsx", "A 56238-2025")</f>
        <v/>
      </c>
      <c r="X48">
        <f>HYPERLINK("https://klasma.github.io/Logging_1780/kartor/A 56238-2025 karta.png", "A 56238-2025")</f>
        <v/>
      </c>
      <c r="Y48">
        <f>HYPERLINK("https://klasma.github.io/Logging_1780/kartor_geotiff/A 56238-2025 georefererad karta.tif", "A 56238-2025")</f>
        <v/>
      </c>
      <c r="AA48">
        <f>HYPERLINK("https://klasma.github.io/Logging_1780/klagomål/A 56238-2025 FSC-klagomål.docx", "A 56238-2025")</f>
        <v/>
      </c>
      <c r="AB48">
        <f>HYPERLINK("https://klasma.github.io/Logging_1780/klagomålsmail/A 56238-2025 FSC-klagomål mail.docx", "A 56238-2025")</f>
        <v/>
      </c>
      <c r="AC48">
        <f>HYPERLINK("https://klasma.github.io/Logging_1780/tillsyn/A 56238-2025 tillsynsbegäran.docx", "A 56238-2025")</f>
        <v/>
      </c>
      <c r="AD48">
        <f>HYPERLINK("https://klasma.github.io/Logging_1780/tillsynsmail/A 56238-2025 tillsynsbegäran mail.docx", "A 56238-2025")</f>
        <v/>
      </c>
    </row>
    <row r="49" ht="15" customHeight="1">
      <c r="A49" t="inlineStr">
        <is>
          <t>A 56241-2025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46302</v>
      </c>
      <c r="F49" t="inlineStr">
        <is>
          <t>VÄRMLANDS LÄN</t>
        </is>
      </c>
      <c r="G49" t="inlineStr">
        <is>
          <t>KARLSTAD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HYPERLINK("https://klasma.github.io/Logging_1780/artfynd/A 56241-2025 artfynd.xlsx", "A 56241-2025")</f>
        <v/>
      </c>
      <c r="X49">
        <f>HYPERLINK("https://klasma.github.io/Logging_1780/kartor/A 56241-2025 karta.png", "A 56241-2025")</f>
        <v/>
      </c>
      <c r="Y49">
        <f>HYPERLINK("https://klasma.github.io/Logging_1780/kartor_geotiff/A 56241-2025 georefererad karta.tif", "A 56241-2025")</f>
        <v/>
      </c>
      <c r="AA49">
        <f>HYPERLINK("https://klasma.github.io/Logging_1780/klagomål/A 56241-2025 FSC-klagomål.docx", "A 56241-2025")</f>
        <v/>
      </c>
      <c r="AB49">
        <f>HYPERLINK("https://klasma.github.io/Logging_1780/klagomålsmail/A 56241-2025 FSC-klagomål mail.docx", "A 56241-2025")</f>
        <v/>
      </c>
      <c r="AC49">
        <f>HYPERLINK("https://klasma.github.io/Logging_1780/tillsyn/A 56241-2025 tillsynsbegäran.docx", "A 56241-2025")</f>
        <v/>
      </c>
      <c r="AD49">
        <f>HYPERLINK("https://klasma.github.io/Logging_1780/tillsynsmail/A 56241-2025 tillsynsbegäran mail.docx", "A 56241-2025")</f>
        <v/>
      </c>
    </row>
    <row r="50" ht="15" customHeight="1">
      <c r="A50" t="inlineStr">
        <is>
          <t>A 3736-2023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44949</v>
      </c>
      <c r="E50" s="1" t="n">
        <v>46302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Gullklöver</t>
        </is>
      </c>
      <c r="W50">
        <f>HYPERLINK("https://klasma.github.io/Logging_1780/artfynd/A 3736-2023 artfynd.xlsx", "A 3736-2023")</f>
        <v/>
      </c>
      <c r="X50">
        <f>HYPERLINK("https://klasma.github.io/Logging_1780/kartor/A 3736-2023 karta.png", "A 3736-2023")</f>
        <v/>
      </c>
      <c r="Y50">
        <f>HYPERLINK("https://klasma.github.io/Logging_1780/kartor_geotiff/A 3736-2023 georefererad karta.tif", "A 3736-2023")</f>
        <v/>
      </c>
      <c r="AA50">
        <f>HYPERLINK("https://klasma.github.io/Logging_1780/klagomål/A 3736-2023 FSC-klagomål.docx", "A 3736-2023")</f>
        <v/>
      </c>
      <c r="AB50">
        <f>HYPERLINK("https://klasma.github.io/Logging_1780/klagomålsmail/A 3736-2023 FSC-klagomål mail.docx", "A 3736-2023")</f>
        <v/>
      </c>
      <c r="AC50">
        <f>HYPERLINK("https://klasma.github.io/Logging_1780/tillsyn/A 3736-2023 tillsynsbegäran.docx", "A 3736-2023")</f>
        <v/>
      </c>
      <c r="AD50">
        <f>HYPERLINK("https://klasma.github.io/Logging_1780/tillsynsmail/A 3736-2023 tillsynsbegäran mail.docx", "A 3736-2023")</f>
        <v/>
      </c>
    </row>
    <row r="51" ht="15" customHeight="1">
      <c r="A51" t="inlineStr">
        <is>
          <t>A 6260-2023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44959</v>
      </c>
      <c r="E51" s="1" t="n">
        <v>46302</v>
      </c>
      <c r="F51" t="inlineStr">
        <is>
          <t>VÄRMLANDS LÄN</t>
        </is>
      </c>
      <c r="G51" t="inlineStr">
        <is>
          <t>KARLSTAD</t>
        </is>
      </c>
      <c r="I51" t="n">
        <v>2.2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Trädporella</t>
        </is>
      </c>
      <c r="W51">
        <f>HYPERLINK("https://klasma.github.io/Logging_1780/artfynd/A 6260-2023 artfynd.xlsx", "A 6260-2023")</f>
        <v/>
      </c>
      <c r="X51">
        <f>HYPERLINK("https://klasma.github.io/Logging_1780/kartor/A 6260-2023 karta.png", "A 6260-2023")</f>
        <v/>
      </c>
      <c r="Y51">
        <f>HYPERLINK("https://klasma.github.io/Logging_1780/kartor_geotiff/A 6260-2023 georefererad karta.tif", "A 6260-2023")</f>
        <v/>
      </c>
      <c r="AA51">
        <f>HYPERLINK("https://klasma.github.io/Logging_1780/klagomål/A 6260-2023 FSC-klagomål.docx", "A 6260-2023")</f>
        <v/>
      </c>
      <c r="AB51">
        <f>HYPERLINK("https://klasma.github.io/Logging_1780/klagomålsmail/A 6260-2023 FSC-klagomål mail.docx", "A 6260-2023")</f>
        <v/>
      </c>
      <c r="AC51">
        <f>HYPERLINK("https://klasma.github.io/Logging_1780/tillsyn/A 6260-2023 tillsynsbegäran.docx", "A 6260-2023")</f>
        <v/>
      </c>
      <c r="AD51">
        <f>HYPERLINK("https://klasma.github.io/Logging_1780/tillsynsmail/A 6260-2023 tillsynsbegäran mail.docx", "A 6260-2023")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46302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44650</v>
      </c>
      <c r="E53" s="1" t="n">
        <v>46302</v>
      </c>
      <c r="F53" t="inlineStr">
        <is>
          <t>VÄRMLANDS LÄN</t>
        </is>
      </c>
      <c r="G53" t="inlineStr">
        <is>
          <t>KARLSTAD</t>
        </is>
      </c>
      <c r="I53" t="n">
        <v>2.3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3</v>
      </c>
      <c r="V53" s="2" t="inlineStr">
        <is>
          <t>Knärot</t>
        </is>
      </c>
      <c r="W53">
        <f>HYPERLINK("https://klasma.github.io/Logging_1780/artfynd/A 14002-2022 artfynd.xlsx", "A 14002-2022")</f>
        <v/>
      </c>
      <c r="X53">
        <f>HYPERLINK("https://klasma.github.io/Logging_1780/kartor/A 14002-2022 karta.png", "A 14002-2022")</f>
        <v/>
      </c>
      <c r="Y53">
        <f>HYPERLINK("https://klasma.github.io/Logging_1780/kartor_geotiff/A 14002-2022 georefererad karta.tif", "A 14002-2022")</f>
        <v/>
      </c>
      <c r="Z53">
        <f>HYPERLINK("https://klasma.github.io/Logging_1780/knärot/A 14002-2022 karta knärot.png", "A 14002-2022")</f>
        <v/>
      </c>
      <c r="AA53">
        <f>HYPERLINK("https://klasma.github.io/Logging_1780/klagomål/A 14002-2022 FSC-klagomål.docx", "A 14002-2022")</f>
        <v/>
      </c>
      <c r="AB53">
        <f>HYPERLINK("https://klasma.github.io/Logging_1780/klagomålsmail/A 14002-2022 FSC-klagomål mail.docx", "A 14002-2022")</f>
        <v/>
      </c>
      <c r="AC53">
        <f>HYPERLINK("https://klasma.github.io/Logging_1780/tillsyn/A 14002-2022 tillsynsbegäran.docx", "A 14002-2022")</f>
        <v/>
      </c>
      <c r="AD53">
        <f>HYPERLINK("https://klasma.github.io/Logging_1780/tillsynsmail/A 14002-2022 tillsynsbegäran mail.docx", "A 14002-2022")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46302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59641-2021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44493</v>
      </c>
      <c r="E55" s="1" t="n">
        <v>46302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HYPERLINK("https://klasma.github.io/Logging_1780/artfynd/A 59641-2021 artfynd.xlsx", "A 59641-2021")</f>
        <v/>
      </c>
      <c r="X55">
        <f>HYPERLINK("https://klasma.github.io/Logging_1780/kartor/A 59641-2021 karta.png", "A 59641-2021")</f>
        <v/>
      </c>
      <c r="Y55">
        <f>HYPERLINK("https://klasma.github.io/Logging_1780/kartor_geotiff/A 59641-2021 georefererad karta.tif", "A 59641-2021")</f>
        <v/>
      </c>
      <c r="AA55">
        <f>HYPERLINK("https://klasma.github.io/Logging_1780/klagomål/A 59641-2021 FSC-klagomål.docx", "A 59641-2021")</f>
        <v/>
      </c>
      <c r="AB55">
        <f>HYPERLINK("https://klasma.github.io/Logging_1780/klagomålsmail/A 59641-2021 FSC-klagomål mail.docx", "A 59641-2021")</f>
        <v/>
      </c>
      <c r="AC55">
        <f>HYPERLINK("https://klasma.github.io/Logging_1780/tillsyn/A 59641-2021 tillsynsbegäran.docx", "A 59641-2021")</f>
        <v/>
      </c>
      <c r="AD55">
        <f>HYPERLINK("https://klasma.github.io/Logging_1780/tillsynsmail/A 59641-2021 tillsynsbegäran mail.docx", "A 59641-2021")</f>
        <v/>
      </c>
    </row>
    <row r="56" ht="15" customHeight="1">
      <c r="A56" t="inlineStr">
        <is>
          <t>A 17354-2023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46302</v>
      </c>
      <c r="F56" t="inlineStr">
        <is>
          <t>VÄRMLANDS LÄN</t>
        </is>
      </c>
      <c r="G56" t="inlineStr">
        <is>
          <t>KARLSTAD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HYPERLINK("https://klasma.github.io/Logging_1780/artfynd/A 17354-2023 artfynd.xlsx", "A 17354-2023")</f>
        <v/>
      </c>
      <c r="X56">
        <f>HYPERLINK("https://klasma.github.io/Logging_1780/kartor/A 17354-2023 karta.png", "A 17354-2023")</f>
        <v/>
      </c>
      <c r="Y56">
        <f>HYPERLINK("https://klasma.github.io/Logging_1780/kartor_geotiff/A 17354-2023 georefererad karta.tif", "A 17354-2023")</f>
        <v/>
      </c>
      <c r="AA56">
        <f>HYPERLINK("https://klasma.github.io/Logging_1780/klagomål/A 17354-2023 FSC-klagomål.docx", "A 17354-2023")</f>
        <v/>
      </c>
      <c r="AB56">
        <f>HYPERLINK("https://klasma.github.io/Logging_1780/klagomålsmail/A 17354-2023 FSC-klagomål mail.docx", "A 17354-2023")</f>
        <v/>
      </c>
      <c r="AC56">
        <f>HYPERLINK("https://klasma.github.io/Logging_1780/tillsyn/A 17354-2023 tillsynsbegäran.docx", "A 17354-2023")</f>
        <v/>
      </c>
      <c r="AD56">
        <f>HYPERLINK("https://klasma.github.io/Logging_1780/tillsynsmail/A 17354-2023 tillsynsbegäran mail.docx", "A 17354-2023")</f>
        <v/>
      </c>
    </row>
    <row r="57" ht="15" customHeight="1">
      <c r="A57" t="inlineStr">
        <is>
          <t>A 21919-2023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46302</v>
      </c>
      <c r="F57" t="inlineStr">
        <is>
          <t>VÄRMLANDS LÄN</t>
        </is>
      </c>
      <c r="G57" t="inlineStr">
        <is>
          <t>KARLSTAD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21919-2023 artfynd.xlsx", "A 21919-2023")</f>
        <v/>
      </c>
      <c r="X57">
        <f>HYPERLINK("https://klasma.github.io/Logging_1780/kartor/A 21919-2023 karta.png", "A 21919-2023")</f>
        <v/>
      </c>
      <c r="Y57">
        <f>HYPERLINK("https://klasma.github.io/Logging_1780/kartor_geotiff/A 21919-2023 georefererad karta.tif", "A 21919-2023")</f>
        <v/>
      </c>
      <c r="AA57">
        <f>HYPERLINK("https://klasma.github.io/Logging_1780/klagomål/A 21919-2023 FSC-klagomål.docx", "A 21919-2023")</f>
        <v/>
      </c>
      <c r="AB57">
        <f>HYPERLINK("https://klasma.github.io/Logging_1780/klagomålsmail/A 21919-2023 FSC-klagomål mail.docx", "A 21919-2023")</f>
        <v/>
      </c>
      <c r="AC57">
        <f>HYPERLINK("https://klasma.github.io/Logging_1780/tillsyn/A 21919-2023 tillsynsbegäran.docx", "A 21919-2023")</f>
        <v/>
      </c>
      <c r="AD57">
        <f>HYPERLINK("https://klasma.github.io/Logging_1780/tillsynsmail/A 21919-2023 tillsynsbegäran mail.docx", "A 21919-2023")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46302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46302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9737-2023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46302</v>
      </c>
      <c r="F60" t="inlineStr">
        <is>
          <t>VÄRMLANDS LÄN</t>
        </is>
      </c>
      <c r="G60" t="inlineStr">
        <is>
          <t>KARLSTAD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Ullticka</t>
        </is>
      </c>
      <c r="W60">
        <f>HYPERLINK("https://klasma.github.io/Logging_1780/artfynd/A 9737-2023 artfynd.xlsx", "A 9737-2023")</f>
        <v/>
      </c>
      <c r="X60">
        <f>HYPERLINK("https://klasma.github.io/Logging_1780/kartor/A 9737-2023 karta.png", "A 9737-2023")</f>
        <v/>
      </c>
      <c r="Y60">
        <f>HYPERLINK("https://klasma.github.io/Logging_1780/kartor_geotiff/A 9737-2023 georefererad karta.tif", "A 9737-2023")</f>
        <v/>
      </c>
      <c r="AA60">
        <f>HYPERLINK("https://klasma.github.io/Logging_1780/klagomål/A 9737-2023 FSC-klagomål.docx", "A 9737-2023")</f>
        <v/>
      </c>
      <c r="AB60">
        <f>HYPERLINK("https://klasma.github.io/Logging_1780/klagomålsmail/A 9737-2023 FSC-klagomål mail.docx", "A 9737-2023")</f>
        <v/>
      </c>
      <c r="AC60">
        <f>HYPERLINK("https://klasma.github.io/Logging_1780/tillsyn/A 9737-2023 tillsynsbegäran.docx", "A 9737-2023")</f>
        <v/>
      </c>
      <c r="AD60">
        <f>HYPERLINK("https://klasma.github.io/Logging_1780/tillsynsmail/A 9737-2023 tillsynsbegäran mail.docx", "A 9737-2023")</f>
        <v/>
      </c>
    </row>
    <row r="61" ht="15" customHeight="1">
      <c r="A61" t="inlineStr">
        <is>
          <t>A 9470-2023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46302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9.800000000000001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Gullviva</t>
        </is>
      </c>
      <c r="W61">
        <f>HYPERLINK("https://klasma.github.io/Logging_1780/artfynd/A 9470-2023 artfynd.xlsx", "A 9470-2023")</f>
        <v/>
      </c>
      <c r="X61">
        <f>HYPERLINK("https://klasma.github.io/Logging_1780/kartor/A 9470-2023 karta.png", "A 9470-2023")</f>
        <v/>
      </c>
      <c r="Y61">
        <f>HYPERLINK("https://klasma.github.io/Logging_1780/kartor_geotiff/A 9470-2023 georefererad karta.tif", "A 9470-2023")</f>
        <v/>
      </c>
      <c r="AA61">
        <f>HYPERLINK("https://klasma.github.io/Logging_1780/klagomål/A 9470-2023 FSC-klagomål.docx", "A 9470-2023")</f>
        <v/>
      </c>
      <c r="AB61">
        <f>HYPERLINK("https://klasma.github.io/Logging_1780/klagomålsmail/A 9470-2023 FSC-klagomål mail.docx", "A 9470-2023")</f>
        <v/>
      </c>
      <c r="AC61">
        <f>HYPERLINK("https://klasma.github.io/Logging_1780/tillsyn/A 9470-2023 tillsynsbegäran.docx", "A 9470-2023")</f>
        <v/>
      </c>
      <c r="AD61">
        <f>HYPERLINK("https://klasma.github.io/Logging_1780/tillsynsmail/A 9470-2023 tillsynsbegäran mail.docx", "A 9470-2023")</f>
        <v/>
      </c>
    </row>
    <row r="62" ht="15" customHeight="1">
      <c r="A62" t="inlineStr">
        <is>
          <t>A 18470-2022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46302</v>
      </c>
      <c r="F62" t="inlineStr">
        <is>
          <t>VÄRMLANDS LÄN</t>
        </is>
      </c>
      <c r="G62" t="inlineStr">
        <is>
          <t>KARLSTAD</t>
        </is>
      </c>
      <c r="I62" t="n">
        <v>0.9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Sparvuggla</t>
        </is>
      </c>
      <c r="W62">
        <f>HYPERLINK("https://klasma.github.io/Logging_1780/artfynd/A 18470-2022 artfynd.xlsx", "A 18470-2022")</f>
        <v/>
      </c>
      <c r="X62">
        <f>HYPERLINK("https://klasma.github.io/Logging_1780/kartor/A 18470-2022 karta.png", "A 18470-2022")</f>
        <v/>
      </c>
      <c r="Y62">
        <f>HYPERLINK("https://klasma.github.io/Logging_1780/kartor_geotiff/A 18470-2022 georefererad karta.tif", "A 18470-2022")</f>
        <v/>
      </c>
      <c r="AA62">
        <f>HYPERLINK("https://klasma.github.io/Logging_1780/klagomål/A 18470-2022 FSC-klagomål.docx", "A 18470-2022")</f>
        <v/>
      </c>
      <c r="AB62">
        <f>HYPERLINK("https://klasma.github.io/Logging_1780/klagomålsmail/A 18470-2022 FSC-klagomål mail.docx", "A 18470-2022")</f>
        <v/>
      </c>
      <c r="AC62">
        <f>HYPERLINK("https://klasma.github.io/Logging_1780/tillsyn/A 18470-2022 tillsynsbegäran.docx", "A 18470-2022")</f>
        <v/>
      </c>
      <c r="AD62">
        <f>HYPERLINK("https://klasma.github.io/Logging_1780/tillsynsmail/A 18470-2022 tillsynsbegäran mail.docx", "A 18470-2022")</f>
        <v/>
      </c>
      <c r="AE62">
        <f>HYPERLINK("https://klasma.github.io/Logging_1780/fåglar/A 18470-2022 prioriterade fågelarter.docx", "A 18470-2022")</f>
        <v/>
      </c>
    </row>
    <row r="63" ht="15" customHeight="1">
      <c r="A63" t="inlineStr">
        <is>
          <t>A 51895-2024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45607</v>
      </c>
      <c r="E63" s="1" t="n">
        <v>46302</v>
      </c>
      <c r="F63" t="inlineStr">
        <is>
          <t>VÄRMLANDS LÄN</t>
        </is>
      </c>
      <c r="G63" t="inlineStr">
        <is>
          <t>KARLSTAD</t>
        </is>
      </c>
      <c r="I63" t="n">
        <v>0.5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Strutbräken</t>
        </is>
      </c>
      <c r="W63">
        <f>HYPERLINK("https://klasma.github.io/Logging_1780/artfynd/A 51895-2024 artfynd.xlsx", "A 51895-2024")</f>
        <v/>
      </c>
      <c r="X63">
        <f>HYPERLINK("https://klasma.github.io/Logging_1780/kartor/A 51895-2024 karta.png", "A 51895-2024")</f>
        <v/>
      </c>
      <c r="Y63">
        <f>HYPERLINK("https://klasma.github.io/Logging_1780/kartor_geotiff/A 51895-2024 georefererad karta.tif", "A 51895-2024")</f>
        <v/>
      </c>
      <c r="AA63">
        <f>HYPERLINK("https://klasma.github.io/Logging_1780/klagomål/A 51895-2024 FSC-klagomål.docx", "A 51895-2024")</f>
        <v/>
      </c>
      <c r="AB63">
        <f>HYPERLINK("https://klasma.github.io/Logging_1780/klagomålsmail/A 51895-2024 FSC-klagomål mail.docx", "A 51895-2024")</f>
        <v/>
      </c>
      <c r="AC63">
        <f>HYPERLINK("https://klasma.github.io/Logging_1780/tillsyn/A 51895-2024 tillsynsbegäran.docx", "A 51895-2024")</f>
        <v/>
      </c>
      <c r="AD63">
        <f>HYPERLINK("https://klasma.github.io/Logging_1780/tillsynsmail/A 51895-2024 tillsynsbegäran mail.docx", "A 51895-2024")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46302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46302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46302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46302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46302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46302</v>
      </c>
      <c r="F69" t="inlineStr">
        <is>
          <t>VÄRMLANDS LÄN</t>
        </is>
      </c>
      <c r="G69" t="inlineStr">
        <is>
          <t>KARLSTAD</t>
        </is>
      </c>
      <c r="I69" t="n">
        <v>22.8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46302</v>
      </c>
      <c r="F70" t="inlineStr">
        <is>
          <t>VÄRMLANDS LÄN</t>
        </is>
      </c>
      <c r="G70" t="inlineStr">
        <is>
          <t>KARLSTAD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36422-2022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44804</v>
      </c>
      <c r="E71" s="1" t="n">
        <v>46302</v>
      </c>
      <c r="F71" t="inlineStr">
        <is>
          <t>VÄRMLANDS LÄN</t>
        </is>
      </c>
      <c r="G71" t="inlineStr">
        <is>
          <t>KARLSTAD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44593</v>
      </c>
      <c r="E72" s="1" t="n">
        <v>46302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46302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46302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46302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46302</v>
      </c>
      <c r="F76" t="inlineStr">
        <is>
          <t>VÄRMLANDS LÄN</t>
        </is>
      </c>
      <c r="G76" t="inlineStr">
        <is>
          <t>KARLSTAD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46302</v>
      </c>
      <c r="F77" t="inlineStr">
        <is>
          <t>VÄRMLANDS LÄN</t>
        </is>
      </c>
      <c r="G77" t="inlineStr">
        <is>
          <t>KARLSTAD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65625-2021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46302</v>
      </c>
      <c r="F78" t="inlineStr">
        <is>
          <t>VÄRMLANDS LÄN</t>
        </is>
      </c>
      <c r="G78" t="inlineStr">
        <is>
          <t>KARLSTAD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46302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46302</v>
      </c>
      <c r="F80" t="inlineStr">
        <is>
          <t>VÄRMLANDS LÄN</t>
        </is>
      </c>
      <c r="G80" t="inlineStr">
        <is>
          <t>KARLSTAD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46302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46302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46302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46302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44740</v>
      </c>
      <c r="E85" s="1" t="n">
        <v>46302</v>
      </c>
      <c r="F85" t="inlineStr">
        <is>
          <t>VÄRMLANDS LÄN</t>
        </is>
      </c>
      <c r="G85" t="inlineStr">
        <is>
          <t>KARLSTAD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46302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46302</v>
      </c>
      <c r="F87" t="inlineStr">
        <is>
          <t>VÄRMLANDS LÄN</t>
        </is>
      </c>
      <c r="G87" t="inlineStr">
        <is>
          <t>KARLSTAD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46302</v>
      </c>
      <c r="F88" t="inlineStr">
        <is>
          <t>VÄRMLANDS LÄN</t>
        </is>
      </c>
      <c r="G88" t="inlineStr">
        <is>
          <t>KARLSTAD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46302</v>
      </c>
      <c r="F89" t="inlineStr">
        <is>
          <t>VÄRMLANDS LÄN</t>
        </is>
      </c>
      <c r="G89" t="inlineStr">
        <is>
          <t>KARLSTAD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46302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46302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46302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46302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14854-2022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44656</v>
      </c>
      <c r="E94" s="1" t="n">
        <v>46302</v>
      </c>
      <c r="F94" t="inlineStr">
        <is>
          <t>VÄRMLANDS LÄN</t>
        </is>
      </c>
      <c r="G94" t="inlineStr">
        <is>
          <t>KARLSTAD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44867</v>
      </c>
      <c r="E95" s="1" t="n">
        <v>46302</v>
      </c>
      <c r="F95" t="inlineStr">
        <is>
          <t>VÄRMLANDS LÄN</t>
        </is>
      </c>
      <c r="G95" t="inlineStr">
        <is>
          <t>KARLSTAD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46302</v>
      </c>
      <c r="F96" t="inlineStr">
        <is>
          <t>VÄRMLANDS LÄN</t>
        </is>
      </c>
      <c r="G96" t="inlineStr">
        <is>
          <t>KARLSTAD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46302</v>
      </c>
      <c r="F97" t="inlineStr">
        <is>
          <t>VÄRMLANDS LÄN</t>
        </is>
      </c>
      <c r="G97" t="inlineStr">
        <is>
          <t>KARLSTAD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46302</v>
      </c>
      <c r="F98" t="inlineStr">
        <is>
          <t>VÄRMLANDS LÄN</t>
        </is>
      </c>
      <c r="G98" t="inlineStr">
        <is>
          <t>KARLSTAD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46302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61514-2021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46302</v>
      </c>
      <c r="F100" t="inlineStr">
        <is>
          <t>VÄRMLANDS LÄN</t>
        </is>
      </c>
      <c r="G100" t="inlineStr">
        <is>
          <t>KARLSTAD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46302</v>
      </c>
      <c r="F101" t="inlineStr">
        <is>
          <t>VÄRMLANDS LÄN</t>
        </is>
      </c>
      <c r="G101" t="inlineStr">
        <is>
          <t>KARLSTAD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70123-2021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46302</v>
      </c>
      <c r="F102" t="inlineStr">
        <is>
          <t>VÄRMLANDS LÄN</t>
        </is>
      </c>
      <c r="G102" t="inlineStr">
        <is>
          <t>KARLSTAD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70144-2021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46302</v>
      </c>
      <c r="F103" t="inlineStr">
        <is>
          <t>VÄRMLANDS LÄN</t>
        </is>
      </c>
      <c r="G103" t="inlineStr">
        <is>
          <t>KARLSTAD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46302</v>
      </c>
      <c r="F104" t="inlineStr">
        <is>
          <t>VÄRMLANDS LÄN</t>
        </is>
      </c>
      <c r="G104" t="inlineStr">
        <is>
          <t>KARLSTAD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46302</v>
      </c>
      <c r="F105" t="inlineStr">
        <is>
          <t>VÄRMLANDS LÄN</t>
        </is>
      </c>
      <c r="G105" t="inlineStr">
        <is>
          <t>KARLSTAD</t>
        </is>
      </c>
      <c r="H105" t="inlineStr">
        <is>
          <t>Naturvårdsverket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73318-2021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46302</v>
      </c>
      <c r="F106" t="inlineStr">
        <is>
          <t>VÄRMLANDS LÄN</t>
        </is>
      </c>
      <c r="G106" t="inlineStr">
        <is>
          <t>KARLSTAD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40855-2022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44825</v>
      </c>
      <c r="E107" s="1" t="n">
        <v>46302</v>
      </c>
      <c r="F107" t="inlineStr">
        <is>
          <t>VÄRMLANDS LÄN</t>
        </is>
      </c>
      <c r="G107" t="inlineStr">
        <is>
          <t>KARLSTAD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46302</v>
      </c>
      <c r="F108" t="inlineStr">
        <is>
          <t>VÄRMLANDS LÄN</t>
        </is>
      </c>
      <c r="G108" t="inlineStr">
        <is>
          <t>KARLSTAD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44483</v>
      </c>
      <c r="E109" s="1" t="n">
        <v>46302</v>
      </c>
      <c r="F109" t="inlineStr">
        <is>
          <t>VÄRMLANDS LÄN</t>
        </is>
      </c>
      <c r="G109" t="inlineStr">
        <is>
          <t>KARLSTAD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8483-2022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44613</v>
      </c>
      <c r="E110" s="1" t="n">
        <v>46302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46302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46302</v>
      </c>
      <c r="F112" t="inlineStr">
        <is>
          <t>VÄRMLANDS LÄN</t>
        </is>
      </c>
      <c r="G112" t="inlineStr">
        <is>
          <t>KARLSTAD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44593</v>
      </c>
      <c r="E113" s="1" t="n">
        <v>46302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44623</v>
      </c>
      <c r="E114" s="1" t="n">
        <v>46302</v>
      </c>
      <c r="F114" t="inlineStr">
        <is>
          <t>VÄRMLANDS LÄN</t>
        </is>
      </c>
      <c r="G114" t="inlineStr">
        <is>
          <t>KARLSTAD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46302</v>
      </c>
      <c r="F115" t="inlineStr">
        <is>
          <t>VÄRMLANDS LÄN</t>
        </is>
      </c>
      <c r="G115" t="inlineStr">
        <is>
          <t>KARLSTAD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44754</v>
      </c>
      <c r="E116" s="1" t="n">
        <v>46302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57391-2021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44483</v>
      </c>
      <c r="E117" s="1" t="n">
        <v>46302</v>
      </c>
      <c r="F117" t="inlineStr">
        <is>
          <t>VÄRMLANDS LÄN</t>
        </is>
      </c>
      <c r="G117" t="inlineStr">
        <is>
          <t>KARLSTAD</t>
        </is>
      </c>
      <c r="H117" t="inlineStr">
        <is>
          <t>Kommuner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73004-2021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44547</v>
      </c>
      <c r="E118" s="1" t="n">
        <v>46302</v>
      </c>
      <c r="F118" t="inlineStr">
        <is>
          <t>VÄRMLANDS LÄN</t>
        </is>
      </c>
      <c r="G118" t="inlineStr">
        <is>
          <t>KARLSTAD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46302</v>
      </c>
      <c r="F119" t="inlineStr">
        <is>
          <t>VÄRMLANDS LÄN</t>
        </is>
      </c>
      <c r="G119" t="inlineStr">
        <is>
          <t>KARLSTAD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46302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46302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46302</v>
      </c>
      <c r="F122" t="inlineStr">
        <is>
          <t>VÄRMLANDS LÄN</t>
        </is>
      </c>
      <c r="G122" t="inlineStr">
        <is>
          <t>KARLSTAD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44763</v>
      </c>
      <c r="E123" s="1" t="n">
        <v>46302</v>
      </c>
      <c r="F123" t="inlineStr">
        <is>
          <t>VÄRMLANDS LÄN</t>
        </is>
      </c>
      <c r="G123" t="inlineStr">
        <is>
          <t>KARLSTAD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45039</v>
      </c>
      <c r="E124" s="1" t="n">
        <v>46302</v>
      </c>
      <c r="F124" t="inlineStr">
        <is>
          <t>VÄRMLANDS LÄN</t>
        </is>
      </c>
      <c r="G124" t="inlineStr">
        <is>
          <t>KARLSTAD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46302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45393</v>
      </c>
      <c r="E126" s="1" t="n">
        <v>46302</v>
      </c>
      <c r="F126" t="inlineStr">
        <is>
          <t>VÄRMLANDS LÄN</t>
        </is>
      </c>
      <c r="G126" t="inlineStr">
        <is>
          <t>KARLSTAD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46302</v>
      </c>
      <c r="F127" t="inlineStr">
        <is>
          <t>VÄRMLANDS LÄN</t>
        </is>
      </c>
      <c r="G127" t="inlineStr">
        <is>
          <t>KARLSTAD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46302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45551</v>
      </c>
      <c r="E129" s="1" t="n">
        <v>46302</v>
      </c>
      <c r="F129" t="inlineStr">
        <is>
          <t>VÄRMLANDS LÄN</t>
        </is>
      </c>
      <c r="G129" t="inlineStr">
        <is>
          <t>KARLSTAD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46302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45095</v>
      </c>
      <c r="E131" s="1" t="n">
        <v>46302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46302</v>
      </c>
      <c r="F132" t="inlineStr">
        <is>
          <t>VÄRMLANDS LÄN</t>
        </is>
      </c>
      <c r="G132" t="inlineStr">
        <is>
          <t>KARLSTAD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46302</v>
      </c>
      <c r="F133" t="inlineStr">
        <is>
          <t>VÄRMLANDS LÄN</t>
        </is>
      </c>
      <c r="G133" t="inlineStr">
        <is>
          <t>KARLSTAD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45201</v>
      </c>
      <c r="E134" s="1" t="n">
        <v>46302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44099-2024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46302</v>
      </c>
      <c r="F135" t="inlineStr">
        <is>
          <t>VÄRMLANDS LÄN</t>
        </is>
      </c>
      <c r="G135" t="inlineStr">
        <is>
          <t>KARLSTAD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73753-2021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46302</v>
      </c>
      <c r="F136" t="inlineStr">
        <is>
          <t>VÄRMLANDS LÄN</t>
        </is>
      </c>
      <c r="G136" t="inlineStr">
        <is>
          <t>KARLSTAD</t>
        </is>
      </c>
      <c r="H136" t="inlineStr">
        <is>
          <t>Kyrkan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45698</v>
      </c>
      <c r="E137" s="1" t="n">
        <v>46302</v>
      </c>
      <c r="F137" t="inlineStr">
        <is>
          <t>VÄRMLANDS LÄN</t>
        </is>
      </c>
      <c r="G137" t="inlineStr">
        <is>
          <t>KARLSTAD</t>
        </is>
      </c>
      <c r="I137" t="n">
        <v>20.6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46302</v>
      </c>
      <c r="F138" t="inlineStr">
        <is>
          <t>VÄRMLANDS LÄN</t>
        </is>
      </c>
      <c r="G138" t="inlineStr">
        <is>
          <t>KARLSTAD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46302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46302</v>
      </c>
      <c r="F140" t="inlineStr">
        <is>
          <t>VÄRMLANDS LÄN</t>
        </is>
      </c>
      <c r="G140" t="inlineStr">
        <is>
          <t>KARLSTAD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46302</v>
      </c>
      <c r="F141" t="inlineStr">
        <is>
          <t>VÄRMLANDS LÄN</t>
        </is>
      </c>
      <c r="G141" t="inlineStr">
        <is>
          <t>KARLSTAD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45487</v>
      </c>
      <c r="E142" s="1" t="n">
        <v>46302</v>
      </c>
      <c r="F142" t="inlineStr">
        <is>
          <t>VÄRMLANDS LÄN</t>
        </is>
      </c>
      <c r="G142" t="inlineStr">
        <is>
          <t>KARLSTAD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45077</v>
      </c>
      <c r="E143" s="1" t="n">
        <v>46302</v>
      </c>
      <c r="F143" t="inlineStr">
        <is>
          <t>VÄRMLANDS LÄN</t>
        </is>
      </c>
      <c r="G143" t="inlineStr">
        <is>
          <t>KARLSTAD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46302</v>
      </c>
      <c r="F144" t="inlineStr">
        <is>
          <t>VÄRMLANDS LÄN</t>
        </is>
      </c>
      <c r="G144" t="inlineStr">
        <is>
          <t>KARLSTAD</t>
        </is>
      </c>
      <c r="H144" t="inlineStr">
        <is>
          <t>Kommuner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46302</v>
      </c>
      <c r="F145" t="inlineStr">
        <is>
          <t>VÄRMLANDS LÄN</t>
        </is>
      </c>
      <c r="G145" t="inlineStr">
        <is>
          <t>KARLSTAD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45457</v>
      </c>
      <c r="E146" s="1" t="n">
        <v>46302</v>
      </c>
      <c r="F146" t="inlineStr">
        <is>
          <t>VÄRMLANDS LÄN</t>
        </is>
      </c>
      <c r="G146" t="inlineStr">
        <is>
          <t>KARLSTAD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46302</v>
      </c>
      <c r="F147" t="inlineStr">
        <is>
          <t>VÄRMLANDS LÄN</t>
        </is>
      </c>
      <c r="G147" t="inlineStr">
        <is>
          <t>KARLSTAD</t>
        </is>
      </c>
      <c r="I147" t="n">
        <v>22.7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46302</v>
      </c>
      <c r="F148" t="inlineStr">
        <is>
          <t>VÄRMLANDS LÄN</t>
        </is>
      </c>
      <c r="G148" t="inlineStr">
        <is>
          <t>KARLSTAD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46302</v>
      </c>
      <c r="F149" t="inlineStr">
        <is>
          <t>VÄRMLANDS LÄN</t>
        </is>
      </c>
      <c r="G149" t="inlineStr">
        <is>
          <t>KARLSTAD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46302</v>
      </c>
      <c r="F150" t="inlineStr">
        <is>
          <t>VÄRMLANDS LÄN</t>
        </is>
      </c>
      <c r="G150" t="inlineStr">
        <is>
          <t>KARLSTAD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46302</v>
      </c>
      <c r="F151" t="inlineStr">
        <is>
          <t>VÄRMLANDS LÄN</t>
        </is>
      </c>
      <c r="G151" t="inlineStr">
        <is>
          <t>KARLSTAD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46302</v>
      </c>
      <c r="F152" t="inlineStr">
        <is>
          <t>VÄRMLANDS LÄN</t>
        </is>
      </c>
      <c r="G152" t="inlineStr">
        <is>
          <t>KARLSTAD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44985</v>
      </c>
      <c r="E153" s="1" t="n">
        <v>46302</v>
      </c>
      <c r="F153" t="inlineStr">
        <is>
          <t>VÄRMLANDS LÄN</t>
        </is>
      </c>
      <c r="G153" t="inlineStr">
        <is>
          <t>KARLSTAD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46302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46302</v>
      </c>
      <c r="F155" t="inlineStr">
        <is>
          <t>VÄRMLANDS LÄN</t>
        </is>
      </c>
      <c r="G155" t="inlineStr">
        <is>
          <t>KARLSTAD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46302</v>
      </c>
      <c r="F156" t="inlineStr">
        <is>
          <t>VÄRMLANDS LÄN</t>
        </is>
      </c>
      <c r="G156" t="inlineStr">
        <is>
          <t>KARLSTAD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57100-2022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46302</v>
      </c>
      <c r="F157" t="inlineStr">
        <is>
          <t>VÄRMLANDS LÄN</t>
        </is>
      </c>
      <c r="G157" t="inlineStr">
        <is>
          <t>KARLSTAD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46302</v>
      </c>
      <c r="F158" t="inlineStr">
        <is>
          <t>VÄRMLANDS LÄN</t>
        </is>
      </c>
      <c r="G158" t="inlineStr">
        <is>
          <t>KARLSTAD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46302</v>
      </c>
      <c r="F159" t="inlineStr">
        <is>
          <t>VÄRMLANDS LÄN</t>
        </is>
      </c>
      <c r="G159" t="inlineStr">
        <is>
          <t>KARLSTAD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46302</v>
      </c>
      <c r="F160" t="inlineStr">
        <is>
          <t>VÄRMLANDS LÄN</t>
        </is>
      </c>
      <c r="G160" t="inlineStr">
        <is>
          <t>KARLSTAD</t>
        </is>
      </c>
      <c r="H160" t="inlineStr">
        <is>
          <t>Övriga statliga verk och myndigheter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46302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46302</v>
      </c>
      <c r="F162" t="inlineStr">
        <is>
          <t>VÄRMLANDS LÄN</t>
        </is>
      </c>
      <c r="G162" t="inlineStr">
        <is>
          <t>KARLSTAD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45704</v>
      </c>
      <c r="E163" s="1" t="n">
        <v>46302</v>
      </c>
      <c r="F163" t="inlineStr">
        <is>
          <t>VÄRMLANDS LÄN</t>
        </is>
      </c>
      <c r="G163" t="inlineStr">
        <is>
          <t>KARLSTAD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46302</v>
      </c>
      <c r="F164" t="inlineStr">
        <is>
          <t>VÄRMLANDS LÄN</t>
        </is>
      </c>
      <c r="G164" t="inlineStr">
        <is>
          <t>KARLSTAD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44754</v>
      </c>
      <c r="E165" s="1" t="n">
        <v>46302</v>
      </c>
      <c r="F165" t="inlineStr">
        <is>
          <t>VÄRMLANDS LÄN</t>
        </is>
      </c>
      <c r="G165" t="inlineStr">
        <is>
          <t>KARLSTAD</t>
        </is>
      </c>
      <c r="H165" t="inlineStr">
        <is>
          <t>Kommuner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46302</v>
      </c>
      <c r="F166" t="inlineStr">
        <is>
          <t>VÄRMLANDS LÄN</t>
        </is>
      </c>
      <c r="G166" t="inlineStr">
        <is>
          <t>KARLSTAD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46302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46302</v>
      </c>
      <c r="F168" t="inlineStr">
        <is>
          <t>VÄRMLANDS LÄN</t>
        </is>
      </c>
      <c r="G168" t="inlineStr">
        <is>
          <t>KARLSTAD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46302</v>
      </c>
      <c r="F169" t="inlineStr">
        <is>
          <t>VÄRMLANDS LÄN</t>
        </is>
      </c>
      <c r="G169" t="inlineStr">
        <is>
          <t>KARLSTAD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46302</v>
      </c>
      <c r="F170" t="inlineStr">
        <is>
          <t>VÄRMLANDS LÄN</t>
        </is>
      </c>
      <c r="G170" t="inlineStr">
        <is>
          <t>KARLSTAD</t>
        </is>
      </c>
      <c r="H170" t="inlineStr">
        <is>
          <t>Kyrkan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46302</v>
      </c>
      <c r="F171" t="inlineStr">
        <is>
          <t>VÄRMLANDS LÄN</t>
        </is>
      </c>
      <c r="G171" t="inlineStr">
        <is>
          <t>KARLSTAD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46302</v>
      </c>
      <c r="F172" t="inlineStr">
        <is>
          <t>VÄRMLANDS LÄN</t>
        </is>
      </c>
      <c r="G172" t="inlineStr">
        <is>
          <t>KARLSTAD</t>
        </is>
      </c>
      <c r="H172" t="inlineStr">
        <is>
          <t>Kyrkan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45751</v>
      </c>
      <c r="E173" s="1" t="n">
        <v>46302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46302</v>
      </c>
      <c r="F174" t="inlineStr">
        <is>
          <t>VÄRMLANDS LÄN</t>
        </is>
      </c>
      <c r="G174" t="inlineStr">
        <is>
          <t>KARLSTAD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45095</v>
      </c>
      <c r="E175" s="1" t="n">
        <v>46302</v>
      </c>
      <c r="F175" t="inlineStr">
        <is>
          <t>VÄRMLANDS LÄN</t>
        </is>
      </c>
      <c r="G175" t="inlineStr">
        <is>
          <t>KARLSTAD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46302</v>
      </c>
      <c r="F176" t="inlineStr">
        <is>
          <t>VÄRMLANDS LÄN</t>
        </is>
      </c>
      <c r="G176" t="inlineStr">
        <is>
          <t>KARLSTAD</t>
        </is>
      </c>
      <c r="H176" t="inlineStr">
        <is>
          <t>Kommuner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46302</v>
      </c>
      <c r="F177" t="inlineStr">
        <is>
          <t>VÄRMLANDS LÄN</t>
        </is>
      </c>
      <c r="G177" t="inlineStr">
        <is>
          <t>KARLSTAD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46302</v>
      </c>
      <c r="F178" t="inlineStr">
        <is>
          <t>VÄRMLANDS LÄN</t>
        </is>
      </c>
      <c r="G178" t="inlineStr">
        <is>
          <t>KARLSTAD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45810</v>
      </c>
      <c r="E179" s="1" t="n">
        <v>46302</v>
      </c>
      <c r="F179" t="inlineStr">
        <is>
          <t>VÄRMLANDS LÄN</t>
        </is>
      </c>
      <c r="G179" t="inlineStr">
        <is>
          <t>KARLSTAD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46302</v>
      </c>
      <c r="F180" t="inlineStr">
        <is>
          <t>VÄRMLANDS LÄN</t>
        </is>
      </c>
      <c r="G180" t="inlineStr">
        <is>
          <t>KARLSTAD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46302</v>
      </c>
      <c r="F181" t="inlineStr">
        <is>
          <t>VÄRMLANDS LÄN</t>
        </is>
      </c>
      <c r="G181" t="inlineStr">
        <is>
          <t>KARLSTAD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46302</v>
      </c>
      <c r="F182" t="inlineStr">
        <is>
          <t>VÄRMLANDS LÄN</t>
        </is>
      </c>
      <c r="G182" t="inlineStr">
        <is>
          <t>KARLSTAD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44566</v>
      </c>
      <c r="E183" s="1" t="n">
        <v>46302</v>
      </c>
      <c r="F183" t="inlineStr">
        <is>
          <t>VÄRMLANDS LÄN</t>
        </is>
      </c>
      <c r="G183" t="inlineStr">
        <is>
          <t>KARLSTAD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10260-2025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46302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45560</v>
      </c>
      <c r="E185" s="1" t="n">
        <v>46302</v>
      </c>
      <c r="F185" t="inlineStr">
        <is>
          <t>VÄRMLANDS LÄN</t>
        </is>
      </c>
      <c r="G185" t="inlineStr">
        <is>
          <t>KARLSTAD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45711</v>
      </c>
      <c r="E186" s="1" t="n">
        <v>46302</v>
      </c>
      <c r="F186" t="inlineStr">
        <is>
          <t>VÄRMLANDS LÄN</t>
        </is>
      </c>
      <c r="G186" t="inlineStr">
        <is>
          <t>KARLSTAD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46302</v>
      </c>
      <c r="F187" t="inlineStr">
        <is>
          <t>VÄRMLANDS LÄN</t>
        </is>
      </c>
      <c r="G187" t="inlineStr">
        <is>
          <t>KARLSTAD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55764-2022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46302</v>
      </c>
      <c r="F188" t="inlineStr">
        <is>
          <t>VÄRMLANDS LÄN</t>
        </is>
      </c>
      <c r="G188" t="inlineStr">
        <is>
          <t>KARLSTAD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  <c r="Z188">
        <f>HYPERLINK("https://klasma.github.io/Logging_1780/knärot/A 55764-2022 karta knärot.png", "A 55764-2022")</f>
        <v/>
      </c>
      <c r="AA188">
        <f>HYPERLINK("https://klasma.github.io/Logging_1780/klagomål/A 55764-2022 FSC-klagomål.docx", "A 55764-2022")</f>
        <v/>
      </c>
      <c r="AB188">
        <f>HYPERLINK("https://klasma.github.io/Logging_1780/klagomålsmail/A 55764-2022 FSC-klagomål mail.docx", "A 55764-2022")</f>
        <v/>
      </c>
      <c r="AC188">
        <f>HYPERLINK("https://klasma.github.io/Logging_1780/tillsyn/A 55764-2022 tillsynsbegäran.docx", "A 55764-2022")</f>
        <v/>
      </c>
      <c r="AD188">
        <f>HYPERLINK("https://klasma.github.io/Logging_1780/tillsynsmail/A 55764-2022 tillsynsbegäran mail.docx", "A 55764-2022")</f>
        <v/>
      </c>
    </row>
    <row r="189" ht="15" customHeight="1">
      <c r="A189" t="inlineStr">
        <is>
          <t>A 41376-2024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46302</v>
      </c>
      <c r="F189" t="inlineStr">
        <is>
          <t>VÄRMLANDS LÄN</t>
        </is>
      </c>
      <c r="G189" t="inlineStr">
        <is>
          <t>KARLSTAD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46302</v>
      </c>
      <c r="F190" t="inlineStr">
        <is>
          <t>VÄRMLANDS LÄN</t>
        </is>
      </c>
      <c r="G190" t="inlineStr">
        <is>
          <t>KARLSTAD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46302</v>
      </c>
      <c r="F191" t="inlineStr">
        <is>
          <t>VÄRMLANDS LÄN</t>
        </is>
      </c>
      <c r="G191" t="inlineStr">
        <is>
          <t>KARLSTAD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46302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46302</v>
      </c>
      <c r="F193" t="inlineStr">
        <is>
          <t>VÄRMLANDS LÄN</t>
        </is>
      </c>
      <c r="G193" t="inlineStr">
        <is>
          <t>KARLSTAD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46302</v>
      </c>
      <c r="F194" t="inlineStr">
        <is>
          <t>VÄRMLANDS LÄN</t>
        </is>
      </c>
      <c r="G194" t="inlineStr">
        <is>
          <t>KARLSTAD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46302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44654</v>
      </c>
      <c r="E196" s="1" t="n">
        <v>46302</v>
      </c>
      <c r="F196" t="inlineStr">
        <is>
          <t>VÄRMLANDS LÄN</t>
        </is>
      </c>
      <c r="G196" t="inlineStr">
        <is>
          <t>KARLSTAD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44888</v>
      </c>
      <c r="E197" s="1" t="n">
        <v>46302</v>
      </c>
      <c r="F197" t="inlineStr">
        <is>
          <t>VÄRMLANDS LÄN</t>
        </is>
      </c>
      <c r="G197" t="inlineStr">
        <is>
          <t>KARLSTAD</t>
        </is>
      </c>
      <c r="H197" t="inlineStr">
        <is>
          <t>Bergvik skog väst AB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46302</v>
      </c>
      <c r="F198" t="inlineStr">
        <is>
          <t>VÄRMLANDS LÄN</t>
        </is>
      </c>
      <c r="G198" t="inlineStr">
        <is>
          <t>KARLSTAD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46302</v>
      </c>
      <c r="F199" t="inlineStr">
        <is>
          <t>VÄRMLANDS LÄN</t>
        </is>
      </c>
      <c r="G199" t="inlineStr">
        <is>
          <t>KARLSTAD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46302</v>
      </c>
      <c r="F200" t="inlineStr">
        <is>
          <t>VÄRMLANDS LÄN</t>
        </is>
      </c>
      <c r="G200" t="inlineStr">
        <is>
          <t>KARLSTAD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46302</v>
      </c>
      <c r="F201" t="inlineStr">
        <is>
          <t>VÄRMLANDS LÄN</t>
        </is>
      </c>
      <c r="G201" t="inlineStr">
        <is>
          <t>KARLSTAD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46302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46302</v>
      </c>
      <c r="F203" t="inlineStr">
        <is>
          <t>VÄRMLANDS LÄN</t>
        </is>
      </c>
      <c r="G203" t="inlineStr">
        <is>
          <t>KARLSTAD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46302</v>
      </c>
      <c r="F204" t="inlineStr">
        <is>
          <t>VÄRMLANDS LÄN</t>
        </is>
      </c>
      <c r="G204" t="inlineStr">
        <is>
          <t>KARLSTAD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46302</v>
      </c>
      <c r="F205" t="inlineStr">
        <is>
          <t>VÄRMLANDS LÄN</t>
        </is>
      </c>
      <c r="G205" t="inlineStr">
        <is>
          <t>KARLSTAD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43400-2025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45911</v>
      </c>
      <c r="E206" s="1" t="n">
        <v>46302</v>
      </c>
      <c r="F206" t="inlineStr">
        <is>
          <t>VÄRMLANDS LÄN</t>
        </is>
      </c>
      <c r="G206" t="inlineStr">
        <is>
          <t>KARLSTAD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46302</v>
      </c>
      <c r="F207" t="inlineStr">
        <is>
          <t>VÄRMLANDS LÄN</t>
        </is>
      </c>
      <c r="G207" t="inlineStr">
        <is>
          <t>KARLSTAD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46302</v>
      </c>
      <c r="F208" t="inlineStr">
        <is>
          <t>VÄRMLANDS LÄN</t>
        </is>
      </c>
      <c r="G208" t="inlineStr">
        <is>
          <t>KARLSTAD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46302</v>
      </c>
      <c r="F209" t="inlineStr">
        <is>
          <t>VÄRMLANDS LÄN</t>
        </is>
      </c>
      <c r="G209" t="inlineStr">
        <is>
          <t>KARLSTAD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46302</v>
      </c>
      <c r="F210" t="inlineStr">
        <is>
          <t>VÄRMLANDS LÄN</t>
        </is>
      </c>
      <c r="G210" t="inlineStr">
        <is>
          <t>KARLSTAD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45822</v>
      </c>
      <c r="E211" s="1" t="n">
        <v>46302</v>
      </c>
      <c r="F211" t="inlineStr">
        <is>
          <t>VÄRMLANDS LÄN</t>
        </is>
      </c>
      <c r="G211" t="inlineStr">
        <is>
          <t>KARLSTAD</t>
        </is>
      </c>
      <c r="I211" t="n">
        <v>23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46302</v>
      </c>
      <c r="F212" t="inlineStr">
        <is>
          <t>VÄRMLANDS LÄN</t>
        </is>
      </c>
      <c r="G212" t="inlineStr">
        <is>
          <t>KARLSTAD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46302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47349-2022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44852</v>
      </c>
      <c r="E214" s="1" t="n">
        <v>46302</v>
      </c>
      <c r="F214" t="inlineStr">
        <is>
          <t>VÄRMLANDS LÄN</t>
        </is>
      </c>
      <c r="G214" t="inlineStr">
        <is>
          <t>KARLSTAD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46302</v>
      </c>
      <c r="F215" t="inlineStr">
        <is>
          <t>VÄRMLANDS LÄN</t>
        </is>
      </c>
      <c r="G215" t="inlineStr">
        <is>
          <t>KARLSTAD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46302</v>
      </c>
      <c r="F216" t="inlineStr">
        <is>
          <t>VÄRMLANDS LÄN</t>
        </is>
      </c>
      <c r="G216" t="inlineStr">
        <is>
          <t>KARLSTAD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44952</v>
      </c>
      <c r="E217" s="1" t="n">
        <v>46302</v>
      </c>
      <c r="F217" t="inlineStr">
        <is>
          <t>VÄRMLANDS LÄN</t>
        </is>
      </c>
      <c r="G217" t="inlineStr">
        <is>
          <t>KARLSTAD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46302</v>
      </c>
      <c r="F218" t="inlineStr">
        <is>
          <t>VÄRMLANDS LÄN</t>
        </is>
      </c>
      <c r="G218" t="inlineStr">
        <is>
          <t>KARLSTAD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46302</v>
      </c>
      <c r="F219" t="inlineStr">
        <is>
          <t>VÄRMLANDS LÄN</t>
        </is>
      </c>
      <c r="G219" t="inlineStr">
        <is>
          <t>KARLSTAD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46082</v>
      </c>
      <c r="E220" s="1" t="n">
        <v>46302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46302</v>
      </c>
      <c r="F221" t="inlineStr">
        <is>
          <t>VÄRMLANDS LÄN</t>
        </is>
      </c>
      <c r="G221" t="inlineStr">
        <is>
          <t>KARLSTAD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46302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46302</v>
      </c>
      <c r="F223" t="inlineStr">
        <is>
          <t>VÄRMLANDS LÄN</t>
        </is>
      </c>
      <c r="G223" t="inlineStr">
        <is>
          <t>KARLSTAD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57780-2021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44484</v>
      </c>
      <c r="E224" s="1" t="n">
        <v>46302</v>
      </c>
      <c r="F224" t="inlineStr">
        <is>
          <t>VÄRMLANDS LÄN</t>
        </is>
      </c>
      <c r="G224" t="inlineStr">
        <is>
          <t>KARLSTAD</t>
        </is>
      </c>
      <c r="H224" t="inlineStr">
        <is>
          <t>Kommuner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46302</v>
      </c>
      <c r="F225" t="inlineStr">
        <is>
          <t>VÄRMLANDS LÄN</t>
        </is>
      </c>
      <c r="G225" t="inlineStr">
        <is>
          <t>KARLSTAD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46302</v>
      </c>
      <c r="F226" t="inlineStr">
        <is>
          <t>VÄRMLANDS LÄN</t>
        </is>
      </c>
      <c r="G226" t="inlineStr">
        <is>
          <t>KARLSTAD</t>
        </is>
      </c>
      <c r="H226" t="inlineStr">
        <is>
          <t>Bergvik skog väst AB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12903-2026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46092</v>
      </c>
      <c r="E227" s="1" t="n">
        <v>46302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46302</v>
      </c>
      <c r="F228" t="inlineStr">
        <is>
          <t>VÄRMLANDS LÄN</t>
        </is>
      </c>
      <c r="G228" t="inlineStr">
        <is>
          <t>KARLSTAD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46302</v>
      </c>
      <c r="F229" t="inlineStr">
        <is>
          <t>VÄRMLANDS LÄN</t>
        </is>
      </c>
      <c r="G229" t="inlineStr">
        <is>
          <t>KARLSTAD</t>
        </is>
      </c>
      <c r="H229" t="inlineStr">
        <is>
          <t>Bergvik skog väst AB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46302</v>
      </c>
      <c r="F230" t="inlineStr">
        <is>
          <t>VÄRMLANDS LÄN</t>
        </is>
      </c>
      <c r="G230" t="inlineStr">
        <is>
          <t>KARLSTAD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46302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46302</v>
      </c>
      <c r="F232" t="inlineStr">
        <is>
          <t>VÄRMLANDS LÄN</t>
        </is>
      </c>
      <c r="G232" t="inlineStr">
        <is>
          <t>KARLSTAD</t>
        </is>
      </c>
      <c r="I232" t="n">
        <v>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46302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46302</v>
      </c>
      <c r="F234" t="inlineStr">
        <is>
          <t>VÄRMLANDS LÄN</t>
        </is>
      </c>
      <c r="G234" t="inlineStr">
        <is>
          <t>KARLSTAD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45260</v>
      </c>
      <c r="E235" s="1" t="n">
        <v>46302</v>
      </c>
      <c r="F235" t="inlineStr">
        <is>
          <t>VÄRMLANDS LÄN</t>
        </is>
      </c>
      <c r="G235" t="inlineStr">
        <is>
          <t>KARLSTAD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46302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46302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46302</v>
      </c>
      <c r="F238" t="inlineStr">
        <is>
          <t>VÄRMLANDS LÄN</t>
        </is>
      </c>
      <c r="G238" t="inlineStr">
        <is>
          <t>KARLSTAD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46302</v>
      </c>
      <c r="F239" t="inlineStr">
        <is>
          <t>VÄRMLANDS LÄN</t>
        </is>
      </c>
      <c r="G239" t="inlineStr">
        <is>
          <t>KARLSTAD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46302</v>
      </c>
      <c r="F240" t="inlineStr">
        <is>
          <t>VÄRMLANDS LÄN</t>
        </is>
      </c>
      <c r="G240" t="inlineStr">
        <is>
          <t>KARLSTAD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46302</v>
      </c>
      <c r="F241" t="inlineStr">
        <is>
          <t>VÄRMLANDS LÄN</t>
        </is>
      </c>
      <c r="G241" t="inlineStr">
        <is>
          <t>KARLSTAD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46302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46302</v>
      </c>
      <c r="F243" t="inlineStr">
        <is>
          <t>VÄRMLANDS LÄN</t>
        </is>
      </c>
      <c r="G243" t="inlineStr">
        <is>
          <t>KARLSTAD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46302</v>
      </c>
      <c r="F244" t="inlineStr">
        <is>
          <t>VÄRMLANDS LÄN</t>
        </is>
      </c>
      <c r="G244" t="inlineStr">
        <is>
          <t>KARLSTAD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14079-2026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46099</v>
      </c>
      <c r="E245" s="1" t="n">
        <v>46302</v>
      </c>
      <c r="F245" t="inlineStr">
        <is>
          <t>VÄRMLANDS LÄN</t>
        </is>
      </c>
      <c r="G245" t="inlineStr">
        <is>
          <t>KARLSTAD</t>
        </is>
      </c>
      <c r="H245" t="inlineStr">
        <is>
          <t>Bergvik skog väst AB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46302</v>
      </c>
      <c r="F246" t="inlineStr">
        <is>
          <t>VÄRMLANDS LÄN</t>
        </is>
      </c>
      <c r="G246" t="inlineStr">
        <is>
          <t>KARLSTAD</t>
        </is>
      </c>
      <c r="H246" t="inlineStr">
        <is>
          <t>Bergvik skog väst AB</t>
        </is>
      </c>
      <c r="I246" t="n">
        <v>10.9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33804-2024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46302</v>
      </c>
      <c r="F247" t="inlineStr">
        <is>
          <t>VÄRMLANDS LÄN</t>
        </is>
      </c>
      <c r="G247" t="inlineStr">
        <is>
          <t>KARLSTAD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46302</v>
      </c>
      <c r="F248" t="inlineStr">
        <is>
          <t>VÄRMLANDS LÄN</t>
        </is>
      </c>
      <c r="G248" t="inlineStr">
        <is>
          <t>KARLSTAD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14890-2026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46104</v>
      </c>
      <c r="E249" s="1" t="n">
        <v>46302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46302</v>
      </c>
      <c r="F250" t="inlineStr">
        <is>
          <t>VÄRMLANDS LÄN</t>
        </is>
      </c>
      <c r="G250" t="inlineStr">
        <is>
          <t>KARLSTAD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45622</v>
      </c>
      <c r="E251" s="1" t="n">
        <v>46302</v>
      </c>
      <c r="F251" t="inlineStr">
        <is>
          <t>VÄRMLANDS LÄN</t>
        </is>
      </c>
      <c r="G251" t="inlineStr">
        <is>
          <t>KARLSTAD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46302</v>
      </c>
      <c r="F252" t="inlineStr">
        <is>
          <t>VÄRMLANDS LÄN</t>
        </is>
      </c>
      <c r="G252" t="inlineStr">
        <is>
          <t>KARLSTAD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46302</v>
      </c>
      <c r="F253" t="inlineStr">
        <is>
          <t>VÄRMLANDS LÄN</t>
        </is>
      </c>
      <c r="G253" t="inlineStr">
        <is>
          <t>KARLSTAD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46302</v>
      </c>
      <c r="F254" t="inlineStr">
        <is>
          <t>VÄRMLANDS LÄN</t>
        </is>
      </c>
      <c r="G254" t="inlineStr">
        <is>
          <t>KARLSTAD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46302</v>
      </c>
      <c r="F255" t="inlineStr">
        <is>
          <t>VÄRMLANDS LÄN</t>
        </is>
      </c>
      <c r="G255" t="inlineStr">
        <is>
          <t>KARLSTAD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45302</v>
      </c>
      <c r="E256" s="1" t="n">
        <v>46302</v>
      </c>
      <c r="F256" t="inlineStr">
        <is>
          <t>VÄRMLANDS LÄN</t>
        </is>
      </c>
      <c r="G256" t="inlineStr">
        <is>
          <t>KARLSTAD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15772-2026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46107</v>
      </c>
      <c r="E257" s="1" t="n">
        <v>46302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46302</v>
      </c>
      <c r="F258" t="inlineStr">
        <is>
          <t>VÄRMLANDS LÄN</t>
        </is>
      </c>
      <c r="G258" t="inlineStr">
        <is>
          <t>KARLSTAD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46302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44805</v>
      </c>
      <c r="E260" s="1" t="n">
        <v>46302</v>
      </c>
      <c r="F260" t="inlineStr">
        <is>
          <t>VÄRMLANDS LÄN</t>
        </is>
      </c>
      <c r="G260" t="inlineStr">
        <is>
          <t>KARLSTAD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46302</v>
      </c>
      <c r="F261" t="inlineStr">
        <is>
          <t>VÄRMLANDS LÄN</t>
        </is>
      </c>
      <c r="G261" t="inlineStr">
        <is>
          <t>KARLSTAD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46302</v>
      </c>
      <c r="F262" t="inlineStr">
        <is>
          <t>VÄRMLANDS LÄN</t>
        </is>
      </c>
      <c r="G262" t="inlineStr">
        <is>
          <t>KARLSTAD</t>
        </is>
      </c>
      <c r="H262" t="inlineStr">
        <is>
          <t>Bergvik skog väst AB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44945</v>
      </c>
      <c r="E263" s="1" t="n">
        <v>46302</v>
      </c>
      <c r="F263" t="inlineStr">
        <is>
          <t>VÄRMLANDS LÄN</t>
        </is>
      </c>
      <c r="G263" t="inlineStr">
        <is>
          <t>KARLSTAD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46302</v>
      </c>
      <c r="F264" t="inlineStr">
        <is>
          <t>VÄRMLANDS LÄN</t>
        </is>
      </c>
      <c r="G264" t="inlineStr">
        <is>
          <t>KARLSTAD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44904</v>
      </c>
      <c r="E265" s="1" t="n">
        <v>46302</v>
      </c>
      <c r="F265" t="inlineStr">
        <is>
          <t>VÄRMLANDS LÄN</t>
        </is>
      </c>
      <c r="G265" t="inlineStr">
        <is>
          <t>KARLSTAD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46302</v>
      </c>
      <c r="F266" t="inlineStr">
        <is>
          <t>VÄRMLANDS LÄN</t>
        </is>
      </c>
      <c r="G266" t="inlineStr">
        <is>
          <t>KARLSTAD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46302</v>
      </c>
      <c r="F267" t="inlineStr">
        <is>
          <t>VÄRMLANDS LÄN</t>
        </is>
      </c>
      <c r="G267" t="inlineStr">
        <is>
          <t>KARLSTAD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46302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45881</v>
      </c>
      <c r="E269" s="1" t="n">
        <v>46302</v>
      </c>
      <c r="F269" t="inlineStr">
        <is>
          <t>VÄRMLANDS LÄN</t>
        </is>
      </c>
      <c r="G269" t="inlineStr">
        <is>
          <t>KARLSTAD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46302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46302</v>
      </c>
      <c r="F271" t="inlineStr">
        <is>
          <t>VÄRMLANDS LÄN</t>
        </is>
      </c>
      <c r="G271" t="inlineStr">
        <is>
          <t>KARLSTAD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46302</v>
      </c>
      <c r="F272" t="inlineStr">
        <is>
          <t>VÄRMLANDS LÄN</t>
        </is>
      </c>
      <c r="G272" t="inlineStr">
        <is>
          <t>KARLSTAD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46302</v>
      </c>
      <c r="F273" t="inlineStr">
        <is>
          <t>VÄRMLANDS LÄN</t>
        </is>
      </c>
      <c r="G273" t="inlineStr">
        <is>
          <t>KARLSTAD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68011-2021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46302</v>
      </c>
      <c r="F274" t="inlineStr">
        <is>
          <t>VÄRMLANDS LÄN</t>
        </is>
      </c>
      <c r="G274" t="inlineStr">
        <is>
          <t>KARLSTAD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46302</v>
      </c>
      <c r="F275" t="inlineStr">
        <is>
          <t>VÄRMLANDS LÄN</t>
        </is>
      </c>
      <c r="G275" t="inlineStr">
        <is>
          <t>KARLSTAD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46302</v>
      </c>
      <c r="F276" t="inlineStr">
        <is>
          <t>VÄRMLANDS LÄN</t>
        </is>
      </c>
      <c r="G276" t="inlineStr">
        <is>
          <t>KARLSTAD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45062</v>
      </c>
      <c r="E277" s="1" t="n">
        <v>46302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46302</v>
      </c>
      <c r="F278" t="inlineStr">
        <is>
          <t>VÄRMLANDS LÄN</t>
        </is>
      </c>
      <c r="G278" t="inlineStr">
        <is>
          <t>KARLSTAD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46302</v>
      </c>
      <c r="F279" t="inlineStr">
        <is>
          <t>VÄRMLANDS LÄN</t>
        </is>
      </c>
      <c r="G279" t="inlineStr">
        <is>
          <t>KARLSTAD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46302</v>
      </c>
      <c r="F280" t="inlineStr">
        <is>
          <t>VÄRMLANDS LÄN</t>
        </is>
      </c>
      <c r="G280" t="inlineStr">
        <is>
          <t>KARLSTAD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46302</v>
      </c>
      <c r="F281" t="inlineStr">
        <is>
          <t>VÄRMLANDS LÄN</t>
        </is>
      </c>
      <c r="G281" t="inlineStr">
        <is>
          <t>KARLSTAD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45836</v>
      </c>
      <c r="E282" s="1" t="n">
        <v>46302</v>
      </c>
      <c r="F282" t="inlineStr">
        <is>
          <t>VÄRMLANDS LÄN</t>
        </is>
      </c>
      <c r="G282" t="inlineStr">
        <is>
          <t>KARLSTAD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46302</v>
      </c>
      <c r="F283" t="inlineStr">
        <is>
          <t>VÄRMLANDS LÄN</t>
        </is>
      </c>
      <c r="G283" t="inlineStr">
        <is>
          <t>KARLSTAD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46302</v>
      </c>
      <c r="F284" t="inlineStr">
        <is>
          <t>VÄRMLANDS LÄN</t>
        </is>
      </c>
      <c r="G284" t="inlineStr">
        <is>
          <t>KARLSTAD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46302</v>
      </c>
      <c r="F285" t="inlineStr">
        <is>
          <t>VÄRMLANDS LÄN</t>
        </is>
      </c>
      <c r="G285" t="inlineStr">
        <is>
          <t>KARLSTAD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46302</v>
      </c>
      <c r="F286" t="inlineStr">
        <is>
          <t>VÄRMLANDS LÄN</t>
        </is>
      </c>
      <c r="G286" t="inlineStr">
        <is>
          <t>KARLSTAD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46302</v>
      </c>
      <c r="F287" t="inlineStr">
        <is>
          <t>VÄRMLANDS LÄN</t>
        </is>
      </c>
      <c r="G287" t="inlineStr">
        <is>
          <t>KARLSTAD</t>
        </is>
      </c>
      <c r="H287" t="inlineStr">
        <is>
          <t>Naturvårdsverket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46302</v>
      </c>
      <c r="F288" t="inlineStr">
        <is>
          <t>VÄRMLANDS LÄN</t>
        </is>
      </c>
      <c r="G288" t="inlineStr">
        <is>
          <t>KARLSTAD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46302</v>
      </c>
      <c r="F289" t="inlineStr">
        <is>
          <t>VÄRMLANDS LÄN</t>
        </is>
      </c>
      <c r="G289" t="inlineStr">
        <is>
          <t>KARLSTAD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38770-2022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46302</v>
      </c>
      <c r="F290" t="inlineStr">
        <is>
          <t>VÄRMLANDS LÄN</t>
        </is>
      </c>
      <c r="G290" t="inlineStr">
        <is>
          <t>KARLSTAD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46302</v>
      </c>
      <c r="F291" t="inlineStr">
        <is>
          <t>VÄRMLANDS LÄN</t>
        </is>
      </c>
      <c r="G291" t="inlineStr">
        <is>
          <t>KARLSTAD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  <c r="Z291">
        <f>HYPERLINK("https://klasma.github.io/Logging_1780/knärot/A 57466-2025 karta knärot.png", "A 57466-2025")</f>
        <v/>
      </c>
      <c r="AA291">
        <f>HYPERLINK("https://klasma.github.io/Logging_1780/klagomål/A 57466-2025 FSC-klagomål.docx", "A 57466-2025")</f>
        <v/>
      </c>
      <c r="AB291">
        <f>HYPERLINK("https://klasma.github.io/Logging_1780/klagomålsmail/A 57466-2025 FSC-klagomål mail.docx", "A 57466-2025")</f>
        <v/>
      </c>
      <c r="AC291">
        <f>HYPERLINK("https://klasma.github.io/Logging_1780/tillsyn/A 57466-2025 tillsynsbegäran.docx", "A 57466-2025")</f>
        <v/>
      </c>
      <c r="AD291">
        <f>HYPERLINK("https://klasma.github.io/Logging_1780/tillsynsmail/A 57466-2025 tillsynsbegäran mail.docx", "A 57466-2025")</f>
        <v/>
      </c>
    </row>
    <row r="292" ht="15" customHeight="1">
      <c r="A292" t="inlineStr">
        <is>
          <t>A 42343-2025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45877</v>
      </c>
      <c r="E292" s="1" t="n">
        <v>46302</v>
      </c>
      <c r="F292" t="inlineStr">
        <is>
          <t>VÄRMLANDS LÄN</t>
        </is>
      </c>
      <c r="G292" t="inlineStr">
        <is>
          <t>KARLSTAD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46302</v>
      </c>
      <c r="F293" t="inlineStr">
        <is>
          <t>VÄRMLANDS LÄN</t>
        </is>
      </c>
      <c r="G293" t="inlineStr">
        <is>
          <t>KARLSTAD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46302</v>
      </c>
      <c r="F294" t="inlineStr">
        <is>
          <t>VÄRMLANDS LÄN</t>
        </is>
      </c>
      <c r="G294" t="inlineStr">
        <is>
          <t>KARLSTAD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50955-2025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45946</v>
      </c>
      <c r="E295" s="1" t="n">
        <v>46302</v>
      </c>
      <c r="F295" t="inlineStr">
        <is>
          <t>VÄRMLANDS LÄN</t>
        </is>
      </c>
      <c r="G295" t="inlineStr">
        <is>
          <t>KARLSTAD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46302</v>
      </c>
      <c r="F296" t="inlineStr">
        <is>
          <t>VÄRMLANDS LÄN</t>
        </is>
      </c>
      <c r="G296" t="inlineStr">
        <is>
          <t>KARLSTAD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46302</v>
      </c>
      <c r="F297" t="inlineStr">
        <is>
          <t>VÄRMLANDS LÄN</t>
        </is>
      </c>
      <c r="G297" t="inlineStr">
        <is>
          <t>KARLSTAD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46302</v>
      </c>
      <c r="F298" t="inlineStr">
        <is>
          <t>VÄRMLANDS LÄN</t>
        </is>
      </c>
      <c r="G298" t="inlineStr">
        <is>
          <t>KARLSTAD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60434-2025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45995</v>
      </c>
      <c r="E299" s="1" t="n">
        <v>46302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44937</v>
      </c>
      <c r="E300" s="1" t="n">
        <v>46302</v>
      </c>
      <c r="F300" t="inlineStr">
        <is>
          <t>VÄRMLANDS LÄN</t>
        </is>
      </c>
      <c r="G300" t="inlineStr">
        <is>
          <t>KARLSTAD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45880</v>
      </c>
      <c r="E301" s="1" t="n">
        <v>46302</v>
      </c>
      <c r="F301" t="inlineStr">
        <is>
          <t>VÄRMLANDS LÄN</t>
        </is>
      </c>
      <c r="G301" t="inlineStr">
        <is>
          <t>KARLSTAD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46302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46302</v>
      </c>
      <c r="F303" t="inlineStr">
        <is>
          <t>VÄRMLANDS LÄN</t>
        </is>
      </c>
      <c r="G303" t="inlineStr">
        <is>
          <t>KARLSTAD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46302</v>
      </c>
      <c r="F304" t="inlineStr">
        <is>
          <t>VÄRMLANDS LÄN</t>
        </is>
      </c>
      <c r="G304" t="inlineStr">
        <is>
          <t>KARLSTAD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45877</v>
      </c>
      <c r="E305" s="1" t="n">
        <v>46302</v>
      </c>
      <c r="F305" t="inlineStr">
        <is>
          <t>VÄRMLANDS LÄN</t>
        </is>
      </c>
      <c r="G305" t="inlineStr">
        <is>
          <t>KARLSTAD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46302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46302</v>
      </c>
      <c r="F307" t="inlineStr">
        <is>
          <t>VÄRMLANDS LÄN</t>
        </is>
      </c>
      <c r="G307" t="inlineStr">
        <is>
          <t>KARLSTAD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46302</v>
      </c>
      <c r="F308" t="inlineStr">
        <is>
          <t>VÄRMLANDS LÄN</t>
        </is>
      </c>
      <c r="G308" t="inlineStr">
        <is>
          <t>KARLSTAD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46302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61673-2025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46002</v>
      </c>
      <c r="E310" s="1" t="n">
        <v>46302</v>
      </c>
      <c r="F310" t="inlineStr">
        <is>
          <t>VÄRMLANDS LÄN</t>
        </is>
      </c>
      <c r="G310" t="inlineStr">
        <is>
          <t>KARLSTAD</t>
        </is>
      </c>
      <c r="H310" t="inlineStr">
        <is>
          <t>Naturvårdsverket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46302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34321-2024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45524</v>
      </c>
      <c r="E312" s="1" t="n">
        <v>46302</v>
      </c>
      <c r="F312" t="inlineStr">
        <is>
          <t>VÄRMLANDS LÄN</t>
        </is>
      </c>
      <c r="G312" t="inlineStr">
        <is>
          <t>KARLSTAD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46302</v>
      </c>
      <c r="F313" t="inlineStr">
        <is>
          <t>VÄRMLANDS LÄN</t>
        </is>
      </c>
      <c r="G313" t="inlineStr">
        <is>
          <t>KARLSTAD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46302</v>
      </c>
      <c r="F314" t="inlineStr">
        <is>
          <t>VÄRMLANDS LÄN</t>
        </is>
      </c>
      <c r="G314" t="inlineStr">
        <is>
          <t>KARLSTAD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46302</v>
      </c>
      <c r="F315" t="inlineStr">
        <is>
          <t>VÄRMLANDS LÄN</t>
        </is>
      </c>
      <c r="G315" t="inlineStr">
        <is>
          <t>KARLSTAD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45688</v>
      </c>
      <c r="E316" s="1" t="n">
        <v>46302</v>
      </c>
      <c r="F316" t="inlineStr">
        <is>
          <t>VÄRMLANDS LÄN</t>
        </is>
      </c>
      <c r="G316" t="inlineStr">
        <is>
          <t>KARLSTAD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46302</v>
      </c>
      <c r="F317" t="inlineStr">
        <is>
          <t>VÄRMLANDS LÄN</t>
        </is>
      </c>
      <c r="G317" t="inlineStr">
        <is>
          <t>KARLSTAD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46302</v>
      </c>
      <c r="F318" t="inlineStr">
        <is>
          <t>VÄRMLANDS LÄN</t>
        </is>
      </c>
      <c r="G318" t="inlineStr">
        <is>
          <t>KARLSTAD</t>
        </is>
      </c>
      <c r="H318" t="inlineStr">
        <is>
          <t>Naturvårdsverket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45322</v>
      </c>
      <c r="E319" s="1" t="n">
        <v>46302</v>
      </c>
      <c r="F319" t="inlineStr">
        <is>
          <t>VÄRMLANDS LÄN</t>
        </is>
      </c>
      <c r="G319" t="inlineStr">
        <is>
          <t>KARLSTAD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46302</v>
      </c>
      <c r="F320" t="inlineStr">
        <is>
          <t>VÄRMLANDS LÄN</t>
        </is>
      </c>
      <c r="G320" t="inlineStr">
        <is>
          <t>KARLSTAD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46302</v>
      </c>
      <c r="F321" t="inlineStr">
        <is>
          <t>VÄRMLANDS LÄN</t>
        </is>
      </c>
      <c r="G321" t="inlineStr">
        <is>
          <t>KARLSTAD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46302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46302</v>
      </c>
      <c r="F323" t="inlineStr">
        <is>
          <t>VÄRMLANDS LÄN</t>
        </is>
      </c>
      <c r="G323" t="inlineStr">
        <is>
          <t>KARLSTAD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46302</v>
      </c>
      <c r="F324" t="inlineStr">
        <is>
          <t>VÄRMLANDS LÄN</t>
        </is>
      </c>
      <c r="G324" t="inlineStr">
        <is>
          <t>KARLSTAD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46302</v>
      </c>
      <c r="F325" t="inlineStr">
        <is>
          <t>VÄRMLANDS LÄN</t>
        </is>
      </c>
      <c r="G325" t="inlineStr">
        <is>
          <t>KARLSTAD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22302-2026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46302</v>
      </c>
      <c r="F326" t="inlineStr">
        <is>
          <t>VÄRMLANDS LÄN</t>
        </is>
      </c>
      <c r="G326" t="inlineStr">
        <is>
          <t>KARLSTAD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46302</v>
      </c>
      <c r="F327" t="inlineStr">
        <is>
          <t>VÄRMLANDS LÄN</t>
        </is>
      </c>
      <c r="G327" t="inlineStr">
        <is>
          <t>KARLSTAD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46302</v>
      </c>
      <c r="F328" t="inlineStr">
        <is>
          <t>VÄRMLANDS LÄN</t>
        </is>
      </c>
      <c r="G328" t="inlineStr">
        <is>
          <t>KARLSTAD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45861</v>
      </c>
      <c r="E329" s="1" t="n">
        <v>46302</v>
      </c>
      <c r="F329" t="inlineStr">
        <is>
          <t>VÄRMLANDS LÄN</t>
        </is>
      </c>
      <c r="G329" t="inlineStr">
        <is>
          <t>KARLSTAD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46302</v>
      </c>
      <c r="F330" t="inlineStr">
        <is>
          <t>VÄRMLANDS LÄN</t>
        </is>
      </c>
      <c r="G330" t="inlineStr">
        <is>
          <t>KARLSTAD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46302</v>
      </c>
      <c r="F331" t="inlineStr">
        <is>
          <t>VÄRMLANDS LÄN</t>
        </is>
      </c>
      <c r="G331" t="inlineStr">
        <is>
          <t>KARLSTAD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46302</v>
      </c>
      <c r="F332" t="inlineStr">
        <is>
          <t>VÄRMLANDS LÄN</t>
        </is>
      </c>
      <c r="G332" t="inlineStr">
        <is>
          <t>KARLSTAD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46302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46302</v>
      </c>
      <c r="F334" t="inlineStr">
        <is>
          <t>VÄRMLANDS LÄN</t>
        </is>
      </c>
      <c r="G334" t="inlineStr">
        <is>
          <t>KARLSTAD</t>
        </is>
      </c>
      <c r="H334" t="inlineStr">
        <is>
          <t>Bergvik skog väst AB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46302</v>
      </c>
      <c r="F335" t="inlineStr">
        <is>
          <t>VÄRMLANDS LÄN</t>
        </is>
      </c>
      <c r="G335" t="inlineStr">
        <is>
          <t>KARLSTAD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46302</v>
      </c>
      <c r="F336" t="inlineStr">
        <is>
          <t>VÄRMLANDS LÄN</t>
        </is>
      </c>
      <c r="G336" t="inlineStr">
        <is>
          <t>KARLSTAD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46302</v>
      </c>
      <c r="F337" t="inlineStr">
        <is>
          <t>VÄRMLANDS LÄN</t>
        </is>
      </c>
      <c r="G337" t="inlineStr">
        <is>
          <t>KARLSTAD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46302</v>
      </c>
      <c r="F338" t="inlineStr">
        <is>
          <t>VÄRMLANDS LÄN</t>
        </is>
      </c>
      <c r="G338" t="inlineStr">
        <is>
          <t>KARLSTAD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45729</v>
      </c>
      <c r="E339" s="1" t="n">
        <v>46302</v>
      </c>
      <c r="F339" t="inlineStr">
        <is>
          <t>VÄRMLANDS LÄN</t>
        </is>
      </c>
      <c r="G339" t="inlineStr">
        <is>
          <t>KARLSTAD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46302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62225-2021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44503</v>
      </c>
      <c r="E341" s="1" t="n">
        <v>46302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44876</v>
      </c>
      <c r="E342" s="1" t="n">
        <v>46302</v>
      </c>
      <c r="F342" t="inlineStr">
        <is>
          <t>VÄRMLANDS LÄN</t>
        </is>
      </c>
      <c r="G342" t="inlineStr">
        <is>
          <t>KARLSTAD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44607</v>
      </c>
      <c r="E343" s="1" t="n">
        <v>46302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44634</v>
      </c>
      <c r="E344" s="1" t="n">
        <v>46302</v>
      </c>
      <c r="F344" t="inlineStr">
        <is>
          <t>VÄRMLANDS LÄN</t>
        </is>
      </c>
      <c r="G344" t="inlineStr">
        <is>
          <t>KARLSTAD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66642-2021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44519</v>
      </c>
      <c r="E345" s="1" t="n">
        <v>46302</v>
      </c>
      <c r="F345" t="inlineStr">
        <is>
          <t>VÄRMLANDS LÄN</t>
        </is>
      </c>
      <c r="G345" t="inlineStr">
        <is>
          <t>KARLSTAD</t>
        </is>
      </c>
      <c r="I345" t="n">
        <v>18.2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44589</v>
      </c>
      <c r="E346" s="1" t="n">
        <v>46302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46302</v>
      </c>
      <c r="F347" t="inlineStr">
        <is>
          <t>VÄRMLANDS LÄN</t>
        </is>
      </c>
      <c r="G347" t="inlineStr">
        <is>
          <t>KARLSTAD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46302</v>
      </c>
      <c r="F348" t="inlineStr">
        <is>
          <t>VÄRMLANDS LÄN</t>
        </is>
      </c>
      <c r="G348" t="inlineStr">
        <is>
          <t>KARLSTAD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46302</v>
      </c>
      <c r="F349" t="inlineStr">
        <is>
          <t>VÄRMLANDS LÄN</t>
        </is>
      </c>
      <c r="G349" t="inlineStr">
        <is>
          <t>KARLSTAD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46302</v>
      </c>
      <c r="F350" t="inlineStr">
        <is>
          <t>VÄRMLANDS LÄN</t>
        </is>
      </c>
      <c r="G350" t="inlineStr">
        <is>
          <t>KARLSTAD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46302</v>
      </c>
      <c r="F351" t="inlineStr">
        <is>
          <t>VÄRMLANDS LÄN</t>
        </is>
      </c>
      <c r="G351" t="inlineStr">
        <is>
          <t>KARLSTAD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56327-2023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45243</v>
      </c>
      <c r="E352" s="1" t="n">
        <v>46302</v>
      </c>
      <c r="F352" t="inlineStr">
        <is>
          <t>VÄRMLANDS LÄN</t>
        </is>
      </c>
      <c r="G352" t="inlineStr">
        <is>
          <t>KARLSTAD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44664</v>
      </c>
      <c r="E353" s="1" t="n">
        <v>46302</v>
      </c>
      <c r="F353" t="inlineStr">
        <is>
          <t>VÄRMLANDS LÄN</t>
        </is>
      </c>
      <c r="G353" t="inlineStr">
        <is>
          <t>KARLSTAD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46302</v>
      </c>
      <c r="F354" t="inlineStr">
        <is>
          <t>VÄRMLANDS LÄN</t>
        </is>
      </c>
      <c r="G354" t="inlineStr">
        <is>
          <t>KARLSTAD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46302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45299</v>
      </c>
      <c r="E356" s="1" t="n">
        <v>46302</v>
      </c>
      <c r="F356" t="inlineStr">
        <is>
          <t>VÄRMLANDS LÄN</t>
        </is>
      </c>
      <c r="G356" t="inlineStr">
        <is>
          <t>KARLSTAD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45149</v>
      </c>
      <c r="E357" s="1" t="n">
        <v>46302</v>
      </c>
      <c r="F357" t="inlineStr">
        <is>
          <t>VÄRMLANDS LÄN</t>
        </is>
      </c>
      <c r="G357" t="inlineStr">
        <is>
          <t>KARLSTAD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44938</v>
      </c>
      <c r="E358" s="1" t="n">
        <v>46302</v>
      </c>
      <c r="F358" t="inlineStr">
        <is>
          <t>VÄRMLANDS LÄN</t>
        </is>
      </c>
      <c r="G358" t="inlineStr">
        <is>
          <t>KARLSTAD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45623</v>
      </c>
      <c r="E359" s="1" t="n">
        <v>46302</v>
      </c>
      <c r="F359" t="inlineStr">
        <is>
          <t>VÄRMLANDS LÄN</t>
        </is>
      </c>
      <c r="G359" t="inlineStr">
        <is>
          <t>KARLSTAD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9405-2025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45715</v>
      </c>
      <c r="E360" s="1" t="n">
        <v>46302</v>
      </c>
      <c r="F360" t="inlineStr">
        <is>
          <t>VÄRMLANDS LÄN</t>
        </is>
      </c>
      <c r="G360" t="inlineStr">
        <is>
          <t>KARLSTAD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45141</v>
      </c>
      <c r="E361" s="1" t="n">
        <v>46302</v>
      </c>
      <c r="F361" t="inlineStr">
        <is>
          <t>VÄRMLANDS LÄN</t>
        </is>
      </c>
      <c r="G361" t="inlineStr">
        <is>
          <t>KARLSTAD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46302</v>
      </c>
      <c r="F362" t="inlineStr">
        <is>
          <t>VÄRMLANDS LÄN</t>
        </is>
      </c>
      <c r="G362" t="inlineStr">
        <is>
          <t>KARLSTAD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46302</v>
      </c>
      <c r="F363" t="inlineStr">
        <is>
          <t>VÄRMLANDS LÄN</t>
        </is>
      </c>
      <c r="G363" t="inlineStr">
        <is>
          <t>KARLSTAD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46302</v>
      </c>
      <c r="F364" t="inlineStr">
        <is>
          <t>VÄRMLANDS LÄN</t>
        </is>
      </c>
      <c r="G364" t="inlineStr">
        <is>
          <t>KARLSTAD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45520</v>
      </c>
      <c r="E365" s="1" t="n">
        <v>46302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46302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45729</v>
      </c>
      <c r="E367" s="1" t="n">
        <v>46302</v>
      </c>
      <c r="F367" t="inlineStr">
        <is>
          <t>VÄRMLANDS LÄN</t>
        </is>
      </c>
      <c r="G367" t="inlineStr">
        <is>
          <t>KARLSTAD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46302</v>
      </c>
      <c r="F368" t="inlineStr">
        <is>
          <t>VÄRMLANDS LÄN</t>
        </is>
      </c>
      <c r="G368" t="inlineStr">
        <is>
          <t>KARLSTAD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46302</v>
      </c>
      <c r="F369" t="inlineStr">
        <is>
          <t>VÄRMLANDS LÄN</t>
        </is>
      </c>
      <c r="G369" t="inlineStr">
        <is>
          <t>KARLSTAD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46302</v>
      </c>
      <c r="F370" t="inlineStr">
        <is>
          <t>VÄRMLANDS LÄN</t>
        </is>
      </c>
      <c r="G370" t="inlineStr">
        <is>
          <t>KARLSTAD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45020</v>
      </c>
      <c r="E371" s="1" t="n">
        <v>46302</v>
      </c>
      <c r="F371" t="inlineStr">
        <is>
          <t>VÄRMLANDS LÄN</t>
        </is>
      </c>
      <c r="G371" t="inlineStr">
        <is>
          <t>KARLSTAD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45222</v>
      </c>
      <c r="E372" s="1" t="n">
        <v>46302</v>
      </c>
      <c r="F372" t="inlineStr">
        <is>
          <t>VÄRMLANDS LÄN</t>
        </is>
      </c>
      <c r="G372" t="inlineStr">
        <is>
          <t>KARLSTAD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46302</v>
      </c>
      <c r="F373" t="inlineStr">
        <is>
          <t>VÄRMLANDS LÄN</t>
        </is>
      </c>
      <c r="G373" t="inlineStr">
        <is>
          <t>KARLSTAD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46302</v>
      </c>
      <c r="F374" t="inlineStr">
        <is>
          <t>VÄRMLANDS LÄN</t>
        </is>
      </c>
      <c r="G374" t="inlineStr">
        <is>
          <t>KARLSTAD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45106</v>
      </c>
      <c r="E375" s="1" t="n">
        <v>46302</v>
      </c>
      <c r="F375" t="inlineStr">
        <is>
          <t>VÄRMLANDS LÄN</t>
        </is>
      </c>
      <c r="G375" t="inlineStr">
        <is>
          <t>KARLSTAD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46302</v>
      </c>
      <c r="F376" t="inlineStr">
        <is>
          <t>VÄRMLANDS LÄN</t>
        </is>
      </c>
      <c r="G376" t="inlineStr">
        <is>
          <t>KARLSTAD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46302</v>
      </c>
      <c r="F377" t="inlineStr">
        <is>
          <t>VÄRMLANDS LÄN</t>
        </is>
      </c>
      <c r="G377" t="inlineStr">
        <is>
          <t>KARLSTAD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44686</v>
      </c>
      <c r="E378" s="1" t="n">
        <v>46302</v>
      </c>
      <c r="F378" t="inlineStr">
        <is>
          <t>VÄRMLANDS LÄN</t>
        </is>
      </c>
      <c r="G378" t="inlineStr">
        <is>
          <t>KARLSTAD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46302</v>
      </c>
      <c r="F379" t="inlineStr">
        <is>
          <t>VÄRMLANDS LÄN</t>
        </is>
      </c>
      <c r="G379" t="inlineStr">
        <is>
          <t>KARLSTAD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46302</v>
      </c>
      <c r="F380" t="inlineStr">
        <is>
          <t>VÄRMLANDS LÄN</t>
        </is>
      </c>
      <c r="G380" t="inlineStr">
        <is>
          <t>KARLSTAD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45641</v>
      </c>
      <c r="E381" s="1" t="n">
        <v>46302</v>
      </c>
      <c r="F381" t="inlineStr">
        <is>
          <t>VÄRMLANDS LÄN</t>
        </is>
      </c>
      <c r="G381" t="inlineStr">
        <is>
          <t>KARLSTAD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70127-2021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44533</v>
      </c>
      <c r="E382" s="1" t="n">
        <v>46302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45320</v>
      </c>
      <c r="E383" s="1" t="n">
        <v>46302</v>
      </c>
      <c r="F383" t="inlineStr">
        <is>
          <t>VÄRMLANDS LÄN</t>
        </is>
      </c>
      <c r="G383" t="inlineStr">
        <is>
          <t>KARLSTAD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46302</v>
      </c>
      <c r="F384" t="inlineStr">
        <is>
          <t>VÄRMLANDS LÄN</t>
        </is>
      </c>
      <c r="G384" t="inlineStr">
        <is>
          <t>KARLSTAD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44666</v>
      </c>
      <c r="E385" s="1" t="n">
        <v>46302</v>
      </c>
      <c r="F385" t="inlineStr">
        <is>
          <t>VÄRMLANDS LÄN</t>
        </is>
      </c>
      <c r="G385" t="inlineStr">
        <is>
          <t>KARLSTAD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46302</v>
      </c>
      <c r="F386" t="inlineStr">
        <is>
          <t>VÄRMLANDS LÄN</t>
        </is>
      </c>
      <c r="G386" t="inlineStr">
        <is>
          <t>KARLSTAD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46302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45382</v>
      </c>
      <c r="E388" s="1" t="n">
        <v>46302</v>
      </c>
      <c r="F388" t="inlineStr">
        <is>
          <t>VÄRMLANDS LÄN</t>
        </is>
      </c>
      <c r="G388" t="inlineStr">
        <is>
          <t>KARLSTAD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45061</v>
      </c>
      <c r="E389" s="1" t="n">
        <v>46302</v>
      </c>
      <c r="F389" t="inlineStr">
        <is>
          <t>VÄRMLANDS LÄN</t>
        </is>
      </c>
      <c r="G389" t="inlineStr">
        <is>
          <t>KARLSTAD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72772-2021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46302</v>
      </c>
      <c r="F390" t="inlineStr">
        <is>
          <t>VÄRMLANDS LÄN</t>
        </is>
      </c>
      <c r="G390" t="inlineStr">
        <is>
          <t>KARLSTAD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45092</v>
      </c>
      <c r="E391" s="1" t="n">
        <v>46302</v>
      </c>
      <c r="F391" t="inlineStr">
        <is>
          <t>VÄRMLANDS LÄN</t>
        </is>
      </c>
      <c r="G391" t="inlineStr">
        <is>
          <t>KARLSTAD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50236-2024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45600</v>
      </c>
      <c r="E392" s="1" t="n">
        <v>46302</v>
      </c>
      <c r="F392" t="inlineStr">
        <is>
          <t>VÄRMLANDS LÄN</t>
        </is>
      </c>
      <c r="G392" t="inlineStr">
        <is>
          <t>KARLSTAD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72072-2021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44544</v>
      </c>
      <c r="E393" s="1" t="n">
        <v>46302</v>
      </c>
      <c r="F393" t="inlineStr">
        <is>
          <t>VÄRMLANDS LÄN</t>
        </is>
      </c>
      <c r="G393" t="inlineStr">
        <is>
          <t>KARLSTAD</t>
        </is>
      </c>
      <c r="H393" t="inlineStr">
        <is>
          <t>Kommuner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45755</v>
      </c>
      <c r="E394" s="1" t="n">
        <v>46302</v>
      </c>
      <c r="F394" t="inlineStr">
        <is>
          <t>VÄRMLANDS LÄN</t>
        </is>
      </c>
      <c r="G394" t="inlineStr">
        <is>
          <t>KARLSTAD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46302</v>
      </c>
      <c r="F395" t="inlineStr">
        <is>
          <t>VÄRMLANDS LÄN</t>
        </is>
      </c>
      <c r="G395" t="inlineStr">
        <is>
          <t>KARLSTAD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46302</v>
      </c>
      <c r="F396" t="inlineStr">
        <is>
          <t>VÄRMLANDS LÄN</t>
        </is>
      </c>
      <c r="G396" t="inlineStr">
        <is>
          <t>KARLSTAD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44985</v>
      </c>
      <c r="E397" s="1" t="n">
        <v>46302</v>
      </c>
      <c r="F397" t="inlineStr">
        <is>
          <t>VÄRMLANDS LÄN</t>
        </is>
      </c>
      <c r="G397" t="inlineStr">
        <is>
          <t>KARLSTAD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45111</v>
      </c>
      <c r="E398" s="1" t="n">
        <v>46302</v>
      </c>
      <c r="F398" t="inlineStr">
        <is>
          <t>VÄRMLANDS LÄN</t>
        </is>
      </c>
      <c r="G398" t="inlineStr">
        <is>
          <t>KARLSTAD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60724-2022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44913</v>
      </c>
      <c r="E399" s="1" t="n">
        <v>46302</v>
      </c>
      <c r="F399" t="inlineStr">
        <is>
          <t>VÄRMLANDS LÄN</t>
        </is>
      </c>
      <c r="G399" t="inlineStr">
        <is>
          <t>KARLSTAD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46220</v>
      </c>
      <c r="E400" s="1" t="n">
        <v>46302</v>
      </c>
      <c r="F400" t="inlineStr">
        <is>
          <t>VÄRMLANDS LÄN</t>
        </is>
      </c>
      <c r="G400" t="inlineStr">
        <is>
          <t>KARLSTAD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31391-2026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46220</v>
      </c>
      <c r="E401" s="1" t="n">
        <v>46302</v>
      </c>
      <c r="F401" t="inlineStr">
        <is>
          <t>VÄRMLANDS LÄN</t>
        </is>
      </c>
      <c r="G401" t="inlineStr">
        <is>
          <t>KARLSTAD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46222</v>
      </c>
      <c r="E402" s="1" t="n">
        <v>46302</v>
      </c>
      <c r="F402" t="inlineStr">
        <is>
          <t>VÄRMLANDS LÄN</t>
        </is>
      </c>
      <c r="G402" t="inlineStr">
        <is>
          <t>KARLSTAD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31473-2026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46222</v>
      </c>
      <c r="E403" s="1" t="n">
        <v>46302</v>
      </c>
      <c r="F403" t="inlineStr">
        <is>
          <t>VÄRMLANDS LÄN</t>
        </is>
      </c>
      <c r="G403" t="inlineStr">
        <is>
          <t>KARLSTAD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46222</v>
      </c>
      <c r="E404" s="1" t="n">
        <v>46302</v>
      </c>
      <c r="F404" t="inlineStr">
        <is>
          <t>VÄRMLANDS LÄN</t>
        </is>
      </c>
      <c r="G404" t="inlineStr">
        <is>
          <t>KARLSTAD</t>
        </is>
      </c>
      <c r="I404" t="n">
        <v>10.2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31470-2026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46222</v>
      </c>
      <c r="E405" s="1" t="n">
        <v>46302</v>
      </c>
      <c r="F405" t="inlineStr">
        <is>
          <t>VÄRMLANDS LÄN</t>
        </is>
      </c>
      <c r="G405" t="inlineStr">
        <is>
          <t>KARLSTAD</t>
        </is>
      </c>
      <c r="I405" t="n">
        <v>9.800000000000001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46222</v>
      </c>
      <c r="E406" s="1" t="n">
        <v>46302</v>
      </c>
      <c r="F406" t="inlineStr">
        <is>
          <t>VÄRMLANDS LÄN</t>
        </is>
      </c>
      <c r="G406" t="inlineStr">
        <is>
          <t>KARLSTAD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46222</v>
      </c>
      <c r="E407" s="1" t="n">
        <v>46302</v>
      </c>
      <c r="F407" t="inlineStr">
        <is>
          <t>VÄRMLANDS LÄN</t>
        </is>
      </c>
      <c r="G407" t="inlineStr">
        <is>
          <t>KARLSTAD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44672</v>
      </c>
      <c r="E408" s="1" t="n">
        <v>46302</v>
      </c>
      <c r="F408" t="inlineStr">
        <is>
          <t>VÄRMLANDS LÄN</t>
        </is>
      </c>
      <c r="G408" t="inlineStr">
        <is>
          <t>KARLSTAD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46302</v>
      </c>
      <c r="F409" t="inlineStr">
        <is>
          <t>VÄRMLANDS LÄN</t>
        </is>
      </c>
      <c r="G409" t="inlineStr">
        <is>
          <t>KARLSTAD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46302</v>
      </c>
      <c r="F410" t="inlineStr">
        <is>
          <t>VÄRMLANDS LÄN</t>
        </is>
      </c>
      <c r="G410" t="inlineStr">
        <is>
          <t>KARLSTAD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46220</v>
      </c>
      <c r="E411" s="1" t="n">
        <v>46302</v>
      </c>
      <c r="F411" t="inlineStr">
        <is>
          <t>VÄRMLANDS LÄN</t>
        </is>
      </c>
      <c r="G411" t="inlineStr">
        <is>
          <t>KARLSTAD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46220</v>
      </c>
      <c r="E412" s="1" t="n">
        <v>46302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46302</v>
      </c>
      <c r="F413" t="inlineStr">
        <is>
          <t>VÄRMLANDS LÄN</t>
        </is>
      </c>
      <c r="G413" t="inlineStr">
        <is>
          <t>KARLSTAD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31430-2026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46220</v>
      </c>
      <c r="E414" s="1" t="n">
        <v>46302</v>
      </c>
      <c r="F414" t="inlineStr">
        <is>
          <t>VÄRMLANDS LÄN</t>
        </is>
      </c>
      <c r="G414" t="inlineStr">
        <is>
          <t>KARLSTAD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46302</v>
      </c>
      <c r="F415" t="inlineStr">
        <is>
          <t>VÄRMLANDS LÄN</t>
        </is>
      </c>
      <c r="G415" t="inlineStr">
        <is>
          <t>KARLSTAD</t>
        </is>
      </c>
      <c r="H415" t="inlineStr">
        <is>
          <t>Övriga statliga verk och myndigheter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54292-2024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45617</v>
      </c>
      <c r="E416" s="1" t="n">
        <v>46302</v>
      </c>
      <c r="F416" t="inlineStr">
        <is>
          <t>VÄRMLANDS LÄN</t>
        </is>
      </c>
      <c r="G416" t="inlineStr">
        <is>
          <t>KARLSTAD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45382</v>
      </c>
      <c r="E417" s="1" t="n">
        <v>46302</v>
      </c>
      <c r="F417" t="inlineStr">
        <is>
          <t>VÄRMLANDS LÄN</t>
        </is>
      </c>
      <c r="G417" t="inlineStr">
        <is>
          <t>KARLSTAD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45635</v>
      </c>
      <c r="E418" s="1" t="n">
        <v>46302</v>
      </c>
      <c r="F418" t="inlineStr">
        <is>
          <t>VÄRMLANDS LÄN</t>
        </is>
      </c>
      <c r="G418" t="inlineStr">
        <is>
          <t>KARLSTAD</t>
        </is>
      </c>
      <c r="I418" t="n">
        <v>18.5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45721</v>
      </c>
      <c r="E419" s="1" t="n">
        <v>46302</v>
      </c>
      <c r="F419" t="inlineStr">
        <is>
          <t>VÄRMLANDS LÄN</t>
        </is>
      </c>
      <c r="G419" t="inlineStr">
        <is>
          <t>KARLSTAD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45630</v>
      </c>
      <c r="E420" s="1" t="n">
        <v>46302</v>
      </c>
      <c r="F420" t="inlineStr">
        <is>
          <t>VÄRMLANDS LÄN</t>
        </is>
      </c>
      <c r="G420" t="inlineStr">
        <is>
          <t>KARLSTAD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45279</v>
      </c>
      <c r="E421" s="1" t="n">
        <v>46302</v>
      </c>
      <c r="F421" t="inlineStr">
        <is>
          <t>VÄRMLANDS LÄN</t>
        </is>
      </c>
      <c r="G421" t="inlineStr">
        <is>
          <t>KARLSTAD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46302</v>
      </c>
      <c r="F422" t="inlineStr">
        <is>
          <t>VÄRMLANDS LÄN</t>
        </is>
      </c>
      <c r="G422" t="inlineStr">
        <is>
          <t>KARLSTAD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24648-2022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44727</v>
      </c>
      <c r="E423" s="1" t="n">
        <v>46302</v>
      </c>
      <c r="F423" t="inlineStr">
        <is>
          <t>VÄRMLANDS LÄN</t>
        </is>
      </c>
      <c r="G423" t="inlineStr">
        <is>
          <t>KARLSTAD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45096</v>
      </c>
      <c r="E424" s="1" t="n">
        <v>46302</v>
      </c>
      <c r="F424" t="inlineStr">
        <is>
          <t>VÄRMLANDS LÄN</t>
        </is>
      </c>
      <c r="G424" t="inlineStr">
        <is>
          <t>KARLSTAD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45231-2024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45575</v>
      </c>
      <c r="E425" s="1" t="n">
        <v>46302</v>
      </c>
      <c r="F425" t="inlineStr">
        <is>
          <t>VÄRMLANDS LÄN</t>
        </is>
      </c>
      <c r="G425" t="inlineStr">
        <is>
          <t>KARLSTAD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44735</v>
      </c>
      <c r="E426" s="1" t="n">
        <v>46302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53038-2022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44873</v>
      </c>
      <c r="E427" s="1" t="n">
        <v>46302</v>
      </c>
      <c r="F427" t="inlineStr">
        <is>
          <t>VÄRMLANDS LÄN</t>
        </is>
      </c>
      <c r="G427" t="inlineStr">
        <is>
          <t>KARLSTAD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46272</v>
      </c>
      <c r="E428" s="1" t="n">
        <v>46302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46270</v>
      </c>
      <c r="E429" s="1" t="n">
        <v>46302</v>
      </c>
      <c r="F429" t="inlineStr">
        <is>
          <t>VÄRMLANDS LÄN</t>
        </is>
      </c>
      <c r="G429" t="inlineStr">
        <is>
          <t>KARLSTAD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46270</v>
      </c>
      <c r="E430" s="1" t="n">
        <v>46302</v>
      </c>
      <c r="F430" t="inlineStr">
        <is>
          <t>VÄRMLANDS LÄN</t>
        </is>
      </c>
      <c r="G430" t="inlineStr">
        <is>
          <t>KARLSTAD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46302</v>
      </c>
      <c r="F431" t="inlineStr">
        <is>
          <t>VÄRMLANDS LÄN</t>
        </is>
      </c>
      <c r="G431" t="inlineStr">
        <is>
          <t>KARLSTAD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63282-2023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45273</v>
      </c>
      <c r="E432" s="1" t="n">
        <v>46302</v>
      </c>
      <c r="F432" t="inlineStr">
        <is>
          <t>VÄRMLANDS LÄN</t>
        </is>
      </c>
      <c r="G432" t="inlineStr">
        <is>
          <t>KARLSTAD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55250-2022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44887</v>
      </c>
      <c r="E433" s="1" t="n">
        <v>46302</v>
      </c>
      <c r="F433" t="inlineStr">
        <is>
          <t>VÄRMLANDS LÄN</t>
        </is>
      </c>
      <c r="G433" t="inlineStr">
        <is>
          <t>KARLSTAD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45041</v>
      </c>
      <c r="E434" s="1" t="n">
        <v>46302</v>
      </c>
      <c r="F434" t="inlineStr">
        <is>
          <t>VÄRMLANDS LÄN</t>
        </is>
      </c>
      <c r="G434" t="inlineStr">
        <is>
          <t>KARLSTAD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44594</v>
      </c>
      <c r="E435" s="1" t="n">
        <v>46302</v>
      </c>
      <c r="F435" t="inlineStr">
        <is>
          <t>VÄRMLANDS LÄN</t>
        </is>
      </c>
      <c r="G435" t="inlineStr">
        <is>
          <t>KARLSTAD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46302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46302</v>
      </c>
      <c r="F437" t="inlineStr">
        <is>
          <t>VÄRMLANDS LÄN</t>
        </is>
      </c>
      <c r="G437" t="inlineStr">
        <is>
          <t>KARLSTAD</t>
        </is>
      </c>
      <c r="H437" t="inlineStr">
        <is>
          <t>Bergvik skog väst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45767</v>
      </c>
      <c r="E438" s="1" t="n">
        <v>46302</v>
      </c>
      <c r="F438" t="inlineStr">
        <is>
          <t>VÄRMLANDS LÄN</t>
        </is>
      </c>
      <c r="G438" t="inlineStr">
        <is>
          <t>KARLSTAD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45911</v>
      </c>
      <c r="E439" s="1" t="n">
        <v>46302</v>
      </c>
      <c r="F439" t="inlineStr">
        <is>
          <t>VÄRMLANDS LÄN</t>
        </is>
      </c>
      <c r="G439" t="inlineStr">
        <is>
          <t>KARLSTAD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46302</v>
      </c>
      <c r="F440" t="inlineStr">
        <is>
          <t>VÄRMLANDS LÄN</t>
        </is>
      </c>
      <c r="G440" t="inlineStr">
        <is>
          <t>KARLSTAD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66322-2021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46302</v>
      </c>
      <c r="F441" t="inlineStr">
        <is>
          <t>VÄRMLANDS LÄN</t>
        </is>
      </c>
      <c r="G441" t="inlineStr">
        <is>
          <t>KARLSTAD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46302</v>
      </c>
      <c r="F442" t="inlineStr">
        <is>
          <t>VÄRMLANDS LÄN</t>
        </is>
      </c>
      <c r="G442" t="inlineStr">
        <is>
          <t>KARLSTAD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44578</v>
      </c>
      <c r="E443" s="1" t="n">
        <v>46302</v>
      </c>
      <c r="F443" t="inlineStr">
        <is>
          <t>VÄRMLANDS LÄN</t>
        </is>
      </c>
      <c r="G443" t="inlineStr">
        <is>
          <t>KARLSTAD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46302</v>
      </c>
      <c r="F444" t="inlineStr">
        <is>
          <t>VÄRMLANDS LÄN</t>
        </is>
      </c>
      <c r="G444" t="inlineStr">
        <is>
          <t>KARLSTAD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45120</v>
      </c>
      <c r="E445" s="1" t="n">
        <v>46302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46302</v>
      </c>
      <c r="F446" t="inlineStr">
        <is>
          <t>VÄRMLANDS LÄN</t>
        </is>
      </c>
      <c r="G446" t="inlineStr">
        <is>
          <t>KARLSTAD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45154</v>
      </c>
      <c r="E447" s="1" t="n">
        <v>46302</v>
      </c>
      <c r="F447" t="inlineStr">
        <is>
          <t>VÄRMLANDS LÄN</t>
        </is>
      </c>
      <c r="G447" t="inlineStr">
        <is>
          <t>KARLSTAD</t>
        </is>
      </c>
      <c r="H447" t="inlineStr">
        <is>
          <t>Övriga statliga verk och myndigheter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45288</v>
      </c>
      <c r="E448" s="1" t="n">
        <v>46302</v>
      </c>
      <c r="F448" t="inlineStr">
        <is>
          <t>VÄRMLANDS LÄN</t>
        </is>
      </c>
      <c r="G448" t="inlineStr">
        <is>
          <t>KARLSTAD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46302</v>
      </c>
      <c r="F449" t="inlineStr">
        <is>
          <t>VÄRMLANDS LÄN</t>
        </is>
      </c>
      <c r="G449" t="inlineStr">
        <is>
          <t>KARLSTAD</t>
        </is>
      </c>
      <c r="H449" t="inlineStr">
        <is>
          <t>Kyrkan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46302</v>
      </c>
      <c r="F450" t="inlineStr">
        <is>
          <t>VÄRMLANDS LÄN</t>
        </is>
      </c>
      <c r="G450" t="inlineStr">
        <is>
          <t>KARLSTAD</t>
        </is>
      </c>
      <c r="H450" t="inlineStr">
        <is>
          <t>Övriga Aktiebolag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44952</v>
      </c>
      <c r="E451" s="1" t="n">
        <v>46302</v>
      </c>
      <c r="F451" t="inlineStr">
        <is>
          <t>VÄRMLANDS LÄN</t>
        </is>
      </c>
      <c r="G451" t="inlineStr">
        <is>
          <t>KARLSTAD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45546</v>
      </c>
      <c r="E452" s="1" t="n">
        <v>46302</v>
      </c>
      <c r="F452" t="inlineStr">
        <is>
          <t>VÄRMLANDS LÄN</t>
        </is>
      </c>
      <c r="G452" t="inlineStr">
        <is>
          <t>KARLSTAD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45252</v>
      </c>
      <c r="E453" s="1" t="n">
        <v>46302</v>
      </c>
      <c r="F453" t="inlineStr">
        <is>
          <t>VÄRMLANDS LÄN</t>
        </is>
      </c>
      <c r="G453" t="inlineStr">
        <is>
          <t>KARLSTAD</t>
        </is>
      </c>
      <c r="I453" t="n">
        <v>21.7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44593</v>
      </c>
      <c r="E454" s="1" t="n">
        <v>46302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44945</v>
      </c>
      <c r="E455" s="1" t="n">
        <v>46302</v>
      </c>
      <c r="F455" t="inlineStr">
        <is>
          <t>VÄRMLANDS LÄN</t>
        </is>
      </c>
      <c r="G455" t="inlineStr">
        <is>
          <t>KARLSTAD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46302</v>
      </c>
      <c r="F456" t="inlineStr">
        <is>
          <t>VÄRMLANDS LÄN</t>
        </is>
      </c>
      <c r="G456" t="inlineStr">
        <is>
          <t>KARLSTAD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17364-2023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46302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10931-2025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45723</v>
      </c>
      <c r="E458" s="1" t="n">
        <v>46302</v>
      </c>
      <c r="F458" t="inlineStr">
        <is>
          <t>VÄRMLANDS LÄN</t>
        </is>
      </c>
      <c r="G458" t="inlineStr">
        <is>
          <t>KARLSTAD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45260</v>
      </c>
      <c r="E459" s="1" t="n">
        <v>46302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46302</v>
      </c>
      <c r="F460" t="inlineStr">
        <is>
          <t>VÄRMLANDS LÄN</t>
        </is>
      </c>
      <c r="G460" t="inlineStr">
        <is>
          <t>KARLSTAD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5535-2022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44595</v>
      </c>
      <c r="E461" s="1" t="n">
        <v>46302</v>
      </c>
      <c r="F461" t="inlineStr">
        <is>
          <t>VÄRMLANDS LÄN</t>
        </is>
      </c>
      <c r="G461" t="inlineStr">
        <is>
          <t>KARLSTAD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13745-2022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44649</v>
      </c>
      <c r="E462" s="1" t="n">
        <v>46302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20.8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46019-2023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45196</v>
      </c>
      <c r="E463" s="1" t="n">
        <v>46302</v>
      </c>
      <c r="F463" t="inlineStr">
        <is>
          <t>VÄRMLANDS LÄN</t>
        </is>
      </c>
      <c r="G463" t="inlineStr">
        <is>
          <t>KARLSTAD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45630</v>
      </c>
      <c r="E464" s="1" t="n">
        <v>46302</v>
      </c>
      <c r="F464" t="inlineStr">
        <is>
          <t>VÄRMLANDS LÄN</t>
        </is>
      </c>
      <c r="G464" t="inlineStr">
        <is>
          <t>KARLSTAD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45707</v>
      </c>
      <c r="E465" s="1" t="n">
        <v>46302</v>
      </c>
      <c r="F465" t="inlineStr">
        <is>
          <t>VÄRMLANDS LÄN</t>
        </is>
      </c>
      <c r="G465" t="inlineStr">
        <is>
          <t>KARLSTAD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45450</v>
      </c>
      <c r="E466" s="1" t="n">
        <v>46302</v>
      </c>
      <c r="F466" t="inlineStr">
        <is>
          <t>VÄRMLANDS LÄN</t>
        </is>
      </c>
      <c r="G466" t="inlineStr">
        <is>
          <t>KARLSTAD</t>
        </is>
      </c>
      <c r="I466" t="n">
        <v>10.7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46302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45258</v>
      </c>
      <c r="E468" s="1" t="n">
        <v>46302</v>
      </c>
      <c r="F468" t="inlineStr">
        <is>
          <t>VÄRMLANDS LÄN</t>
        </is>
      </c>
      <c r="G468" t="inlineStr">
        <is>
          <t>KARLSTAD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45366</v>
      </c>
      <c r="E469" s="1" t="n">
        <v>46302</v>
      </c>
      <c r="F469" t="inlineStr">
        <is>
          <t>VÄRMLANDS LÄN</t>
        </is>
      </c>
      <c r="G469" t="inlineStr">
        <is>
          <t>KARLSTAD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44566</v>
      </c>
      <c r="E470" s="1" t="n">
        <v>46302</v>
      </c>
      <c r="F470" t="inlineStr">
        <is>
          <t>VÄRMLANDS LÄN</t>
        </is>
      </c>
      <c r="G470" t="inlineStr">
        <is>
          <t>KARLSTAD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46302</v>
      </c>
      <c r="F471" t="inlineStr">
        <is>
          <t>VÄRMLANDS LÄN</t>
        </is>
      </c>
      <c r="G471" t="inlineStr">
        <is>
          <t>KARLSTAD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46302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45757-2022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46302</v>
      </c>
      <c r="F473" t="inlineStr">
        <is>
          <t>VÄRMLANDS LÄN</t>
        </is>
      </c>
      <c r="G473" t="inlineStr">
        <is>
          <t>KARLSTAD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25799-2022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44708</v>
      </c>
      <c r="E474" s="1" t="n">
        <v>46302</v>
      </c>
      <c r="F474" t="inlineStr">
        <is>
          <t>VÄRMLANDS LÄN</t>
        </is>
      </c>
      <c r="G474" t="inlineStr">
        <is>
          <t>KARLSTAD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44986</v>
      </c>
      <c r="E475" s="1" t="n">
        <v>46302</v>
      </c>
      <c r="F475" t="inlineStr">
        <is>
          <t>VÄRMLANDS LÄN</t>
        </is>
      </c>
      <c r="G475" t="inlineStr">
        <is>
          <t>KARLSTAD</t>
        </is>
      </c>
      <c r="H475" t="inlineStr">
        <is>
          <t>Kommuner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42465-2024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45565</v>
      </c>
      <c r="E476" s="1" t="n">
        <v>46302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14320-2023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46302</v>
      </c>
      <c r="F477" t="inlineStr">
        <is>
          <t>VÄRMLANDS LÄN</t>
        </is>
      </c>
      <c r="G477" t="inlineStr">
        <is>
          <t>KARLSTAD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46302</v>
      </c>
      <c r="F478" t="inlineStr">
        <is>
          <t>VÄRMLANDS LÄN</t>
        </is>
      </c>
      <c r="G478" t="inlineStr">
        <is>
          <t>KARLSTAD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46302</v>
      </c>
      <c r="F479" t="inlineStr">
        <is>
          <t>VÄRMLANDS LÄN</t>
        </is>
      </c>
      <c r="G479" t="inlineStr">
        <is>
          <t>KARLSTAD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69008-2021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44530</v>
      </c>
      <c r="E480" s="1" t="n">
        <v>46302</v>
      </c>
      <c r="F480" t="inlineStr">
        <is>
          <t>VÄRMLANDS LÄN</t>
        </is>
      </c>
      <c r="G480" t="inlineStr">
        <is>
          <t>KARLSTAD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45163</v>
      </c>
      <c r="E481" s="1" t="n">
        <v>46302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46296</v>
      </c>
      <c r="E482" s="1" t="n">
        <v>46302</v>
      </c>
      <c r="F482" t="inlineStr">
        <is>
          <t>VÄRMLANDS LÄN</t>
        </is>
      </c>
      <c r="G482" t="inlineStr">
        <is>
          <t>KARLSTAD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46302</v>
      </c>
      <c r="F483" t="inlineStr">
        <is>
          <t>VÄRMLANDS LÄN</t>
        </is>
      </c>
      <c r="G483" t="inlineStr">
        <is>
          <t>KARLSTAD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46302</v>
      </c>
      <c r="F484" t="inlineStr">
        <is>
          <t>VÄRMLANDS LÄN</t>
        </is>
      </c>
      <c r="G484" t="inlineStr">
        <is>
          <t>KARLSTAD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40809-2026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46296</v>
      </c>
      <c r="E485" s="1" t="n">
        <v>46302</v>
      </c>
      <c r="F485" t="inlineStr">
        <is>
          <t>VÄRMLANDS LÄN</t>
        </is>
      </c>
      <c r="G485" t="inlineStr">
        <is>
          <t>KARLSTAD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46302</v>
      </c>
      <c r="F486" t="inlineStr">
        <is>
          <t>VÄRMLANDS LÄN</t>
        </is>
      </c>
      <c r="G486" t="inlineStr">
        <is>
          <t>KARLSTAD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58456-2022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44902</v>
      </c>
      <c r="E487" s="1" t="n">
        <v>46302</v>
      </c>
      <c r="F487" t="inlineStr">
        <is>
          <t>VÄRMLANDS LÄN</t>
        </is>
      </c>
      <c r="G487" t="inlineStr">
        <is>
          <t>KARLSTAD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43545-2023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45184</v>
      </c>
      <c r="E488" s="1" t="n">
        <v>46302</v>
      </c>
      <c r="F488" t="inlineStr">
        <is>
          <t>VÄRMLANDS LÄN</t>
        </is>
      </c>
      <c r="G488" t="inlineStr">
        <is>
          <t>KARLSTAD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54669-2024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45618</v>
      </c>
      <c r="E489" s="1" t="n">
        <v>46302</v>
      </c>
      <c r="F489" t="inlineStr">
        <is>
          <t>VÄRMLANDS LÄN</t>
        </is>
      </c>
      <c r="G489" t="inlineStr">
        <is>
          <t>KARLSTAD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46302</v>
      </c>
      <c r="F490" t="inlineStr">
        <is>
          <t>VÄRMLANDS LÄN</t>
        </is>
      </c>
      <c r="G490" t="inlineStr">
        <is>
          <t>KARLSTAD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46302</v>
      </c>
      <c r="F491" t="inlineStr">
        <is>
          <t>VÄRMLANDS LÄN</t>
        </is>
      </c>
      <c r="G491" t="inlineStr">
        <is>
          <t>KARLSTAD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45070</v>
      </c>
      <c r="E492" s="1" t="n">
        <v>46302</v>
      </c>
      <c r="F492" t="inlineStr">
        <is>
          <t>VÄRMLANDS LÄN</t>
        </is>
      </c>
      <c r="G492" t="inlineStr">
        <is>
          <t>KARLSTAD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44999</v>
      </c>
      <c r="E493" s="1" t="n">
        <v>46302</v>
      </c>
      <c r="F493" t="inlineStr">
        <is>
          <t>VÄRMLANDS LÄN</t>
        </is>
      </c>
      <c r="G493" t="inlineStr">
        <is>
          <t>KARLSTAD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34788-2026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46258</v>
      </c>
      <c r="E494" s="1" t="n">
        <v>46302</v>
      </c>
      <c r="F494" t="inlineStr">
        <is>
          <t>VÄRMLANDS LÄN</t>
        </is>
      </c>
      <c r="G494" t="inlineStr">
        <is>
          <t>KARLSTAD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46302</v>
      </c>
      <c r="F495" t="inlineStr">
        <is>
          <t>VÄRMLANDS LÄN</t>
        </is>
      </c>
      <c r="G495" t="inlineStr">
        <is>
          <t>KARLSTAD</t>
        </is>
      </c>
      <c r="H495" t="inlineStr">
        <is>
          <t>Kommuner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45049</v>
      </c>
      <c r="E496" s="1" t="n">
        <v>46302</v>
      </c>
      <c r="F496" t="inlineStr">
        <is>
          <t>VÄRMLANDS LÄN</t>
        </is>
      </c>
      <c r="G496" t="inlineStr">
        <is>
          <t>KARLSTAD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50478-2024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45601</v>
      </c>
      <c r="E497" s="1" t="n">
        <v>46302</v>
      </c>
      <c r="F497" t="inlineStr">
        <is>
          <t>VÄRMLANDS LÄN</t>
        </is>
      </c>
      <c r="G497" t="inlineStr">
        <is>
          <t>KARLSTAD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45028</v>
      </c>
      <c r="E498" s="1" t="n">
        <v>46302</v>
      </c>
      <c r="F498" t="inlineStr">
        <is>
          <t>VÄRMLANDS LÄN</t>
        </is>
      </c>
      <c r="G498" t="inlineStr">
        <is>
          <t>KARLSTAD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19666-2023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45051</v>
      </c>
      <c r="E499" s="1" t="n">
        <v>46302</v>
      </c>
      <c r="F499" t="inlineStr">
        <is>
          <t>VÄRMLANDS LÄN</t>
        </is>
      </c>
      <c r="G499" t="inlineStr">
        <is>
          <t>KARLSTAD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46302</v>
      </c>
      <c r="F500" t="inlineStr">
        <is>
          <t>VÄRMLANDS LÄN</t>
        </is>
      </c>
      <c r="G500" t="inlineStr">
        <is>
          <t>KARLSTAD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45390</v>
      </c>
      <c r="E501" s="1" t="n">
        <v>46302</v>
      </c>
      <c r="F501" t="inlineStr">
        <is>
          <t>VÄRMLANDS LÄN</t>
        </is>
      </c>
      <c r="G501" t="inlineStr">
        <is>
          <t>KARLSTAD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45688</v>
      </c>
      <c r="E502" s="1" t="n">
        <v>46302</v>
      </c>
      <c r="F502" t="inlineStr">
        <is>
          <t>VÄRMLANDS LÄN</t>
        </is>
      </c>
      <c r="G502" t="inlineStr">
        <is>
          <t>KARLSTAD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46302</v>
      </c>
      <c r="F503" t="inlineStr">
        <is>
          <t>VÄRMLANDS LÄN</t>
        </is>
      </c>
      <c r="G503" t="inlineStr">
        <is>
          <t>KARLSTAD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44634</v>
      </c>
      <c r="E504" s="1" t="n">
        <v>46302</v>
      </c>
      <c r="F504" t="inlineStr">
        <is>
          <t>VÄRMLANDS LÄN</t>
        </is>
      </c>
      <c r="G504" t="inlineStr">
        <is>
          <t>KARLSTAD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46302</v>
      </c>
      <c r="F505" t="inlineStr">
        <is>
          <t>VÄRMLANDS LÄN</t>
        </is>
      </c>
      <c r="G505" t="inlineStr">
        <is>
          <t>KARLSTAD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34722-2026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46258</v>
      </c>
      <c r="E506" s="1" t="n">
        <v>46302</v>
      </c>
      <c r="F506" t="inlineStr">
        <is>
          <t>VÄRMLANDS LÄN</t>
        </is>
      </c>
      <c r="G506" t="inlineStr">
        <is>
          <t>KARLSTAD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45693</v>
      </c>
      <c r="E507" s="1" t="n">
        <v>46302</v>
      </c>
      <c r="F507" t="inlineStr">
        <is>
          <t>VÄRMLANDS LÄN</t>
        </is>
      </c>
      <c r="G507" t="inlineStr">
        <is>
          <t>KARLSTAD</t>
        </is>
      </c>
      <c r="H507" t="inlineStr">
        <is>
          <t>Bergvik skog väst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46302</v>
      </c>
      <c r="F508" t="inlineStr">
        <is>
          <t>VÄRMLANDS LÄN</t>
        </is>
      </c>
      <c r="G508" t="inlineStr">
        <is>
          <t>KARLSTAD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57322-2024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46302</v>
      </c>
      <c r="F509" t="inlineStr">
        <is>
          <t>VÄRMLANDS LÄN</t>
        </is>
      </c>
      <c r="G509" t="inlineStr">
        <is>
          <t>KARLSTAD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57449-2022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44896</v>
      </c>
      <c r="E510" s="1" t="n">
        <v>46302</v>
      </c>
      <c r="F510" t="inlineStr">
        <is>
          <t>VÄRMLANDS LÄN</t>
        </is>
      </c>
      <c r="G510" t="inlineStr">
        <is>
          <t>KARLSTAD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45641</v>
      </c>
      <c r="E511" s="1" t="n">
        <v>46302</v>
      </c>
      <c r="F511" t="inlineStr">
        <is>
          <t>VÄRMLANDS LÄN</t>
        </is>
      </c>
      <c r="G511" t="inlineStr">
        <is>
          <t>KARLSTAD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46302</v>
      </c>
      <c r="F512" t="inlineStr">
        <is>
          <t>VÄRMLANDS LÄN</t>
        </is>
      </c>
      <c r="G512" t="inlineStr">
        <is>
          <t>KARLSTAD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61005-2023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45261</v>
      </c>
      <c r="E513" s="1" t="n">
        <v>46302</v>
      </c>
      <c r="F513" t="inlineStr">
        <is>
          <t>VÄRMLANDS LÄN</t>
        </is>
      </c>
      <c r="G513" t="inlineStr">
        <is>
          <t>KARLSTAD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46302</v>
      </c>
      <c r="F514" t="inlineStr">
        <is>
          <t>VÄRMLANDS LÄN</t>
        </is>
      </c>
      <c r="G514" t="inlineStr">
        <is>
          <t>KARLSTAD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44593</v>
      </c>
      <c r="E515" s="1" t="n">
        <v>46302</v>
      </c>
      <c r="F515" t="inlineStr">
        <is>
          <t>VÄRMLANDS LÄN</t>
        </is>
      </c>
      <c r="G515" t="inlineStr">
        <is>
          <t>KARLSTAD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33515-2023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45131</v>
      </c>
      <c r="E516" s="1" t="n">
        <v>46302</v>
      </c>
      <c r="F516" t="inlineStr">
        <is>
          <t>VÄRMLANDS LÄN</t>
        </is>
      </c>
      <c r="G516" t="inlineStr">
        <is>
          <t>KARLSTAD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46302</v>
      </c>
      <c r="F517" t="inlineStr">
        <is>
          <t>VÄRMLANDS LÄN</t>
        </is>
      </c>
      <c r="G517" t="inlineStr">
        <is>
          <t>KARLSTAD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45645</v>
      </c>
      <c r="E518" s="1" t="n">
        <v>46302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46302</v>
      </c>
      <c r="F519" t="inlineStr">
        <is>
          <t>VÄRMLANDS LÄN</t>
        </is>
      </c>
      <c r="G519" t="inlineStr">
        <is>
          <t>KARLSTAD</t>
        </is>
      </c>
      <c r="H519" t="inlineStr">
        <is>
          <t>Övriga Aktiebolag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56643-2022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46302</v>
      </c>
      <c r="F520" t="inlineStr">
        <is>
          <t>VÄRMLANDS LÄN</t>
        </is>
      </c>
      <c r="G520" t="inlineStr">
        <is>
          <t>KARLSTAD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45118</v>
      </c>
      <c r="E521" s="1" t="n">
        <v>46302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28154-2022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44746</v>
      </c>
      <c r="E522" s="1" t="n">
        <v>46302</v>
      </c>
      <c r="F522" t="inlineStr">
        <is>
          <t>VÄRMLANDS LÄN</t>
        </is>
      </c>
      <c r="G522" t="inlineStr">
        <is>
          <t>KARLSTAD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46302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44818</v>
      </c>
      <c r="E524" s="1" t="n">
        <v>46302</v>
      </c>
      <c r="F524" t="inlineStr">
        <is>
          <t>VÄRMLANDS LÄN</t>
        </is>
      </c>
      <c r="G524" t="inlineStr">
        <is>
          <t>KARLSTAD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13291-2024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45386</v>
      </c>
      <c r="E525" s="1" t="n">
        <v>46302</v>
      </c>
      <c r="F525" t="inlineStr">
        <is>
          <t>VÄRMLANDS LÄN</t>
        </is>
      </c>
      <c r="G525" t="inlineStr">
        <is>
          <t>KARLSTAD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45306</v>
      </c>
      <c r="E526" s="1" t="n">
        <v>46302</v>
      </c>
      <c r="F526" t="inlineStr">
        <is>
          <t>VÄRMLANDS LÄN</t>
        </is>
      </c>
      <c r="G526" t="inlineStr">
        <is>
          <t>KARLSTAD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46302</v>
      </c>
      <c r="F527" t="inlineStr">
        <is>
          <t>VÄRMLANDS LÄN</t>
        </is>
      </c>
      <c r="G527" t="inlineStr">
        <is>
          <t>KARLSTAD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41960-2023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45177</v>
      </c>
      <c r="E528" s="1" t="n">
        <v>46302</v>
      </c>
      <c r="F528" t="inlineStr">
        <is>
          <t>VÄRMLANDS LÄN</t>
        </is>
      </c>
      <c r="G528" t="inlineStr">
        <is>
          <t>KARLSTAD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41321-2023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46302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45736</v>
      </c>
      <c r="E530" s="1" t="n">
        <v>46302</v>
      </c>
      <c r="F530" t="inlineStr">
        <is>
          <t>VÄRMLANDS LÄN</t>
        </is>
      </c>
      <c r="G530" t="inlineStr">
        <is>
          <t>KARLSTAD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53305-2023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45229</v>
      </c>
      <c r="E531" s="1" t="n">
        <v>46302</v>
      </c>
      <c r="F531" t="inlineStr">
        <is>
          <t>VÄRMLANDS LÄN</t>
        </is>
      </c>
      <c r="G531" t="inlineStr">
        <is>
          <t>KARLSTAD</t>
        </is>
      </c>
      <c r="H531" t="inlineStr">
        <is>
          <t>Övriga Aktiebolag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16757-2024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45411</v>
      </c>
      <c r="E532" s="1" t="n">
        <v>46302</v>
      </c>
      <c r="F532" t="inlineStr">
        <is>
          <t>VÄRMLANDS LÄN</t>
        </is>
      </c>
      <c r="G532" t="inlineStr">
        <is>
          <t>KARLSTAD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45713</v>
      </c>
      <c r="E533" s="1" t="n">
        <v>46302</v>
      </c>
      <c r="F533" t="inlineStr">
        <is>
          <t>VÄRMLANDS LÄN</t>
        </is>
      </c>
      <c r="G533" t="inlineStr">
        <is>
          <t>KARLSTAD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45379</v>
      </c>
      <c r="E534" s="1" t="n">
        <v>46302</v>
      </c>
      <c r="F534" t="inlineStr">
        <is>
          <t>VÄRMLANDS LÄN</t>
        </is>
      </c>
      <c r="G534" t="inlineStr">
        <is>
          <t>KARLSTAD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54141-2024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45616</v>
      </c>
      <c r="E535" s="1" t="n">
        <v>46302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46302</v>
      </c>
      <c r="F536" t="inlineStr">
        <is>
          <t>VÄRMLANDS LÄN</t>
        </is>
      </c>
      <c r="G536" t="inlineStr">
        <is>
          <t>KARLSTAD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45782</v>
      </c>
      <c r="E537" s="1" t="n">
        <v>46302</v>
      </c>
      <c r="F537" t="inlineStr">
        <is>
          <t>VÄRMLANDS LÄN</t>
        </is>
      </c>
      <c r="G537" t="inlineStr">
        <is>
          <t>KARLSTAD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46302</v>
      </c>
      <c r="F538" t="inlineStr">
        <is>
          <t>VÄRMLANDS LÄN</t>
        </is>
      </c>
      <c r="G538" t="inlineStr">
        <is>
          <t>KARLSTAD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46302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46302</v>
      </c>
      <c r="F540" t="inlineStr">
        <is>
          <t>VÄRMLANDS LÄN</t>
        </is>
      </c>
      <c r="G540" t="inlineStr">
        <is>
          <t>KARLSTAD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46302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46302</v>
      </c>
      <c r="F542" t="inlineStr">
        <is>
          <t>VÄRMLANDS LÄN</t>
        </is>
      </c>
      <c r="G542" t="inlineStr">
        <is>
          <t>KARLSTAD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45789</v>
      </c>
      <c r="E543" s="1" t="n">
        <v>46302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39792-2024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45553</v>
      </c>
      <c r="E544" s="1" t="n">
        <v>46302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45466</v>
      </c>
      <c r="E545" s="1" t="n">
        <v>46302</v>
      </c>
      <c r="F545" t="inlineStr">
        <is>
          <t>VÄRMLANDS LÄN</t>
        </is>
      </c>
      <c r="G545" t="inlineStr">
        <is>
          <t>KARLSTAD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45356</v>
      </c>
      <c r="E546" s="1" t="n">
        <v>46302</v>
      </c>
      <c r="F546" t="inlineStr">
        <is>
          <t>VÄRMLANDS LÄN</t>
        </is>
      </c>
      <c r="G546" t="inlineStr">
        <is>
          <t>KARLSTAD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46302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24.3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45621</v>
      </c>
      <c r="E548" s="1" t="n">
        <v>46302</v>
      </c>
      <c r="F548" t="inlineStr">
        <is>
          <t>VÄRMLANDS LÄN</t>
        </is>
      </c>
      <c r="G548" t="inlineStr">
        <is>
          <t>KARLSTAD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60281-2024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45642</v>
      </c>
      <c r="E549" s="1" t="n">
        <v>46302</v>
      </c>
      <c r="F549" t="inlineStr">
        <is>
          <t>VÄRMLANDS LÄN</t>
        </is>
      </c>
      <c r="G549" t="inlineStr">
        <is>
          <t>KARLSTAD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19166-2023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45044</v>
      </c>
      <c r="E550" s="1" t="n">
        <v>46302</v>
      </c>
      <c r="F550" t="inlineStr">
        <is>
          <t>VÄRMLANDS LÄN</t>
        </is>
      </c>
      <c r="G550" t="inlineStr">
        <is>
          <t>KARLSTAD</t>
        </is>
      </c>
      <c r="H550" t="inlineStr">
        <is>
          <t>Övriga statliga verk och myndigheter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4402-2023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46302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435-2024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45337</v>
      </c>
      <c r="E552" s="1" t="n">
        <v>46302</v>
      </c>
      <c r="F552" t="inlineStr">
        <is>
          <t>VÄRMLANDS LÄN</t>
        </is>
      </c>
      <c r="G552" t="inlineStr">
        <is>
          <t>KARLSTAD</t>
        </is>
      </c>
      <c r="I552" t="n">
        <v>101.6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5511-2022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44834</v>
      </c>
      <c r="E553" s="1" t="n">
        <v>46302</v>
      </c>
      <c r="F553" t="inlineStr">
        <is>
          <t>VÄRMLANDS LÄN</t>
        </is>
      </c>
      <c r="G553" t="inlineStr">
        <is>
          <t>KARLSTAD</t>
        </is>
      </c>
      <c r="H553" t="inlineStr">
        <is>
          <t>Naturvårdsverket</t>
        </is>
      </c>
      <c r="I553" t="n">
        <v>44.5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928-2022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44606</v>
      </c>
      <c r="E554" s="1" t="n">
        <v>46302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4396-2023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46302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2688-2024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45481</v>
      </c>
      <c r="E556" s="1" t="n">
        <v>46302</v>
      </c>
      <c r="F556" t="inlineStr">
        <is>
          <t>VÄRMLANDS LÄN</t>
        </is>
      </c>
      <c r="G556" t="inlineStr">
        <is>
          <t>KARLSTAD</t>
        </is>
      </c>
      <c r="I556" t="n">
        <v>31.6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416-2024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45335</v>
      </c>
      <c r="E557" s="1" t="n">
        <v>46302</v>
      </c>
      <c r="F557" t="inlineStr">
        <is>
          <t>VÄRMLANDS LÄN</t>
        </is>
      </c>
      <c r="G557" t="inlineStr">
        <is>
          <t>KARLSTAD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6972-2022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44901</v>
      </c>
      <c r="E558" s="1" t="n">
        <v>46302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43.4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2560-2024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46302</v>
      </c>
      <c r="F559" t="inlineStr">
        <is>
          <t>VÄRMLANDS LÄN</t>
        </is>
      </c>
      <c r="G559" t="inlineStr">
        <is>
          <t>KARLSTAD</t>
        </is>
      </c>
      <c r="I559" t="n">
        <v>19.1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3510-2022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44733</v>
      </c>
      <c r="E560" s="1" t="n">
        <v>46302</v>
      </c>
      <c r="F560" t="inlineStr">
        <is>
          <t>VÄRMLANDS LÄN</t>
        </is>
      </c>
      <c r="G560" t="inlineStr">
        <is>
          <t>KARLSTAD</t>
        </is>
      </c>
      <c r="I560" t="n">
        <v>27.7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4126-2022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44763</v>
      </c>
      <c r="E561" s="1" t="n">
        <v>46302</v>
      </c>
      <c r="F561" t="inlineStr">
        <is>
          <t>VÄRMLANDS LÄN</t>
        </is>
      </c>
      <c r="G561" t="inlineStr">
        <is>
          <t>KARLSTAD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1875-2023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45076</v>
      </c>
      <c r="E562" s="1" t="n">
        <v>46302</v>
      </c>
      <c r="F562" t="inlineStr">
        <is>
          <t>VÄRMLANDS LÄN</t>
        </is>
      </c>
      <c r="G562" t="inlineStr">
        <is>
          <t>KARLSTAD</t>
        </is>
      </c>
      <c r="H562" t="inlineStr">
        <is>
          <t>Kommuner</t>
        </is>
      </c>
      <c r="I562" t="n">
        <v>163.7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686-2022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44596</v>
      </c>
      <c r="E563" s="1" t="n">
        <v>46302</v>
      </c>
      <c r="F563" t="inlineStr">
        <is>
          <t>VÄRMLANDS LÄN</t>
        </is>
      </c>
      <c r="G563" t="inlineStr">
        <is>
          <t>KARLSTAD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3546-2022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44735</v>
      </c>
      <c r="E564" s="1" t="n">
        <v>46302</v>
      </c>
      <c r="F564" t="inlineStr">
        <is>
          <t>VÄRMLANDS LÄN</t>
        </is>
      </c>
      <c r="G564" t="inlineStr">
        <is>
          <t>KARLSTAD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46302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46302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46302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2026-10-07T02:04:02Z</dcterms:created>
  <dcterms:modified xmlns:dcterms="http://purl.org/dc/terms/" xmlns:xsi="http://www.w3.org/2001/XMLSchema-instance" xsi:type="dcterms:W3CDTF">2026-10-07T02:04:03Z</dcterms:modified>
</cp:coreProperties>
</file>