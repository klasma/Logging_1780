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45667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45667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45667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45667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45667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45667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45667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45667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45667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45667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45667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45667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45667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45667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45667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45667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45667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45667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45667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45667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45667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45667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45667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45667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45667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45667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45667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45667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45667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45667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45667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45667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45667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45667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45667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45667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45667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45667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45667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45667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45667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45667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45667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45667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45667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45667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45667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45667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45667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45667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45667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45667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45667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45667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45667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45667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45667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45667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45667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45667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45667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45667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45667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45667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45667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45667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45667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45667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45667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45667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45667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45667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45667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45667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45667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45667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45667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45667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45667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45667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45667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45667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45667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45667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45667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45667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45667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45667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45667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45667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45667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45667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45667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45667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45667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45667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45667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45667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45667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45667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45667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45667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45667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45667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45667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45667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45667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45667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45667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45667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45667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45667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45667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45667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45667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45667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45667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45667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45667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45667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45667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45667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45667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45667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45667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45667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45667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45667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45667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45667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45667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45667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45667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45667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45667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45667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45667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45667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45667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45667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45667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45667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45667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45667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45667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45667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45667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45667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45667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45667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45667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45667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45667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45667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45667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45667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45667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45667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45667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45667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45667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45667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45667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45667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45667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45667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45667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45667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45667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45667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45667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45667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45667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45667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45667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45667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45667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45667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45667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45667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45667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45667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45667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45667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45667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45667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45667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45667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45667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45667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45667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45667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45667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45667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45667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45667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45667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45667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45667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45667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45667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45667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45667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45667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45667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45667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45667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45667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45667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45667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45667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45667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45667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45667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45667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45667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45667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45667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45667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45667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45667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45667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45667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45667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45667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45667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45667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45667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45667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45667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45667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45667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45667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45667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45667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45667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45667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45667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45667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45667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45667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45667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45667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45667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45667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45667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45667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45667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45667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45667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45667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45667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45667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45667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45667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45667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45667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45667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45667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45667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45667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45667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45667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45667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45667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45667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45667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45667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45667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45667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45667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45667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45667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45667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45667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45667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45667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45667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45667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45667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45667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45667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45667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45667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45667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45667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45667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45667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45667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45667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45667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45667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45667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45667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45667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45667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45667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45667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45667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45667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45667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45667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45667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45667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45667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45667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45667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45667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45667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45667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45667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45667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45667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45667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45667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45667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45667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45667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45667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45667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45667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45667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45667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45667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45667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45667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45667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45667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45667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45667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45667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45667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45667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45667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45667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45667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45667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45667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45667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45667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45667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45667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45667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45667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45667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45667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45667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45667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45667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45667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45667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45667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45667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45667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45667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45667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45667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45667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45667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45667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45667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45667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45667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45667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45667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45667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45667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45667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45667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45667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45667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45667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45667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45667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45667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45667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45667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45667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45667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45667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45667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45667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45667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45667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45667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45667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45667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45667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45667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45667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45667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45667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45667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45667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45667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45667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45667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45667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45667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45667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45667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45667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45667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45667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45667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45667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45667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45667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45667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45667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45667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45667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45667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45667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45667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45667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45667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45667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45667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45667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45667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45667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45667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45667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45667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45667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45667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45667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45667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45667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45667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45667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45667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45667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45667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45667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45667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45667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45667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45667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45667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45667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45667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45667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45667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45667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45667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45667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45667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45667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45667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45667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45667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45667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45667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45667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45667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45667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45667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45667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45667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45667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45667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45667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45667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45667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45667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45667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45667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45667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45667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45667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45667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45667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45667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45667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45667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45667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45667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45667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45667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45667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45667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45667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45667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45667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45667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45667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45667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45667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45667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45667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45667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45667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45667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45667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45667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45667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45667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45667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45667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45667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45667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45667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45667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45667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45667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45667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45667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45667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45667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45667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45667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45667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45667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45667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45667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45667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45667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45667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45667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45667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45667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45667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45667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45667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45667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45667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45667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45667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45667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45667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45667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45667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45667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45667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45667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45667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45667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45667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45667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45667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45667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45667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45667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45667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45667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45667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45667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45667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45667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45667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45667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45667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45667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45667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45667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45667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45667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45667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45667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45667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45667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45667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45667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45667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45667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45667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45667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45667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45667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45667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45667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45667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45667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45667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45667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45667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45667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45667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45667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45667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45667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45667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45667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45667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45667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45667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45667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45667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45667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45667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45667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45667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45667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45667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45667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45667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45667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45667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45667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45667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45667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45667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45667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45667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45667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45667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45667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45667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45667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45667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45667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45667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45667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45667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45667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45667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45667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45667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45667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45667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45667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45667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45667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45667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45667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45667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45667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45667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45667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45667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45667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45667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45667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45667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45667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45667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45667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45667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45667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45667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45667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45667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45667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45667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45667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45667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45667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45667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45667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45667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45667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45667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45667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45667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45667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45667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45667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45667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45667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45667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45667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45667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45667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45667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45667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45667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45667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45667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45667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45667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45667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45667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45667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45667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45667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45667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45667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45667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45667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45667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45667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45667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45667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45667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45667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45667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45667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45667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45667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45667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45667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45667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45667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45667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45667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45667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45667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45667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45667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45667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45667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45667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45667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45667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45667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45667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45667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45667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45667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45667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45667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45667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45667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45667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45667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45667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45667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45667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45667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45667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45667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45667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45667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45667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45667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45667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45667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45667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45667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45667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45667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45667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45667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45667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45667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45667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45667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45667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45667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45667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45667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45667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45667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45667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45667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45667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45667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45667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45667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45667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45667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45667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45667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45667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45667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45667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45667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45667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45667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45667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45667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45667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45667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45667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45667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45667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45667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45667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45667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45667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45667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45667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45667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45667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45667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45667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45667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45667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45667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45667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45667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45667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45667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45667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45667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45667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45667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45667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45667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45667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45667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45667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45667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45667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45667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45667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45667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45667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45667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45667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45667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45667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45667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45667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45667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45667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45667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45667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45667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45667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45667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45667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45667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45667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45667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45667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45667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45667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45667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45667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45667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45667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45667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45667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45667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45667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45667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45667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45667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45667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45667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45667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45667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45667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45667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45667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45667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45667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45667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45667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45667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45667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45667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45667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45667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45667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45667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45667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45667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45667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45667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45667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45667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45667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45667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45667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45667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45667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45667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45667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45667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45667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45667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45667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45667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45667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45667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45667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45667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45667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45667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45667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45667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45667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45667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45667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45667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45667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45667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45667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45667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45667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45667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45667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45667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45667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45667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45667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45667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45667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45667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45667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45667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45667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45667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45667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45667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45667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45667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45667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45667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45667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45667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45667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45667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45667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45667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45667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45667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45667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45667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45667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45667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45667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45667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45667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45667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45667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45667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45667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45667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45667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45667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45667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45667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45667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45667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45667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45667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45667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45667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45667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45667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45667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45667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45667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45667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45667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45667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45667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45667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45667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45667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45667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45667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45667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45667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45667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45667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45667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45667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45667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45667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45667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45667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45667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45667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45667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45667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45667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45667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45667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45667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45667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45667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45667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45667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45667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45667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45667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45667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45667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45667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45667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45667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45667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45667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45667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45667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45667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45667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45667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45667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45667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45667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45667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45667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45667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45667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45667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45667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45667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45667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45667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45667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45667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45667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45667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45667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45667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45667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45667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45667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45667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45667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45667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45667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45667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45667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45667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45667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45667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45667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45667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45667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45667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45667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45667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45667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45667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45667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45667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45667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45667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45667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45667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45667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45667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45667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45667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45667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45667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45667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45667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45667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45667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45667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45667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45667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45667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45667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45667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45667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45667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45667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45667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45667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45667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45667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45667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45667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45667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45667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45667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45667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45667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45667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45667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45667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45667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45667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45667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45667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45667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45667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45667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45667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45667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45667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45667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45667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45667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45667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45667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45667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45667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45667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45667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45667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45667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45667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45667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45667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45667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45667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45667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45667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45667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45667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45667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45667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45667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45667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45667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45667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45667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45667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45667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45667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45667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45667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45667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45667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45667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45667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45667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45667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45667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45667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45667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45667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45667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45667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45667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45667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45667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45667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45667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59888-2024</t>
        </is>
      </c>
      <c r="B1122" s="1" t="n">
        <v>45641</v>
      </c>
      <c r="C1122" s="1" t="n">
        <v>45667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45667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60280-2024</t>
        </is>
      </c>
      <c r="B1124" s="1" t="n">
        <v>45642</v>
      </c>
      <c r="C1124" s="1" t="n">
        <v>45667</v>
      </c>
      <c r="D1124" t="inlineStr">
        <is>
          <t>VÄRMLANDS LÄN</t>
        </is>
      </c>
      <c r="E1124" t="inlineStr">
        <is>
          <t>KARLSTAD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60278-2024</t>
        </is>
      </c>
      <c r="B1125" s="1" t="n">
        <v>45642</v>
      </c>
      <c r="C1125" s="1" t="n">
        <v>45667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60281-2024</t>
        </is>
      </c>
      <c r="B1126" s="1" t="n">
        <v>45642</v>
      </c>
      <c r="C1126" s="1" t="n">
        <v>45667</v>
      </c>
      <c r="D1126" t="inlineStr">
        <is>
          <t>VÄRMLANDS LÄN</t>
        </is>
      </c>
      <c r="E1126" t="inlineStr">
        <is>
          <t>KARLSTAD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45667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60897-2024</t>
        </is>
      </c>
      <c r="B1128" s="1" t="n">
        <v>45645</v>
      </c>
      <c r="C1128" s="1" t="n">
        <v>45667</v>
      </c>
      <c r="D1128" t="inlineStr">
        <is>
          <t>VÄRMLANDS LÄN</t>
        </is>
      </c>
      <c r="E1128" t="inlineStr">
        <is>
          <t>KARLSTAD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60932-2024</t>
        </is>
      </c>
      <c r="B1129" s="1" t="n">
        <v>45645</v>
      </c>
      <c r="C1129" s="1" t="n">
        <v>45667</v>
      </c>
      <c r="D1129" t="inlineStr">
        <is>
          <t>VÄRMLANDS LÄN</t>
        </is>
      </c>
      <c r="E1129" t="inlineStr">
        <is>
          <t>KARLSTAD</t>
        </is>
      </c>
      <c r="F1129" t="inlineStr">
        <is>
          <t>Bergvik skog väst AB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60907-2024</t>
        </is>
      </c>
      <c r="B1130" s="1" t="n">
        <v>45645</v>
      </c>
      <c r="C1130" s="1" t="n">
        <v>45667</v>
      </c>
      <c r="D1130" t="inlineStr">
        <is>
          <t>VÄRMLANDS LÄN</t>
        </is>
      </c>
      <c r="E1130" t="inlineStr">
        <is>
          <t>KARLSTAD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61644-2024</t>
        </is>
      </c>
      <c r="B1131" s="1" t="n">
        <v>45646</v>
      </c>
      <c r="C1131" s="1" t="n">
        <v>45667</v>
      </c>
      <c r="D1131" t="inlineStr">
        <is>
          <t>VÄRMLANDS LÄN</t>
        </is>
      </c>
      <c r="E1131" t="inlineStr">
        <is>
          <t>KARLSTAD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61635-2024</t>
        </is>
      </c>
      <c r="B1132" s="1" t="n">
        <v>45646</v>
      </c>
      <c r="C1132" s="1" t="n">
        <v>45667</v>
      </c>
      <c r="D1132" t="inlineStr">
        <is>
          <t>VÄRMLANDS LÄN</t>
        </is>
      </c>
      <c r="E1132" t="inlineStr">
        <is>
          <t>KARLSTAD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61441-2024</t>
        </is>
      </c>
      <c r="B1133" s="1" t="n">
        <v>45646</v>
      </c>
      <c r="C1133" s="1" t="n">
        <v>45667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61747-2024</t>
        </is>
      </c>
      <c r="B1134" s="1" t="n">
        <v>45649</v>
      </c>
      <c r="C1134" s="1" t="n">
        <v>45667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648-2025</t>
        </is>
      </c>
      <c r="B1135" s="1" t="n">
        <v>45664</v>
      </c>
      <c r="C1135" s="1" t="n">
        <v>45667</v>
      </c>
      <c r="D1135" t="inlineStr">
        <is>
          <t>VÄRMLANDS LÄN</t>
        </is>
      </c>
      <c r="E1135" t="inlineStr">
        <is>
          <t>KARLSTAD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HYPERLINK("https://klasma.github.io/Logging_1780/knärot/A 648-2025 karta knärot.png", "A 648-2025")</f>
        <v/>
      </c>
      <c r="V1135">
        <f>HYPERLINK("https://klasma.github.io/Logging_1780/klagomål/A 648-2025 FSC-klagomål.docx", "A 648-2025")</f>
        <v/>
      </c>
      <c r="W1135">
        <f>HYPERLINK("https://klasma.github.io/Logging_1780/klagomålsmail/A 648-2025 FSC-klagomål mail.docx", "A 648-2025")</f>
        <v/>
      </c>
      <c r="X1135">
        <f>HYPERLINK("https://klasma.github.io/Logging_1780/tillsyn/A 648-2025 tillsynsbegäran.docx", "A 648-2025")</f>
        <v/>
      </c>
      <c r="Y1135">
        <f>HYPERLINK("https://klasma.github.io/Logging_1780/tillsynsmail/A 648-2025 tillsynsbegäran mail.docx", "A 648-2025")</f>
        <v/>
      </c>
    </row>
    <row r="1136" ht="15" customHeight="1">
      <c r="A1136" t="inlineStr">
        <is>
          <t>A 900-2025</t>
        </is>
      </c>
      <c r="B1136" s="1" t="n">
        <v>45665</v>
      </c>
      <c r="C1136" s="1" t="n">
        <v>45667</v>
      </c>
      <c r="D1136" t="inlineStr">
        <is>
          <t>VÄRMLANDS LÄN</t>
        </is>
      </c>
      <c r="E1136" t="inlineStr">
        <is>
          <t>KARLSTAD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904-2025</t>
        </is>
      </c>
      <c r="B1137" s="1" t="n">
        <v>45665</v>
      </c>
      <c r="C1137" s="1" t="n">
        <v>45667</v>
      </c>
      <c r="D1137" t="inlineStr">
        <is>
          <t>VÄRMLANDS LÄN</t>
        </is>
      </c>
      <c r="E1137" t="inlineStr">
        <is>
          <t>KARLSTAD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1164-2025</t>
        </is>
      </c>
      <c r="B1138" s="1" t="n">
        <v>45666</v>
      </c>
      <c r="C1138" s="1" t="n">
        <v>45667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2025-01-10T16:15:18Z</dcterms:created>
  <dcterms:modified xmlns:dcterms="http://purl.org/dc/terms/" xmlns:xsi="http://www.w3.org/2001/XMLSchema-instance" xsi:type="dcterms:W3CDTF">2025-01-10T16:15:19Z</dcterms:modified>
</cp:coreProperties>
</file>