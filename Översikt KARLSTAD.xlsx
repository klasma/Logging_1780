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45361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45361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45361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45361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45361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45361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45361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70664-2018</t>
        </is>
      </c>
      <c r="B9" s="1" t="n">
        <v>43448</v>
      </c>
      <c r="C9" s="1" t="n">
        <v>45361</v>
      </c>
      <c r="D9" t="inlineStr">
        <is>
          <t>VÄRMLANDS LÄN</t>
        </is>
      </c>
      <c r="E9" t="inlineStr">
        <is>
          <t>KARLSTAD</t>
        </is>
      </c>
      <c r="G9" t="n">
        <v>3.3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Spillkråka
Talltita</t>
        </is>
      </c>
      <c r="S9">
        <f>HYPERLINK("https://klasma.github.io/Logging_1780/artfynd/A 70664-2018 artfynd.xlsx", "A 70664-2018")</f>
        <v/>
      </c>
      <c r="T9">
        <f>HYPERLINK("https://klasma.github.io/Logging_1780/kartor/A 70664-2018 karta.png", "A 70664-2018")</f>
        <v/>
      </c>
      <c r="V9">
        <f>HYPERLINK("https://klasma.github.io/Logging_1780/klagomål/A 70664-2018 FSC-klagomål.docx", "A 70664-2018")</f>
        <v/>
      </c>
      <c r="W9">
        <f>HYPERLINK("https://klasma.github.io/Logging_1780/klagomålsmail/A 70664-2018 FSC-klagomål mail.docx", "A 70664-2018")</f>
        <v/>
      </c>
      <c r="X9">
        <f>HYPERLINK("https://klasma.github.io/Logging_1780/tillsyn/A 70664-2018 tillsynsbegäran.docx", "A 70664-2018")</f>
        <v/>
      </c>
      <c r="Y9">
        <f>HYPERLINK("https://klasma.github.io/Logging_1780/tillsynsmail/A 70664-2018 tillsynsbegäran mail.docx", "A 70664-2018")</f>
        <v/>
      </c>
      <c r="Z9">
        <f>HYPERLINK("https://klasma.github.io/Logging_1780/fåglar/A 70664-2018 prioriterade fågelarter.docx", "A 70664-2018")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45361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45361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45361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45361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45361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45361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45361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45361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45361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45361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45361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45361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45361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45361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45361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45361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45361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45361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45361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45361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45361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  <c r="Z30">
        <f>HYPERLINK("https://klasma.github.io/Logging_1780/fåglar/A 9067-2019 prioriterade fågelarter.docx",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45361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45361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45361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45361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45361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45361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45361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45361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45361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45361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45361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45361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45361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45361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45361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45361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45361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45361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45361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45361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45361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45361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45361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45361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45361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45361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45361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45361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45361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45361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45361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45361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45361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45361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45361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45361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45361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45361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45361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45361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45361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45361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45361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45361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45361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45361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45361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45361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45361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45361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45361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45361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45361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45361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45361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45361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45361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45361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45361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45361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45361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45361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45361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45361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45361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45361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45361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45361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45361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45361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45361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45361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45361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45361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45361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45361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45361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45361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45361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45361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45361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45361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45361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45361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45361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45361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45361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45361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45361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45361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45361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45361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45361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45361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45361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45361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45361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45361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45361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45361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45361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45361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45361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45361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45361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45361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45361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45361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45361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45361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45361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45361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45361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45361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45361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45361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45361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45361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45361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45361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45361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45361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45361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45361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45361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45361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45361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45361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45361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45361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45361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45361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45361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45361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45361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45361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45361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45361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45361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45361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45361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45361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45361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45361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45361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45361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45361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45361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45361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45361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45361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45361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45361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45361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45361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45361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45361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45361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45361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45361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45361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45361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45361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45361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45361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45361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45361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45361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45361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45361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45361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45361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45361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45361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45361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45361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45361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45361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45361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45361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45361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45361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45361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45361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45361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45361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45361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45361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45361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45361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45361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45361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45361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45361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45361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45361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45361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45361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45361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45361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45361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45361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45361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45361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45361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45361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45361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45361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45361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45361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45361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45361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45361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45361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45361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45361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45361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45361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45361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45361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45361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45361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45361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45361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45361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45361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45361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45361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45361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45361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45361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45361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45361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45361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45361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45361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45361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45361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45361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45361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45361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45361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45361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45361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45361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45361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45361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45361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45361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45361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45361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45361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45361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45361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45361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45361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45361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45361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45361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45361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45361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45361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45361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45361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45361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45361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45361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45361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45361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45361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45361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45361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45361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45361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45361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45361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45361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45361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45361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45361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45361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45361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45361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45361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45361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45361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45361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45361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45361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45361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45361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45361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45361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45361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45361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45361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45361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45361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45361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45361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45361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45361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45361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45361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45361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45361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45361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45361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45361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45361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45361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45361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45361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45361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45361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45361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45361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45361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45361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45361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45361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45361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45361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45361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45361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45361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45361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45361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45361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45361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45361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45361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45361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45361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45361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45361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45361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45361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45361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45361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45361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45361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45361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45361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45361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45361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45361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45361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45361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45361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45361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45361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45361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45361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45361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45361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45361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45361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45361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45361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45361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45361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45361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45361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45361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45361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45361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45361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45361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45361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45361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45361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45361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45361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45361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45361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45361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45361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45361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45361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45361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45361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45361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45361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45361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45361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45361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45361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45361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45361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45361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45361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45361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45361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45361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45361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45361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45361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45361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45361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45361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45361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45361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45361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45361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45361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45361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45361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45361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45361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45361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45361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45361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45361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45361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45361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45361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45361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45361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45361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45361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45361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45361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45361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45361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45361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45361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45361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45361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45361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45361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45361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45361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45361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45361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45361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45361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45361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45361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45361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45361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45361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45361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45361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45361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45361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45361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45361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45361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45361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45361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45361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45361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45361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45361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45361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45361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45361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45361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45361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45361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45361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45361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45361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45361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45361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45361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45361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45361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45361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45361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45361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45361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45361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45361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45361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45361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45361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45361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45361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45361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45361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45361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45361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45361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45361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45361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45361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45361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45361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45361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45361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45361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45361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45361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45361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45361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45361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45361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45361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45361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45361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45361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45361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45361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45361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45361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45361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45361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45361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45361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45361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45361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45361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45361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45361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45361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45361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45361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45361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45361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45361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45361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45361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45361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45361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45361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45361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45361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45361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45361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45361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45361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45361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45361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45361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45361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45361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45361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45361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45361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45361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45361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45361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45361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45361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45361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45361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45361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45361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45361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45361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45361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45361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45361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45361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45361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45361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45361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45361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45361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45361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45361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45361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45361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45361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45361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45361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45361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45361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45361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45361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45361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45361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45361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45361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45361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45361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45361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45361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45361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45361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45361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45361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45361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45361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45361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45361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45361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45361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45361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45361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45361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45361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45361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45361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45361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45361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45361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45361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45361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45361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45361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45361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45361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45361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45361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45361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45361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45361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45361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45361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45361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45361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45361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45361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45361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45361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45361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45361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45361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45361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45361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45361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45361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45361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45361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45361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45361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45361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45361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45361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45361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45361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45361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45361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45361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45361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45361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45361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45361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45361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45361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45361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45361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45361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45361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45361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45361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45361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45361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45361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45361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45361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45361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45361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45361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45361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45361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45361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45361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45361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45361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45361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45361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45361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45361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45361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45361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45361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45361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45361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45361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45361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45361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45361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45361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45361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45361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45361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45361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45361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45361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45361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45361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45361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45361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45361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45361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45361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45361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45361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45361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45361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45361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45361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45361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45361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45361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45361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45361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45361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45361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45361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45361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45361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45361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45361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45361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45361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45361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45361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45361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45361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45361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45361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45361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45361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45361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45361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45361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45361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45361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45361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45361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45361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45361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45361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45361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45361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45361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45361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45361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45361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45361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45361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45361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45361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45361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45361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45361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45361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45361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45361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45361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45361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45361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45361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45361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45361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45361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45361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45361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45361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45361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45361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45361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45361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45361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45361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45361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45361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45361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45361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45361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45361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45361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45361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45361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45361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45361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45361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45361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45361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45361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45361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45361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45361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45361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45361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45361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45361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45361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45361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45361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45361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45361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45361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45361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45361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45361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45361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45361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45361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45361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45361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45361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45361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45361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45361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45361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45361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45361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45361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45361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45361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45361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45361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45361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45361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45361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45361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45361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45361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45361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45361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45361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45361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45361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45361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45361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45361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45361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45361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45361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45361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45361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45361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45361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45361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45361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45361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45361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45361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45361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45361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45361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45361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45361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45361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45361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45361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45361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45361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45361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45361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45361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45361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45361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45361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45361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45361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45361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45361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45361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45361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45361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45361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45361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45361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45361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45361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45361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45361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45361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45361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45361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45361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45361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45361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45361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45361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45361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45361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45361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45361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45361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45361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45361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45361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45361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45361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45361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45361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45361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45361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45361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45361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45361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45361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45361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45361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45361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45361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45361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45361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45361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45361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45361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45361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45361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45361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45361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45361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45361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45361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45361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45361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45361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45361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45361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45361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45361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45361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45361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45361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45361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45361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45361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45361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45361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45361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45361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45361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45361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45361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45361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45361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45361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45361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45361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45361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45361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45361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45361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45361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45361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45361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45361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45361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45361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45361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45361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45361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45361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45361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45361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45361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45361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45361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45361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45361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45361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45361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45361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45361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45361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45361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45361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45361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45361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45361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45361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45361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45361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45361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45361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45361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45361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45361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45361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45361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8798-2024</t>
        </is>
      </c>
      <c r="B1003" s="1" t="n">
        <v>45356</v>
      </c>
      <c r="C1003" s="1" t="n">
        <v>45361</v>
      </c>
      <c r="D1003" t="inlineStr">
        <is>
          <t>VÄRMLANDS LÄN</t>
        </is>
      </c>
      <c r="E1003" t="inlineStr">
        <is>
          <t>KARLSTAD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8804-2024</t>
        </is>
      </c>
      <c r="B1004" s="1" t="n">
        <v>45356</v>
      </c>
      <c r="C1004" s="1" t="n">
        <v>45361</v>
      </c>
      <c r="D1004" t="inlineStr">
        <is>
          <t>VÄRMLANDS LÄN</t>
        </is>
      </c>
      <c r="E1004" t="inlineStr">
        <is>
          <t>KARLSTAD</t>
        </is>
      </c>
      <c r="G1004" t="n">
        <v>12.5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9499-2024</t>
        </is>
      </c>
      <c r="B1005" s="1" t="n">
        <v>45359</v>
      </c>
      <c r="C1005" s="1" t="n">
        <v>45361</v>
      </c>
      <c r="D1005" t="inlineStr">
        <is>
          <t>VÄRMLANDS LÄN</t>
        </is>
      </c>
      <c r="E1005" t="inlineStr">
        <is>
          <t>KARLSTAD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9459-2024</t>
        </is>
      </c>
      <c r="B1006" s="1" t="n">
        <v>45359</v>
      </c>
      <c r="C1006" s="1" t="n">
        <v>45361</v>
      </c>
      <c r="D1006" t="inlineStr">
        <is>
          <t>VÄRMLANDS LÄN</t>
        </is>
      </c>
      <c r="E1006" t="inlineStr">
        <is>
          <t>KARLSTAD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2024-03-10T17:22:36Z</dcterms:created>
  <dcterms:modified xmlns:dcterms="http://purl.org/dc/terms/" xmlns:xsi="http://www.w3.org/2001/XMLSchema-instance" xsi:type="dcterms:W3CDTF">2024-03-10T17:22:37Z</dcterms:modified>
</cp:coreProperties>
</file>