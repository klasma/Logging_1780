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45832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45832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45832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45832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45832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45832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45832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45832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45832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45832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45832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45832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45832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45832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45832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45832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45832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45832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45832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45832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45832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45832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45832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45832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45832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45832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45832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45832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45832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45832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45832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45832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45832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45832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47561-2023</t>
        </is>
      </c>
      <c r="B36" s="1" t="n">
        <v>45197</v>
      </c>
      <c r="C36" s="1" t="n">
        <v>45832</v>
      </c>
      <c r="D36" t="inlineStr">
        <is>
          <t>VÄRMLANDS LÄN</t>
        </is>
      </c>
      <c r="E36" t="inlineStr">
        <is>
          <t>KARLSTAD</t>
        </is>
      </c>
      <c r="G36" t="n">
        <v>3.2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Gröngöling
Fläcknycklar</t>
        </is>
      </c>
      <c r="S36">
        <f>HYPERLINK("https://klasma.github.io/Logging_1780/artfynd/A 47561-2023 artfynd.xlsx", "A 47561-2023")</f>
        <v/>
      </c>
      <c r="T36">
        <f>HYPERLINK("https://klasma.github.io/Logging_1780/kartor/A 47561-2023 karta.png", "A 47561-2023")</f>
        <v/>
      </c>
      <c r="V36">
        <f>HYPERLINK("https://klasma.github.io/Logging_1780/klagomål/A 47561-2023 FSC-klagomål.docx", "A 47561-2023")</f>
        <v/>
      </c>
      <c r="W36">
        <f>HYPERLINK("https://klasma.github.io/Logging_1780/klagomålsmail/A 47561-2023 FSC-klagomål mail.docx", "A 47561-2023")</f>
        <v/>
      </c>
      <c r="X36">
        <f>HYPERLINK("https://klasma.github.io/Logging_1780/tillsyn/A 47561-2023 tillsynsbegäran.docx", "A 47561-2023")</f>
        <v/>
      </c>
      <c r="Y36">
        <f>HYPERLINK("https://klasma.github.io/Logging_1780/tillsynsmail/A 47561-2023 tillsynsbegäran mail.docx", "A 47561-2023")</f>
        <v/>
      </c>
      <c r="Z36">
        <f>HYPERLINK("https://klasma.github.io/Logging_1780/fåglar/A 47561-2023 prioriterade fågelarter.docx", "A 47561-2023")</f>
        <v/>
      </c>
    </row>
    <row r="37" ht="15" customHeight="1">
      <c r="A37" t="inlineStr">
        <is>
          <t>A 4296-2024</t>
        </is>
      </c>
      <c r="B37" s="1" t="n">
        <v>45324</v>
      </c>
      <c r="C37" s="1" t="n">
        <v>45832</v>
      </c>
      <c r="D37" t="inlineStr">
        <is>
          <t>VÄRMLANDS LÄN</t>
        </is>
      </c>
      <c r="E37" t="inlineStr">
        <is>
          <t>KARLSTAD</t>
        </is>
      </c>
      <c r="G37" t="n">
        <v>7.1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Duvhök
Spillkråka</t>
        </is>
      </c>
      <c r="S37">
        <f>HYPERLINK("https://klasma.github.io/Logging_1780/artfynd/A 4296-2024 artfynd.xlsx", "A 4296-2024")</f>
        <v/>
      </c>
      <c r="T37">
        <f>HYPERLINK("https://klasma.github.io/Logging_1780/kartor/A 4296-2024 karta.png", "A 4296-2024")</f>
        <v/>
      </c>
      <c r="V37">
        <f>HYPERLINK("https://klasma.github.io/Logging_1780/klagomål/A 4296-2024 FSC-klagomål.docx", "A 4296-2024")</f>
        <v/>
      </c>
      <c r="W37">
        <f>HYPERLINK("https://klasma.github.io/Logging_1780/klagomålsmail/A 4296-2024 FSC-klagomål mail.docx", "A 4296-2024")</f>
        <v/>
      </c>
      <c r="X37">
        <f>HYPERLINK("https://klasma.github.io/Logging_1780/tillsyn/A 4296-2024 tillsynsbegäran.docx", "A 4296-2024")</f>
        <v/>
      </c>
      <c r="Y37">
        <f>HYPERLINK("https://klasma.github.io/Logging_1780/tillsynsmail/A 4296-2024 tillsynsbegäran mail.docx", "A 4296-2024")</f>
        <v/>
      </c>
      <c r="Z37">
        <f>HYPERLINK("https://klasma.github.io/Logging_1780/fåglar/A 4296-2024 prioriterade fågelarter.docx", "A 4296-2024")</f>
        <v/>
      </c>
    </row>
    <row r="38" ht="15" customHeight="1">
      <c r="A38" t="inlineStr">
        <is>
          <t>A 19133-2024</t>
        </is>
      </c>
      <c r="B38" s="1" t="n">
        <v>45428</v>
      </c>
      <c r="C38" s="1" t="n">
        <v>45832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2.8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HYPERLINK("https://klasma.github.io/Logging_1780/artfynd/A 19133-2024 artfynd.xlsx", "A 19133-2024")</f>
        <v/>
      </c>
      <c r="T38">
        <f>HYPERLINK("https://klasma.github.io/Logging_1780/kartor/A 19133-2024 karta.png", "A 19133-2024")</f>
        <v/>
      </c>
      <c r="U38">
        <f>HYPERLINK("https://klasma.github.io/Logging_1780/knärot/A 19133-2024 karta knärot.png", "A 19133-2024")</f>
        <v/>
      </c>
      <c r="V38">
        <f>HYPERLINK("https://klasma.github.io/Logging_1780/klagomål/A 19133-2024 FSC-klagomål.docx", "A 19133-2024")</f>
        <v/>
      </c>
      <c r="W38">
        <f>HYPERLINK("https://klasma.github.io/Logging_1780/klagomålsmail/A 19133-2024 FSC-klagomål mail.docx", "A 19133-2024")</f>
        <v/>
      </c>
      <c r="X38">
        <f>HYPERLINK("https://klasma.github.io/Logging_1780/tillsyn/A 19133-2024 tillsynsbegäran.docx", "A 19133-2024")</f>
        <v/>
      </c>
      <c r="Y38">
        <f>HYPERLINK("https://klasma.github.io/Logging_1780/tillsynsmail/A 19133-2024 tillsynsbegäran mail.docx", "A 19133-2024")</f>
        <v/>
      </c>
    </row>
    <row r="39" ht="15" customHeight="1">
      <c r="A39" t="inlineStr">
        <is>
          <t>A 3410-2025</t>
        </is>
      </c>
      <c r="B39" s="1" t="n">
        <v>45679</v>
      </c>
      <c r="C39" s="1" t="n">
        <v>45832</v>
      </c>
      <c r="D39" t="inlineStr">
        <is>
          <t>VÄRMLANDS LÄN</t>
        </is>
      </c>
      <c r="E39" t="inlineStr">
        <is>
          <t>KARLSTAD</t>
        </is>
      </c>
      <c r="G39" t="n">
        <v>14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taggsvamp
Svart trolldruva</t>
        </is>
      </c>
      <c r="S39">
        <f>HYPERLINK("https://klasma.github.io/Logging_1780/artfynd/A 3410-2025 artfynd.xlsx", "A 3410-2025")</f>
        <v/>
      </c>
      <c r="T39">
        <f>HYPERLINK("https://klasma.github.io/Logging_1780/kartor/A 3410-2025 karta.png", "A 3410-2025")</f>
        <v/>
      </c>
      <c r="V39">
        <f>HYPERLINK("https://klasma.github.io/Logging_1780/klagomål/A 3410-2025 FSC-klagomål.docx", "A 3410-2025")</f>
        <v/>
      </c>
      <c r="W39">
        <f>HYPERLINK("https://klasma.github.io/Logging_1780/klagomålsmail/A 3410-2025 FSC-klagomål mail.docx", "A 3410-2025")</f>
        <v/>
      </c>
      <c r="X39">
        <f>HYPERLINK("https://klasma.github.io/Logging_1780/tillsyn/A 3410-2025 tillsynsbegäran.docx", "A 3410-2025")</f>
        <v/>
      </c>
      <c r="Y39">
        <f>HYPERLINK("https://klasma.github.io/Logging_1780/tillsynsmail/A 3410-2025 tillsynsbegäran mail.docx", "A 3410-2025")</f>
        <v/>
      </c>
    </row>
    <row r="40" ht="15" customHeight="1">
      <c r="A40" t="inlineStr">
        <is>
          <t>A 6542-2025</t>
        </is>
      </c>
      <c r="B40" s="1" t="n">
        <v>45699</v>
      </c>
      <c r="C40" s="1" t="n">
        <v>45832</v>
      </c>
      <c r="D40" t="inlineStr">
        <is>
          <t>VÄRMLANDS LÄN</t>
        </is>
      </c>
      <c r="E40" t="inlineStr">
        <is>
          <t>KARLSTAD</t>
        </is>
      </c>
      <c r="G40" t="n">
        <v>13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Gropig brunbagge
Mindre märgborre</t>
        </is>
      </c>
      <c r="S40">
        <f>HYPERLINK("https://klasma.github.io/Logging_1780/artfynd/A 6542-2025 artfynd.xlsx", "A 6542-2025")</f>
        <v/>
      </c>
      <c r="T40">
        <f>HYPERLINK("https://klasma.github.io/Logging_1780/kartor/A 6542-2025 karta.png", "A 6542-2025")</f>
        <v/>
      </c>
      <c r="V40">
        <f>HYPERLINK("https://klasma.github.io/Logging_1780/klagomål/A 6542-2025 FSC-klagomål.docx", "A 6542-2025")</f>
        <v/>
      </c>
      <c r="W40">
        <f>HYPERLINK("https://klasma.github.io/Logging_1780/klagomålsmail/A 6542-2025 FSC-klagomål mail.docx", "A 6542-2025")</f>
        <v/>
      </c>
      <c r="X40">
        <f>HYPERLINK("https://klasma.github.io/Logging_1780/tillsyn/A 6542-2025 tillsynsbegäran.docx", "A 6542-2025")</f>
        <v/>
      </c>
      <c r="Y40">
        <f>HYPERLINK("https://klasma.github.io/Logging_1780/tillsynsmail/A 6542-2025 tillsynsbegäran mail.docx", "A 6542-2025")</f>
        <v/>
      </c>
    </row>
    <row r="41" ht="15" customHeight="1">
      <c r="A41" t="inlineStr">
        <is>
          <t>A 18838-2019</t>
        </is>
      </c>
      <c r="B41" s="1" t="n">
        <v>43563</v>
      </c>
      <c r="C41" s="1" t="n">
        <v>45832</v>
      </c>
      <c r="D41" t="inlineStr">
        <is>
          <t>VÄRMLANDS LÄN</t>
        </is>
      </c>
      <c r="E41" t="inlineStr">
        <is>
          <t>KARLSTAD</t>
        </is>
      </c>
      <c r="G41" t="n">
        <v>7.7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HYPERLINK("https://klasma.github.io/Logging_1780/artfynd/A 18838-2019 artfynd.xlsx", "A 18838-2019")</f>
        <v/>
      </c>
      <c r="T41">
        <f>HYPERLINK("https://klasma.github.io/Logging_1780/kartor/A 18838-2019 karta.png", "A 18838-2019")</f>
        <v/>
      </c>
      <c r="V41">
        <f>HYPERLINK("https://klasma.github.io/Logging_1780/klagomål/A 18838-2019 FSC-klagomål.docx", "A 18838-2019")</f>
        <v/>
      </c>
      <c r="W41">
        <f>HYPERLINK("https://klasma.github.io/Logging_1780/klagomålsmail/A 18838-2019 FSC-klagomål mail.docx", "A 18838-2019")</f>
        <v/>
      </c>
      <c r="X41">
        <f>HYPERLINK("https://klasma.github.io/Logging_1780/tillsyn/A 18838-2019 tillsynsbegäran.docx", "A 18838-2019")</f>
        <v/>
      </c>
      <c r="Y41">
        <f>HYPERLINK("https://klasma.github.io/Logging_1780/tillsynsmail/A 18838-2019 tillsynsbegäran mail.docx", "A 18838-2019")</f>
        <v/>
      </c>
    </row>
    <row r="42" ht="15" customHeight="1">
      <c r="A42" t="inlineStr">
        <is>
          <t>A 22869-2019</t>
        </is>
      </c>
      <c r="B42" s="1" t="n">
        <v>43591</v>
      </c>
      <c r="C42" s="1" t="n">
        <v>45832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13.1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HYPERLINK("https://klasma.github.io/Logging_1780/artfynd/A 22869-2019 artfynd.xlsx", "A 22869-2019")</f>
        <v/>
      </c>
      <c r="T42">
        <f>HYPERLINK("https://klasma.github.io/Logging_1780/kartor/A 22869-2019 karta.png", "A 22869-2019")</f>
        <v/>
      </c>
      <c r="U42">
        <f>HYPERLINK("https://klasma.github.io/Logging_1780/knärot/A 22869-2019 karta knärot.png", "A 22869-2019")</f>
        <v/>
      </c>
      <c r="V42">
        <f>HYPERLINK("https://klasma.github.io/Logging_1780/klagomål/A 22869-2019 FSC-klagomål.docx", "A 22869-2019")</f>
        <v/>
      </c>
      <c r="W42">
        <f>HYPERLINK("https://klasma.github.io/Logging_1780/klagomålsmail/A 22869-2019 FSC-klagomål mail.docx", "A 22869-2019")</f>
        <v/>
      </c>
      <c r="X42">
        <f>HYPERLINK("https://klasma.github.io/Logging_1780/tillsyn/A 22869-2019 tillsynsbegäran.docx", "A 22869-2019")</f>
        <v/>
      </c>
      <c r="Y42">
        <f>HYPERLINK("https://klasma.github.io/Logging_1780/tillsynsmail/A 22869-2019 tillsynsbegäran mail.docx", "A 22869-2019")</f>
        <v/>
      </c>
      <c r="Z42">
        <f>HYPERLINK("https://klasma.github.io/Logging_1780/fåglar/A 22869-2019 prioriterade fågelarter.docx", "A 22869-2019")</f>
        <v/>
      </c>
    </row>
    <row r="43" ht="15" customHeight="1">
      <c r="A43" t="inlineStr">
        <is>
          <t>A 22914-2019</t>
        </is>
      </c>
      <c r="B43" s="1" t="n">
        <v>43591</v>
      </c>
      <c r="C43" s="1" t="n">
        <v>45832</v>
      </c>
      <c r="D43" t="inlineStr">
        <is>
          <t>VÄRMLANDS LÄN</t>
        </is>
      </c>
      <c r="E43" t="inlineStr">
        <is>
          <t>KARLSTAD</t>
        </is>
      </c>
      <c r="F43" t="inlineStr">
        <is>
          <t>Bergvik skog väst AB</t>
        </is>
      </c>
      <c r="G43" t="n">
        <v>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HYPERLINK("https://klasma.github.io/Logging_1780/artfynd/A 22914-2019 artfynd.xlsx", "A 22914-2019")</f>
        <v/>
      </c>
      <c r="T43">
        <f>HYPERLINK("https://klasma.github.io/Logging_1780/kartor/A 22914-2019 karta.png", "A 22914-2019")</f>
        <v/>
      </c>
      <c r="V43">
        <f>HYPERLINK("https://klasma.github.io/Logging_1780/klagomål/A 22914-2019 FSC-klagomål.docx", "A 22914-2019")</f>
        <v/>
      </c>
      <c r="W43">
        <f>HYPERLINK("https://klasma.github.io/Logging_1780/klagomålsmail/A 22914-2019 FSC-klagomål mail.docx", "A 22914-2019")</f>
        <v/>
      </c>
      <c r="X43">
        <f>HYPERLINK("https://klasma.github.io/Logging_1780/tillsyn/A 22914-2019 tillsynsbegäran.docx", "A 22914-2019")</f>
        <v/>
      </c>
      <c r="Y43">
        <f>HYPERLINK("https://klasma.github.io/Logging_1780/tillsynsmail/A 22914-2019 tillsynsbegäran mail.docx", "A 22914-2019")</f>
        <v/>
      </c>
      <c r="Z43">
        <f>HYPERLINK("https://klasma.github.io/Logging_1780/fåglar/A 22914-2019 prioriterade fågelarter.docx", "A 22914-2019")</f>
        <v/>
      </c>
    </row>
    <row r="44" ht="15" customHeight="1">
      <c r="A44" t="inlineStr">
        <is>
          <t>A 25652-2019</t>
        </is>
      </c>
      <c r="B44" s="1" t="n">
        <v>43607</v>
      </c>
      <c r="C44" s="1" t="n">
        <v>45832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HYPERLINK("https://klasma.github.io/Logging_1780/artfynd/A 25652-2019 artfynd.xlsx", "A 25652-2019")</f>
        <v/>
      </c>
      <c r="T44">
        <f>HYPERLINK("https://klasma.github.io/Logging_1780/kartor/A 25652-2019 karta.png", "A 25652-2019")</f>
        <v/>
      </c>
      <c r="V44">
        <f>HYPERLINK("https://klasma.github.io/Logging_1780/klagomål/A 25652-2019 FSC-klagomål.docx", "A 25652-2019")</f>
        <v/>
      </c>
      <c r="W44">
        <f>HYPERLINK("https://klasma.github.io/Logging_1780/klagomålsmail/A 25652-2019 FSC-klagomål mail.docx", "A 25652-2019")</f>
        <v/>
      </c>
      <c r="X44">
        <f>HYPERLINK("https://klasma.github.io/Logging_1780/tillsyn/A 25652-2019 tillsynsbegäran.docx", "A 25652-2019")</f>
        <v/>
      </c>
      <c r="Y44">
        <f>HYPERLINK("https://klasma.github.io/Logging_1780/tillsynsmail/A 25652-2019 tillsynsbegäran mail.docx", "A 25652-2019")</f>
        <v/>
      </c>
    </row>
    <row r="45" ht="15" customHeight="1">
      <c r="A45" t="inlineStr">
        <is>
          <t>A 27311-2019</t>
        </is>
      </c>
      <c r="B45" s="1" t="n">
        <v>43616</v>
      </c>
      <c r="C45" s="1" t="n">
        <v>45832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Ängsmetallvinge</t>
        </is>
      </c>
      <c r="S45">
        <f>HYPERLINK("https://klasma.github.io/Logging_1780/artfynd/A 27311-2019 artfynd.xlsx", "A 27311-2019")</f>
        <v/>
      </c>
      <c r="T45">
        <f>HYPERLINK("https://klasma.github.io/Logging_1780/kartor/A 27311-2019 karta.png", "A 27311-2019")</f>
        <v/>
      </c>
      <c r="V45">
        <f>HYPERLINK("https://klasma.github.io/Logging_1780/klagomål/A 27311-2019 FSC-klagomål.docx", "A 27311-2019")</f>
        <v/>
      </c>
      <c r="W45">
        <f>HYPERLINK("https://klasma.github.io/Logging_1780/klagomålsmail/A 27311-2019 FSC-klagomål mail.docx", "A 27311-2019")</f>
        <v/>
      </c>
      <c r="X45">
        <f>HYPERLINK("https://klasma.github.io/Logging_1780/tillsyn/A 27311-2019 tillsynsbegäran.docx", "A 27311-2019")</f>
        <v/>
      </c>
      <c r="Y45">
        <f>HYPERLINK("https://klasma.github.io/Logging_1780/tillsynsmail/A 27311-2019 tillsynsbegäran mail.docx", "A 27311-2019")</f>
        <v/>
      </c>
    </row>
    <row r="46" ht="15" customHeight="1">
      <c r="A46" t="inlineStr">
        <is>
          <t>A 6299-2020</t>
        </is>
      </c>
      <c r="B46" s="1" t="n">
        <v>43866</v>
      </c>
      <c r="C46" s="1" t="n">
        <v>45832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0.6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Vanlig groda</t>
        </is>
      </c>
      <c r="S46">
        <f>HYPERLINK("https://klasma.github.io/Logging_1780/artfynd/A 6299-2020 artfynd.xlsx", "A 6299-2020")</f>
        <v/>
      </c>
      <c r="T46">
        <f>HYPERLINK("https://klasma.github.io/Logging_1780/kartor/A 6299-2020 karta.png", "A 6299-2020")</f>
        <v/>
      </c>
      <c r="V46">
        <f>HYPERLINK("https://klasma.github.io/Logging_1780/klagomål/A 6299-2020 FSC-klagomål.docx", "A 6299-2020")</f>
        <v/>
      </c>
      <c r="W46">
        <f>HYPERLINK("https://klasma.github.io/Logging_1780/klagomålsmail/A 6299-2020 FSC-klagomål mail.docx", "A 6299-2020")</f>
        <v/>
      </c>
      <c r="X46">
        <f>HYPERLINK("https://klasma.github.io/Logging_1780/tillsyn/A 6299-2020 tillsynsbegäran.docx", "A 6299-2020")</f>
        <v/>
      </c>
      <c r="Y46">
        <f>HYPERLINK("https://klasma.github.io/Logging_1780/tillsynsmail/A 6299-2020 tillsynsbegäran mail.docx", "A 6299-2020")</f>
        <v/>
      </c>
    </row>
    <row r="47" ht="15" customHeight="1">
      <c r="A47" t="inlineStr">
        <is>
          <t>A 18075-2020</t>
        </is>
      </c>
      <c r="B47" s="1" t="n">
        <v>43927</v>
      </c>
      <c r="C47" s="1" t="n">
        <v>45832</v>
      </c>
      <c r="D47" t="inlineStr">
        <is>
          <t>VÄRMLANDS LÄN</t>
        </is>
      </c>
      <c r="E47" t="inlineStr">
        <is>
          <t>KARLSTAD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HYPERLINK("https://klasma.github.io/Logging_1780/artfynd/A 18075-2020 artfynd.xlsx", "A 18075-2020")</f>
        <v/>
      </c>
      <c r="T47">
        <f>HYPERLINK("https://klasma.github.io/Logging_1780/kartor/A 18075-2020 karta.png", "A 18075-2020")</f>
        <v/>
      </c>
      <c r="V47">
        <f>HYPERLINK("https://klasma.github.io/Logging_1780/klagomål/A 18075-2020 FSC-klagomål.docx", "A 18075-2020")</f>
        <v/>
      </c>
      <c r="W47">
        <f>HYPERLINK("https://klasma.github.io/Logging_1780/klagomålsmail/A 18075-2020 FSC-klagomål mail.docx", "A 18075-2020")</f>
        <v/>
      </c>
      <c r="X47">
        <f>HYPERLINK("https://klasma.github.io/Logging_1780/tillsyn/A 18075-2020 tillsynsbegäran.docx", "A 18075-2020")</f>
        <v/>
      </c>
      <c r="Y47">
        <f>HYPERLINK("https://klasma.github.io/Logging_1780/tillsynsmail/A 18075-2020 tillsynsbegäran mail.docx", "A 18075-2020")</f>
        <v/>
      </c>
    </row>
    <row r="48" ht="15" customHeight="1">
      <c r="A48" t="inlineStr">
        <is>
          <t>A 28368-2020</t>
        </is>
      </c>
      <c r="B48" s="1" t="n">
        <v>43998</v>
      </c>
      <c r="C48" s="1" t="n">
        <v>45832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28368-2020 artfynd.xlsx", "A 28368-2020")</f>
        <v/>
      </c>
      <c r="T48">
        <f>HYPERLINK("https://klasma.github.io/Logging_1780/kartor/A 28368-2020 karta.png", "A 28368-2020")</f>
        <v/>
      </c>
      <c r="V48">
        <f>HYPERLINK("https://klasma.github.io/Logging_1780/klagomål/A 28368-2020 FSC-klagomål.docx", "A 28368-2020")</f>
        <v/>
      </c>
      <c r="W48">
        <f>HYPERLINK("https://klasma.github.io/Logging_1780/klagomålsmail/A 28368-2020 FSC-klagomål mail.docx", "A 28368-2020")</f>
        <v/>
      </c>
      <c r="X48">
        <f>HYPERLINK("https://klasma.github.io/Logging_1780/tillsyn/A 28368-2020 tillsynsbegäran.docx", "A 28368-2020")</f>
        <v/>
      </c>
      <c r="Y48">
        <f>HYPERLINK("https://klasma.github.io/Logging_1780/tillsynsmail/A 28368-2020 tillsynsbegäran mail.docx", "A 28368-2020")</f>
        <v/>
      </c>
    </row>
    <row r="49" ht="15" customHeight="1">
      <c r="A49" t="inlineStr">
        <is>
          <t>A 65851-2020</t>
        </is>
      </c>
      <c r="B49" s="1" t="n">
        <v>44174</v>
      </c>
      <c r="C49" s="1" t="n">
        <v>45832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Skogsalm</t>
        </is>
      </c>
      <c r="S49">
        <f>HYPERLINK("https://klasma.github.io/Logging_1780/artfynd/A 65851-2020 artfynd.xlsx", "A 65851-2020")</f>
        <v/>
      </c>
      <c r="T49">
        <f>HYPERLINK("https://klasma.github.io/Logging_1780/kartor/A 65851-2020 karta.png", "A 65851-2020")</f>
        <v/>
      </c>
      <c r="V49">
        <f>HYPERLINK("https://klasma.github.io/Logging_1780/klagomål/A 65851-2020 FSC-klagomål.docx", "A 65851-2020")</f>
        <v/>
      </c>
      <c r="W49">
        <f>HYPERLINK("https://klasma.github.io/Logging_1780/klagomålsmail/A 65851-2020 FSC-klagomål mail.docx", "A 65851-2020")</f>
        <v/>
      </c>
      <c r="X49">
        <f>HYPERLINK("https://klasma.github.io/Logging_1780/tillsyn/A 65851-2020 tillsynsbegäran.docx", "A 65851-2020")</f>
        <v/>
      </c>
      <c r="Y49">
        <f>HYPERLINK("https://klasma.github.io/Logging_1780/tillsynsmail/A 65851-2020 tillsynsbegäran mail.docx", "A 65851-2020")</f>
        <v/>
      </c>
    </row>
    <row r="50" ht="15" customHeight="1">
      <c r="A50" t="inlineStr">
        <is>
          <t>A 67928-2020</t>
        </is>
      </c>
      <c r="B50" s="1" t="n">
        <v>44182</v>
      </c>
      <c r="C50" s="1" t="n">
        <v>45832</v>
      </c>
      <c r="D50" t="inlineStr">
        <is>
          <t>VÄRMLANDS LÄN</t>
        </is>
      </c>
      <c r="E50" t="inlineStr">
        <is>
          <t>KARLSTAD</t>
        </is>
      </c>
      <c r="G50" t="n">
        <v>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Fjällig taggsvamp s.str.</t>
        </is>
      </c>
      <c r="S50">
        <f>HYPERLINK("https://klasma.github.io/Logging_1780/artfynd/A 67928-2020 artfynd.xlsx", "A 67928-2020")</f>
        <v/>
      </c>
      <c r="T50">
        <f>HYPERLINK("https://klasma.github.io/Logging_1780/kartor/A 67928-2020 karta.png", "A 67928-2020")</f>
        <v/>
      </c>
      <c r="V50">
        <f>HYPERLINK("https://klasma.github.io/Logging_1780/klagomål/A 67928-2020 FSC-klagomål.docx", "A 67928-2020")</f>
        <v/>
      </c>
      <c r="W50">
        <f>HYPERLINK("https://klasma.github.io/Logging_1780/klagomålsmail/A 67928-2020 FSC-klagomål mail.docx", "A 67928-2020")</f>
        <v/>
      </c>
      <c r="X50">
        <f>HYPERLINK("https://klasma.github.io/Logging_1780/tillsyn/A 67928-2020 tillsynsbegäran.docx", "A 67928-2020")</f>
        <v/>
      </c>
      <c r="Y50">
        <f>HYPERLINK("https://klasma.github.io/Logging_1780/tillsynsmail/A 67928-2020 tillsynsbegäran mail.docx", "A 67928-2020")</f>
        <v/>
      </c>
    </row>
    <row r="51" ht="15" customHeight="1">
      <c r="A51" t="inlineStr">
        <is>
          <t>A 2194-2021</t>
        </is>
      </c>
      <c r="B51" s="1" t="n">
        <v>44211</v>
      </c>
      <c r="C51" s="1" t="n">
        <v>45832</v>
      </c>
      <c r="D51" t="inlineStr">
        <is>
          <t>VÄRMLANDS LÄN</t>
        </is>
      </c>
      <c r="E51" t="inlineStr">
        <is>
          <t>KARLSTAD</t>
        </is>
      </c>
      <c r="G51" t="n">
        <v>2.3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HYPERLINK("https://klasma.github.io/Logging_1780/artfynd/A 2194-2021 artfynd.xlsx", "A 2194-2021")</f>
        <v/>
      </c>
      <c r="T51">
        <f>HYPERLINK("https://klasma.github.io/Logging_1780/kartor/A 2194-2021 karta.png", "A 2194-2021")</f>
        <v/>
      </c>
      <c r="U51">
        <f>HYPERLINK("https://klasma.github.io/Logging_1780/knärot/A 2194-2021 karta knärot.png", "A 2194-2021")</f>
        <v/>
      </c>
      <c r="V51">
        <f>HYPERLINK("https://klasma.github.io/Logging_1780/klagomål/A 2194-2021 FSC-klagomål.docx", "A 2194-2021")</f>
        <v/>
      </c>
      <c r="W51">
        <f>HYPERLINK("https://klasma.github.io/Logging_1780/klagomålsmail/A 2194-2021 FSC-klagomål mail.docx", "A 2194-2021")</f>
        <v/>
      </c>
      <c r="X51">
        <f>HYPERLINK("https://klasma.github.io/Logging_1780/tillsyn/A 2194-2021 tillsynsbegäran.docx", "A 2194-2021")</f>
        <v/>
      </c>
      <c r="Y51">
        <f>HYPERLINK("https://klasma.github.io/Logging_1780/tillsynsmail/A 2194-2021 tillsynsbegäran mail.docx", "A 2194-2021")</f>
        <v/>
      </c>
    </row>
    <row r="52" ht="15" customHeight="1">
      <c r="A52" t="inlineStr">
        <is>
          <t>A 4799-2021</t>
        </is>
      </c>
      <c r="B52" s="1" t="n">
        <v>44225</v>
      </c>
      <c r="C52" s="1" t="n">
        <v>45832</v>
      </c>
      <c r="D52" t="inlineStr">
        <is>
          <t>VÄRMLANDS LÄN</t>
        </is>
      </c>
      <c r="E52" t="inlineStr">
        <is>
          <t>KARLSTAD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HYPERLINK("https://klasma.github.io/Logging_1780/artfynd/A 4799-2021 artfynd.xlsx", "A 4799-2021")</f>
        <v/>
      </c>
      <c r="T52">
        <f>HYPERLINK("https://klasma.github.io/Logging_1780/kartor/A 4799-2021 karta.png", "A 4799-2021")</f>
        <v/>
      </c>
      <c r="V52">
        <f>HYPERLINK("https://klasma.github.io/Logging_1780/klagomål/A 4799-2021 FSC-klagomål.docx", "A 4799-2021")</f>
        <v/>
      </c>
      <c r="W52">
        <f>HYPERLINK("https://klasma.github.io/Logging_1780/klagomålsmail/A 4799-2021 FSC-klagomål mail.docx", "A 4799-2021")</f>
        <v/>
      </c>
      <c r="X52">
        <f>HYPERLINK("https://klasma.github.io/Logging_1780/tillsyn/A 4799-2021 tillsynsbegäran.docx", "A 4799-2021")</f>
        <v/>
      </c>
      <c r="Y52">
        <f>HYPERLINK("https://klasma.github.io/Logging_1780/tillsynsmail/A 4799-2021 tillsynsbegäran mail.docx", "A 4799-2021")</f>
        <v/>
      </c>
    </row>
    <row r="53" ht="15" customHeight="1">
      <c r="A53" t="inlineStr">
        <is>
          <t>A 50825-2021</t>
        </is>
      </c>
      <c r="B53" s="1" t="n">
        <v>44460</v>
      </c>
      <c r="C53" s="1" t="n">
        <v>45832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HYPERLINK("https://klasma.github.io/Logging_1780/artfynd/A 50825-2021 artfynd.xlsx", "A 50825-2021")</f>
        <v/>
      </c>
      <c r="T53">
        <f>HYPERLINK("https://klasma.github.io/Logging_1780/kartor/A 50825-2021 karta.png", "A 50825-2021")</f>
        <v/>
      </c>
      <c r="V53">
        <f>HYPERLINK("https://klasma.github.io/Logging_1780/klagomål/A 50825-2021 FSC-klagomål.docx", "A 50825-2021")</f>
        <v/>
      </c>
      <c r="W53">
        <f>HYPERLINK("https://klasma.github.io/Logging_1780/klagomålsmail/A 50825-2021 FSC-klagomål mail.docx", "A 50825-2021")</f>
        <v/>
      </c>
      <c r="X53">
        <f>HYPERLINK("https://klasma.github.io/Logging_1780/tillsyn/A 50825-2021 tillsynsbegäran.docx", "A 50825-2021")</f>
        <v/>
      </c>
      <c r="Y53">
        <f>HYPERLINK("https://klasma.github.io/Logging_1780/tillsynsmail/A 50825-2021 tillsynsbegäran mail.docx", "A 50825-2021")</f>
        <v/>
      </c>
    </row>
    <row r="54" ht="15" customHeight="1">
      <c r="A54" t="inlineStr">
        <is>
          <t>A 55264-2021</t>
        </is>
      </c>
      <c r="B54" s="1" t="n">
        <v>44475</v>
      </c>
      <c r="C54" s="1" t="n">
        <v>45832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HYPERLINK("https://klasma.github.io/Logging_1780/artfynd/A 55264-2021 artfynd.xlsx", "A 55264-2021")</f>
        <v/>
      </c>
      <c r="T54">
        <f>HYPERLINK("https://klasma.github.io/Logging_1780/kartor/A 55264-2021 karta.png", "A 55264-2021")</f>
        <v/>
      </c>
      <c r="V54">
        <f>HYPERLINK("https://klasma.github.io/Logging_1780/klagomål/A 55264-2021 FSC-klagomål.docx", "A 55264-2021")</f>
        <v/>
      </c>
      <c r="W54">
        <f>HYPERLINK("https://klasma.github.io/Logging_1780/klagomålsmail/A 55264-2021 FSC-klagomål mail.docx", "A 55264-2021")</f>
        <v/>
      </c>
      <c r="X54">
        <f>HYPERLINK("https://klasma.github.io/Logging_1780/tillsyn/A 55264-2021 tillsynsbegäran.docx", "A 55264-2021")</f>
        <v/>
      </c>
      <c r="Y54">
        <f>HYPERLINK("https://klasma.github.io/Logging_1780/tillsynsmail/A 55264-2021 tillsynsbegäran mail.docx", "A 55264-2021")</f>
        <v/>
      </c>
    </row>
    <row r="55" ht="15" customHeight="1">
      <c r="A55" t="inlineStr">
        <is>
          <t>A 66274-2021</t>
        </is>
      </c>
      <c r="B55" s="1" t="n">
        <v>44518</v>
      </c>
      <c r="C55" s="1" t="n">
        <v>45832</v>
      </c>
      <c r="D55" t="inlineStr">
        <is>
          <t>VÄRMLANDS LÄN</t>
        </is>
      </c>
      <c r="E55" t="inlineStr">
        <is>
          <t>KARLSTAD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HYPERLINK("https://klasma.github.io/Logging_1780/artfynd/A 66274-2021 artfynd.xlsx", "A 66274-2021")</f>
        <v/>
      </c>
      <c r="T55">
        <f>HYPERLINK("https://klasma.github.io/Logging_1780/kartor/A 66274-2021 karta.png", "A 66274-2021")</f>
        <v/>
      </c>
      <c r="V55">
        <f>HYPERLINK("https://klasma.github.io/Logging_1780/klagomål/A 66274-2021 FSC-klagomål.docx", "A 66274-2021")</f>
        <v/>
      </c>
      <c r="W55">
        <f>HYPERLINK("https://klasma.github.io/Logging_1780/klagomålsmail/A 66274-2021 FSC-klagomål mail.docx", "A 66274-2021")</f>
        <v/>
      </c>
      <c r="X55">
        <f>HYPERLINK("https://klasma.github.io/Logging_1780/tillsyn/A 66274-2021 tillsynsbegäran.docx", "A 66274-2021")</f>
        <v/>
      </c>
      <c r="Y55">
        <f>HYPERLINK("https://klasma.github.io/Logging_1780/tillsynsmail/A 66274-2021 tillsynsbegäran mail.docx", "A 66274-2021")</f>
        <v/>
      </c>
    </row>
    <row r="56" ht="15" customHeight="1">
      <c r="A56" t="inlineStr">
        <is>
          <t>A 72045-2021</t>
        </is>
      </c>
      <c r="B56" s="1" t="n">
        <v>44544</v>
      </c>
      <c r="C56" s="1" t="n">
        <v>45832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9.6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Åkergroda</t>
        </is>
      </c>
      <c r="S56">
        <f>HYPERLINK("https://klasma.github.io/Logging_1780/artfynd/A 72045-2021 artfynd.xlsx", "A 72045-2021")</f>
        <v/>
      </c>
      <c r="T56">
        <f>HYPERLINK("https://klasma.github.io/Logging_1780/kartor/A 72045-2021 karta.png", "A 72045-2021")</f>
        <v/>
      </c>
      <c r="V56">
        <f>HYPERLINK("https://klasma.github.io/Logging_1780/klagomål/A 72045-2021 FSC-klagomål.docx", "A 72045-2021")</f>
        <v/>
      </c>
      <c r="W56">
        <f>HYPERLINK("https://klasma.github.io/Logging_1780/klagomålsmail/A 72045-2021 FSC-klagomål mail.docx", "A 72045-2021")</f>
        <v/>
      </c>
      <c r="X56">
        <f>HYPERLINK("https://klasma.github.io/Logging_1780/tillsyn/A 72045-2021 tillsynsbegäran.docx", "A 72045-2021")</f>
        <v/>
      </c>
      <c r="Y56">
        <f>HYPERLINK("https://klasma.github.io/Logging_1780/tillsynsmail/A 72045-2021 tillsynsbegäran mail.docx", "A 72045-2021")</f>
        <v/>
      </c>
    </row>
    <row r="57" ht="15" customHeight="1">
      <c r="A57" t="inlineStr">
        <is>
          <t>A 4664-2022</t>
        </is>
      </c>
      <c r="B57" s="1" t="n">
        <v>44592</v>
      </c>
      <c r="C57" s="1" t="n">
        <v>45832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HYPERLINK("https://klasma.github.io/Logging_1780/artfynd/A 4664-2022 artfynd.xlsx", "A 4664-2022")</f>
        <v/>
      </c>
      <c r="T57">
        <f>HYPERLINK("https://klasma.github.io/Logging_1780/kartor/A 4664-2022 karta.png", "A 4664-2022")</f>
        <v/>
      </c>
      <c r="V57">
        <f>HYPERLINK("https://klasma.github.io/Logging_1780/klagomål/A 4664-2022 FSC-klagomål.docx", "A 4664-2022")</f>
        <v/>
      </c>
      <c r="W57">
        <f>HYPERLINK("https://klasma.github.io/Logging_1780/klagomålsmail/A 4664-2022 FSC-klagomål mail.docx", "A 4664-2022")</f>
        <v/>
      </c>
      <c r="X57">
        <f>HYPERLINK("https://klasma.github.io/Logging_1780/tillsyn/A 4664-2022 tillsynsbegäran.docx", "A 4664-2022")</f>
        <v/>
      </c>
      <c r="Y57">
        <f>HYPERLINK("https://klasma.github.io/Logging_1780/tillsynsmail/A 4664-2022 tillsynsbegäran mail.docx", "A 4664-2022")</f>
        <v/>
      </c>
    </row>
    <row r="58" ht="15" customHeight="1">
      <c r="A58" t="inlineStr">
        <is>
          <t>A 14002-2022</t>
        </is>
      </c>
      <c r="B58" s="1" t="n">
        <v>44650</v>
      </c>
      <c r="C58" s="1" t="n">
        <v>45832</v>
      </c>
      <c r="D58" t="inlineStr">
        <is>
          <t>VÄRMLANDS LÄN</t>
        </is>
      </c>
      <c r="E58" t="inlineStr">
        <is>
          <t>KARLSTAD</t>
        </is>
      </c>
      <c r="G58" t="n">
        <v>2.3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HYPERLINK("https://klasma.github.io/Logging_1780/artfynd/A 14002-2022 artfynd.xlsx", "A 14002-2022")</f>
        <v/>
      </c>
      <c r="T58">
        <f>HYPERLINK("https://klasma.github.io/Logging_1780/kartor/A 14002-2022 karta.png", "A 14002-2022")</f>
        <v/>
      </c>
      <c r="U58">
        <f>HYPERLINK("https://klasma.github.io/Logging_1780/knärot/A 14002-2022 karta knärot.png", "A 14002-2022")</f>
        <v/>
      </c>
      <c r="V58">
        <f>HYPERLINK("https://klasma.github.io/Logging_1780/klagomål/A 14002-2022 FSC-klagomål.docx", "A 14002-2022")</f>
        <v/>
      </c>
      <c r="W58">
        <f>HYPERLINK("https://klasma.github.io/Logging_1780/klagomålsmail/A 14002-2022 FSC-klagomål mail.docx", "A 14002-2022")</f>
        <v/>
      </c>
      <c r="X58">
        <f>HYPERLINK("https://klasma.github.io/Logging_1780/tillsyn/A 14002-2022 tillsynsbegäran.docx", "A 14002-2022")</f>
        <v/>
      </c>
      <c r="Y58">
        <f>HYPERLINK("https://klasma.github.io/Logging_1780/tillsynsmail/A 14002-2022 tillsynsbegäran mail.docx", "A 14002-2022")</f>
        <v/>
      </c>
    </row>
    <row r="59" ht="15" customHeight="1">
      <c r="A59" t="inlineStr">
        <is>
          <t>A 14594-2022</t>
        </is>
      </c>
      <c r="B59" s="1" t="n">
        <v>44655</v>
      </c>
      <c r="C59" s="1" t="n">
        <v>45832</v>
      </c>
      <c r="D59" t="inlineStr">
        <is>
          <t>VÄRMLANDS LÄN</t>
        </is>
      </c>
      <c r="E59" t="inlineStr">
        <is>
          <t>KARLSTAD</t>
        </is>
      </c>
      <c r="F59" t="inlineStr">
        <is>
          <t>Kommuner</t>
        </is>
      </c>
      <c r="G59" t="n">
        <v>11.2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HYPERLINK("https://klasma.github.io/Logging_1780/artfynd/A 14594-2022 artfynd.xlsx", "A 14594-2022")</f>
        <v/>
      </c>
      <c r="T59">
        <f>HYPERLINK("https://klasma.github.io/Logging_1780/kartor/A 14594-2022 karta.png", "A 14594-2022")</f>
        <v/>
      </c>
      <c r="V59">
        <f>HYPERLINK("https://klasma.github.io/Logging_1780/klagomål/A 14594-2022 FSC-klagomål.docx", "A 14594-2022")</f>
        <v/>
      </c>
      <c r="W59">
        <f>HYPERLINK("https://klasma.github.io/Logging_1780/klagomålsmail/A 14594-2022 FSC-klagomål mail.docx", "A 14594-2022")</f>
        <v/>
      </c>
      <c r="X59">
        <f>HYPERLINK("https://klasma.github.io/Logging_1780/tillsyn/A 14594-2022 tillsynsbegäran.docx", "A 14594-2022")</f>
        <v/>
      </c>
      <c r="Y59">
        <f>HYPERLINK("https://klasma.github.io/Logging_1780/tillsynsmail/A 14594-2022 tillsynsbegäran mail.docx", "A 14594-2022")</f>
        <v/>
      </c>
      <c r="Z59">
        <f>HYPERLINK("https://klasma.github.io/Logging_1780/fåglar/A 14594-2022 prioriterade fågelarter.docx", "A 14594-2022")</f>
        <v/>
      </c>
    </row>
    <row r="60" ht="15" customHeight="1">
      <c r="A60" t="inlineStr">
        <is>
          <t>A 37299-2022</t>
        </is>
      </c>
      <c r="B60" s="1" t="n">
        <v>44808</v>
      </c>
      <c r="C60" s="1" t="n">
        <v>45832</v>
      </c>
      <c r="D60" t="inlineStr">
        <is>
          <t>VÄRMLANDS LÄN</t>
        </is>
      </c>
      <c r="E60" t="inlineStr">
        <is>
          <t>KARLSTAD</t>
        </is>
      </c>
      <c r="G60" t="n">
        <v>14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HYPERLINK("https://klasma.github.io/Logging_1780/artfynd/A 37299-2022 artfynd.xlsx", "A 37299-2022")</f>
        <v/>
      </c>
      <c r="T60">
        <f>HYPERLINK("https://klasma.github.io/Logging_1780/kartor/A 37299-2022 karta.png", "A 37299-2022")</f>
        <v/>
      </c>
      <c r="V60">
        <f>HYPERLINK("https://klasma.github.io/Logging_1780/klagomål/A 37299-2022 FSC-klagomål.docx", "A 37299-2022")</f>
        <v/>
      </c>
      <c r="W60">
        <f>HYPERLINK("https://klasma.github.io/Logging_1780/klagomålsmail/A 37299-2022 FSC-klagomål mail.docx", "A 37299-2022")</f>
        <v/>
      </c>
      <c r="X60">
        <f>HYPERLINK("https://klasma.github.io/Logging_1780/tillsyn/A 37299-2022 tillsynsbegäran.docx", "A 37299-2022")</f>
        <v/>
      </c>
      <c r="Y60">
        <f>HYPERLINK("https://klasma.github.io/Logging_1780/tillsynsmail/A 37299-2022 tillsynsbegäran mail.docx", "A 37299-2022")</f>
        <v/>
      </c>
      <c r="Z60">
        <f>HYPERLINK("https://klasma.github.io/Logging_1780/fåglar/A 37299-2022 prioriterade fågelarter.docx", "A 37299-2022")</f>
        <v/>
      </c>
    </row>
    <row r="61" ht="15" customHeight="1">
      <c r="A61" t="inlineStr">
        <is>
          <t>A 9737-2023</t>
        </is>
      </c>
      <c r="B61" s="1" t="n">
        <v>44984</v>
      </c>
      <c r="C61" s="1" t="n">
        <v>45832</v>
      </c>
      <c r="D61" t="inlineStr">
        <is>
          <t>VÄRMLANDS LÄN</t>
        </is>
      </c>
      <c r="E61" t="inlineStr">
        <is>
          <t>KARLSTAD</t>
        </is>
      </c>
      <c r="G61" t="n">
        <v>2.6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HYPERLINK("https://klasma.github.io/Logging_1780/artfynd/A 9737-2023 artfynd.xlsx", "A 9737-2023")</f>
        <v/>
      </c>
      <c r="T61">
        <f>HYPERLINK("https://klasma.github.io/Logging_1780/kartor/A 9737-2023 karta.png", "A 9737-2023")</f>
        <v/>
      </c>
      <c r="V61">
        <f>HYPERLINK("https://klasma.github.io/Logging_1780/klagomål/A 9737-2023 FSC-klagomål.docx", "A 9737-2023")</f>
        <v/>
      </c>
      <c r="W61">
        <f>HYPERLINK("https://klasma.github.io/Logging_1780/klagomålsmail/A 9737-2023 FSC-klagomål mail.docx", "A 9737-2023")</f>
        <v/>
      </c>
      <c r="X61">
        <f>HYPERLINK("https://klasma.github.io/Logging_1780/tillsyn/A 9737-2023 tillsynsbegäran.docx", "A 9737-2023")</f>
        <v/>
      </c>
      <c r="Y61">
        <f>HYPERLINK("https://klasma.github.io/Logging_1780/tillsynsmail/A 9737-2023 tillsynsbegäran mail.docx", "A 9737-2023")</f>
        <v/>
      </c>
    </row>
    <row r="62" ht="15" customHeight="1">
      <c r="A62" t="inlineStr">
        <is>
          <t>A 21934-2023</t>
        </is>
      </c>
      <c r="B62" s="1" t="n">
        <v>45068</v>
      </c>
      <c r="C62" s="1" t="n">
        <v>45832</v>
      </c>
      <c r="D62" t="inlineStr">
        <is>
          <t>VÄRMLANDS LÄN</t>
        </is>
      </c>
      <c r="E62" t="inlineStr">
        <is>
          <t>KARLSTAD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21934-2023 artfynd.xlsx", "A 21934-2023")</f>
        <v/>
      </c>
      <c r="T62">
        <f>HYPERLINK("https://klasma.github.io/Logging_1780/kartor/A 21934-2023 karta.png", "A 21934-2023")</f>
        <v/>
      </c>
      <c r="V62">
        <f>HYPERLINK("https://klasma.github.io/Logging_1780/klagomål/A 21934-2023 FSC-klagomål.docx", "A 21934-2023")</f>
        <v/>
      </c>
      <c r="W62">
        <f>HYPERLINK("https://klasma.github.io/Logging_1780/klagomålsmail/A 21934-2023 FSC-klagomål mail.docx", "A 21934-2023")</f>
        <v/>
      </c>
      <c r="X62">
        <f>HYPERLINK("https://klasma.github.io/Logging_1780/tillsyn/A 21934-2023 tillsynsbegäran.docx", "A 21934-2023")</f>
        <v/>
      </c>
      <c r="Y62">
        <f>HYPERLINK("https://klasma.github.io/Logging_1780/tillsynsmail/A 21934-2023 tillsynsbegäran mail.docx", "A 21934-2023")</f>
        <v/>
      </c>
    </row>
    <row r="63" ht="15" customHeight="1">
      <c r="A63" t="inlineStr">
        <is>
          <t>A 21919-2023</t>
        </is>
      </c>
      <c r="B63" s="1" t="n">
        <v>45068</v>
      </c>
      <c r="C63" s="1" t="n">
        <v>45832</v>
      </c>
      <c r="D63" t="inlineStr">
        <is>
          <t>VÄRMLANDS LÄN</t>
        </is>
      </c>
      <c r="E63" t="inlineStr">
        <is>
          <t>KARLSTAD</t>
        </is>
      </c>
      <c r="G63" t="n">
        <v>2.5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HYPERLINK("https://klasma.github.io/Logging_1780/artfynd/A 21919-2023 artfynd.xlsx", "A 21919-2023")</f>
        <v/>
      </c>
      <c r="T63">
        <f>HYPERLINK("https://klasma.github.io/Logging_1780/kartor/A 21919-2023 karta.png", "A 21919-2023")</f>
        <v/>
      </c>
      <c r="V63">
        <f>HYPERLINK("https://klasma.github.io/Logging_1780/klagomål/A 21919-2023 FSC-klagomål.docx", "A 21919-2023")</f>
        <v/>
      </c>
      <c r="W63">
        <f>HYPERLINK("https://klasma.github.io/Logging_1780/klagomålsmail/A 21919-2023 FSC-klagomål mail.docx", "A 21919-2023")</f>
        <v/>
      </c>
      <c r="X63">
        <f>HYPERLINK("https://klasma.github.io/Logging_1780/tillsyn/A 21919-2023 tillsynsbegäran.docx", "A 21919-2023")</f>
        <v/>
      </c>
      <c r="Y63">
        <f>HYPERLINK("https://klasma.github.io/Logging_1780/tillsynsmail/A 21919-2023 tillsynsbegäran mail.docx", "A 21919-2023")</f>
        <v/>
      </c>
    </row>
    <row r="64" ht="15" customHeight="1">
      <c r="A64" t="inlineStr">
        <is>
          <t>A 25144-2023</t>
        </is>
      </c>
      <c r="B64" s="1" t="n">
        <v>45086</v>
      </c>
      <c r="C64" s="1" t="n">
        <v>45832</v>
      </c>
      <c r="D64" t="inlineStr">
        <is>
          <t>VÄRMLANDS LÄN</t>
        </is>
      </c>
      <c r="E64" t="inlineStr">
        <is>
          <t>KARLSTAD</t>
        </is>
      </c>
      <c r="F64" t="inlineStr">
        <is>
          <t>Kyrkan</t>
        </is>
      </c>
      <c r="G64" t="n">
        <v>7.6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HYPERLINK("https://klasma.github.io/Logging_1780/artfynd/A 25144-2023 artfynd.xlsx", "A 25144-2023")</f>
        <v/>
      </c>
      <c r="T64">
        <f>HYPERLINK("https://klasma.github.io/Logging_1780/kartor/A 25144-2023 karta.png", "A 25144-2023")</f>
        <v/>
      </c>
      <c r="V64">
        <f>HYPERLINK("https://klasma.github.io/Logging_1780/klagomål/A 25144-2023 FSC-klagomål.docx", "A 25144-2023")</f>
        <v/>
      </c>
      <c r="W64">
        <f>HYPERLINK("https://klasma.github.io/Logging_1780/klagomålsmail/A 25144-2023 FSC-klagomål mail.docx", "A 25144-2023")</f>
        <v/>
      </c>
      <c r="X64">
        <f>HYPERLINK("https://klasma.github.io/Logging_1780/tillsyn/A 25144-2023 tillsynsbegäran.docx", "A 25144-2023")</f>
        <v/>
      </c>
      <c r="Y64">
        <f>HYPERLINK("https://klasma.github.io/Logging_1780/tillsynsmail/A 25144-2023 tillsynsbegäran mail.docx", "A 25144-2023")</f>
        <v/>
      </c>
    </row>
    <row r="65" ht="15" customHeight="1">
      <c r="A65" t="inlineStr">
        <is>
          <t>A 41484-2023</t>
        </is>
      </c>
      <c r="B65" s="1" t="n">
        <v>45175</v>
      </c>
      <c r="C65" s="1" t="n">
        <v>45832</v>
      </c>
      <c r="D65" t="inlineStr">
        <is>
          <t>VÄRMLANDS LÄN</t>
        </is>
      </c>
      <c r="E65" t="inlineStr">
        <is>
          <t>KARLSTAD</t>
        </is>
      </c>
      <c r="G65" t="n">
        <v>8.699999999999999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HYPERLINK("https://klasma.github.io/Logging_1780/artfynd/A 41484-2023 artfynd.xlsx", "A 41484-2023")</f>
        <v/>
      </c>
      <c r="T65">
        <f>HYPERLINK("https://klasma.github.io/Logging_1780/kartor/A 41484-2023 karta.png", "A 41484-2023")</f>
        <v/>
      </c>
      <c r="V65">
        <f>HYPERLINK("https://klasma.github.io/Logging_1780/klagomål/A 41484-2023 FSC-klagomål.docx", "A 41484-2023")</f>
        <v/>
      </c>
      <c r="W65">
        <f>HYPERLINK("https://klasma.github.io/Logging_1780/klagomålsmail/A 41484-2023 FSC-klagomål mail.docx", "A 41484-2023")</f>
        <v/>
      </c>
      <c r="X65">
        <f>HYPERLINK("https://klasma.github.io/Logging_1780/tillsyn/A 41484-2023 tillsynsbegäran.docx", "A 41484-2023")</f>
        <v/>
      </c>
      <c r="Y65">
        <f>HYPERLINK("https://klasma.github.io/Logging_1780/tillsynsmail/A 41484-2023 tillsynsbegäran mail.docx", "A 41484-2023")</f>
        <v/>
      </c>
      <c r="Z65">
        <f>HYPERLINK("https://klasma.github.io/Logging_1780/fåglar/A 41484-2023 prioriterade fågelarter.docx", "A 41484-2023")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45832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45832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45832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45832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45832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45832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45832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45832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45832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45832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45832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45832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45832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45832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45832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45832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45832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45832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45832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45832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45832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45832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45832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45832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45832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45832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45832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45832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45832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45832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45832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45832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45832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45832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45832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45832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45832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45832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45832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45832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45832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45832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45832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45832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45832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45832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45832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45832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45832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45832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45832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45832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45832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45832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45832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45832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45832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45832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45832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45832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45832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45832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45832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45832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45832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45832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45832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45832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45832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45832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45832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45832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45832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45832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45832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45832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45832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45832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45832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45832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45832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45832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45832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45832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45832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45832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45832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45832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45832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45832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45832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45832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45832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45832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45832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45832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45832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45832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45832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45832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45832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45832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45832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45832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45832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45832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45832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45832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45832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45832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45832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45832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45832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45832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45832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45832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45832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45832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45832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45832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45832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45832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45832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45832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45832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45832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45832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45832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45832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45832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45832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45832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45832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45832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45832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45832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45832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45832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45832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45832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45832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45832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45832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45832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45832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45832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45832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45832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45832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45832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45832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45832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45832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45832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45832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45832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45832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45832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45832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45832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45832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45832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45832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45832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45832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45832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45832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45832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45832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45832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45832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45832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45832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45832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45832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45832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45832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45832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45832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45832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45832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45832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45832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45832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45832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45832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45832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45832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45832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45832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45832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45832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45832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45832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45832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45832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45832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45832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45832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45832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45832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45832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45832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45832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45832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45832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45832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45832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45832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45832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45832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45832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45832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45832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45832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45832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45832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45832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45832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45832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45832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45832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45832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45832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45832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45832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45832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45832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45832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45832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45832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45832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45832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45832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45832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45832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45832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45832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45832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45832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45832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45832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45832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45832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45832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45832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45832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45832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45832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45832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45832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45832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45832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45832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45832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45832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45832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45832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45832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45832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45832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45832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45832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45832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45832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45832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45832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45832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45832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45832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45832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45832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45832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45832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45832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45832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45832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45832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45832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45832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45832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45832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45832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45832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45832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45832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45832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45832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45832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45832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45832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45832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45832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45832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45832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45832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45832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45832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45832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45832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45832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45832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45832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45832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45832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45832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45832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45832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45832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45832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45832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45832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45832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45832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45832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45832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45832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45832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45832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45832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45832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45832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45832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45832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45832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45832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45832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45832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45832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45832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45832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45832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45832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45832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45832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45832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45832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45832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45832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45832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45832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45832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45832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45832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45832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45832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45832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45832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45832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45832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45832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45832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45832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45832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45832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45832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45832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45832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45832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45832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45832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45832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45832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45832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45832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45832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45832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45832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45832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45832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45832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45832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45832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45832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45832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45832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45832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45832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45832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45832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45832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45832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45832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45832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45832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45832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45832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45832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45832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45832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45832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45832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45832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45832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45832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45832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45832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45832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45832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45832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45832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45832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45832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45832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45832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45832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45832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45832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45832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45832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45832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45832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45832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45832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45832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45832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45832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45832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45832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45832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45832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45832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45832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45832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45832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45832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45832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45832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45832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45832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45832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45832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45832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45832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45832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45832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45832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45832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45832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45832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45832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45832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45832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45832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45832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45832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45832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45832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45832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45832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45832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45832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45832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45832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45832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45832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45832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45832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45832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45832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45832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45832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45832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45832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45832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45832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45832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45832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45832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45832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45832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45832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45832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45832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45832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45832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45832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45832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45832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45832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45832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45832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45832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45832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45832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45832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45832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45832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45832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45832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45832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45832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45832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45832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45832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45832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45832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45832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45832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45832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45832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45832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45832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45832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45832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45832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45832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45832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45832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45832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45832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45832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45832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45832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45832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45832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45832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45832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45832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45832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45832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45832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45832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45832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45832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45832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45832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45832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45832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45832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45832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45832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45832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45832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45832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45832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45832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45832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45832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45832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45832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45832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45832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45832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45832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45832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45832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45832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45832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45832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45832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45832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45832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45832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45832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45832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45832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45832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45832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45832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45832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45832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45832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45832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45832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45832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45832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45832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45832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45832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45832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45832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45832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45832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45832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45832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45832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45832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45832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45832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45832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45832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45832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45832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45832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45832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45832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45832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45832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45832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45832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45832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45832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45832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45832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45832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45832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45832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45832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45832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45832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45832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45832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45832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45832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45832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45832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45832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45832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45832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45832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45832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45832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45832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45832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45832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45832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45832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45832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45832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45832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45832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45832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45832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45832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45832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45832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45832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45832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45832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45832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45832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45832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45832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45832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45832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45832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45832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45832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45832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45832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45832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45832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45832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45832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45832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45832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45832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45832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45832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45832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45832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45832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45832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45832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45832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45832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45832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45832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45832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45832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45832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45832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45832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45832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45832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45832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45832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45832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45832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45832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45832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45832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45832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45832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45832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45832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45832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45832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45832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45832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45832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45832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45832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45832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45832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45832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45832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45832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45832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45832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45832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45832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45832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45832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45832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45832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45832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45832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45832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45832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45832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45832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45832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45832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45832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45832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45832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45832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45832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45832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45832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45832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45832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45832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45832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45832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45832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45832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45832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45832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45832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45832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45832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45832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45832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45832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45832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45832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45832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45832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45832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45832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45832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45832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45832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45832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45832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45832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45832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45832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45832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45832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45832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45832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45832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45832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45832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45832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45832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45832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45832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45832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45832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45832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45832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45832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45832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45832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45832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45832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45832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45832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45832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45832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45832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45832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45832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45832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45832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45832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45832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45832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45832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45832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45832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45832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45832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45832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45832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45832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45832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45832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45832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45832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45832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45832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45832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45832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45832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45832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45832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45832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45832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45832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45832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45832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45832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45832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45832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45832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45832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45832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45832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45832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45832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45832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45832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45832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45832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45832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45832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45832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45832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45832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45832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45832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45832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45832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45832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45832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45832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45832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45832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45832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45832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45832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45832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45832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45832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45832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45832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45832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45832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45832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45832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45832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45832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45832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45832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45832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45832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45832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45832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45832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45832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45832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45832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45832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45832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45832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45832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45832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45832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45832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45832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45832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45832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45832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45832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45832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45832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45832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45832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45832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45832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45832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45832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45832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45832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45832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45832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45832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45832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45832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45832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45832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45832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45832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45832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45832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45832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45832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45832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45832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45832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45832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45832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45832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45832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45832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45832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45832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45832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45832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45832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45832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45832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45832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45832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45832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45832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45832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45832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45832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45832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45832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45832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45832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45832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45832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45832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45832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45832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45832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45832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45832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45832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45832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45832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45832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45832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45832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45832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45832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45832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45832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45832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45832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45832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45832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45832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45832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45832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45832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45832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45832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45832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45832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45832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45832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45832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45832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45832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45832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45832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45832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45832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45832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45832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45832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45832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45832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45832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45832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45832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45832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45832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45832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45832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45832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45832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45832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45832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45832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45832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45832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45832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45832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45832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45832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45832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45832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45832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45832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45832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45832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45832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45832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45832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45832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45832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45832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45832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45832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45832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45832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45832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45832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45832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45832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45832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45832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45832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45832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45832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45832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45832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45832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45832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45832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45832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45832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45832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45832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45832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45832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45832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45832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45832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45832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45832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45832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45832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45832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45832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45832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45832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45832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45832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45832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45832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45832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45832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45832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45832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45832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45832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45832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45832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45832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45832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45832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45832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45832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45832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45832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45832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45832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45832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45832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45832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45832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45832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45832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45832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45832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45832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45832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45832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45832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45832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45832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45832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45832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45832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45832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45832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45832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45832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45832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45832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45832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45832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45832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45832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45832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45832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45832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45832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45832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45832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45832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45832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45832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45832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45832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45832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45832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45832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45832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45832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45832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45832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45832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45832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45832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45832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45832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45832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45832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45832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45832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45832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45832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45832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45832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45832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45832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45832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45832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45832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45832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45832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45832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45832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45832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45832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45832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45832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45832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45832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45832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45832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45832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45832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45832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45832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45832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45832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45832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45832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45832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45832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45832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45832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45832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45832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45832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45832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45832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45832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45832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45832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45832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45832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45832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45832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45832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45832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45832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45832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45832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45832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45832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45832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45832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45832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45832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45832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45832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45832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45832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45832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45832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45832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45832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45832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45832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45832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45832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45832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45832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45832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45832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45832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45832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45832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45832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45832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45832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45832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45832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45832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45832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45832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45832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45832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45832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45832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45832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45832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45832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45832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45832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45832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45832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45832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45832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45832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45832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45832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45832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45832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45832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45832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45832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45832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25229-2025</t>
        </is>
      </c>
      <c r="B1264" s="1" t="n">
        <v>45800</v>
      </c>
      <c r="C1264" s="1" t="n">
        <v>45832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45832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45832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45832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27492-2025</t>
        </is>
      </c>
      <c r="B1268" s="1" t="n">
        <v>45813</v>
      </c>
      <c r="C1268" s="1" t="n">
        <v>45832</v>
      </c>
      <c r="D1268" t="inlineStr">
        <is>
          <t>VÄRMLANDS LÄN</t>
        </is>
      </c>
      <c r="E1268" t="inlineStr">
        <is>
          <t>KARLSTAD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27495-2025</t>
        </is>
      </c>
      <c r="B1269" s="1" t="n">
        <v>45813</v>
      </c>
      <c r="C1269" s="1" t="n">
        <v>45832</v>
      </c>
      <c r="D1269" t="inlineStr">
        <is>
          <t>VÄRMLANDS LÄN</t>
        </is>
      </c>
      <c r="E1269" t="inlineStr">
        <is>
          <t>KARLSTAD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27489-2025</t>
        </is>
      </c>
      <c r="B1270" s="1" t="n">
        <v>45813</v>
      </c>
      <c r="C1270" s="1" t="n">
        <v>45832</v>
      </c>
      <c r="D1270" t="inlineStr">
        <is>
          <t>VÄRMLANDS LÄN</t>
        </is>
      </c>
      <c r="E1270" t="inlineStr">
        <is>
          <t>KARLSTAD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45832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45832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45832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45832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45832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45832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45832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2025-06-24T19:57:09Z</dcterms:created>
  <dcterms:modified xmlns:dcterms="http://purl.org/dc/terms/" xmlns:xsi="http://www.w3.org/2001/XMLSchema-instance" xsi:type="dcterms:W3CDTF">2025-06-24T19:57:10Z</dcterms:modified>
</cp:coreProperties>
</file>