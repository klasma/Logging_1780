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45644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45644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45644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45644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45644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45644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45644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45644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45644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45644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45644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45644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45644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45644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45644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45644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45644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45644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45644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45644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45644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45644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45644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45644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45644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45644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45644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45644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45644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45644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45644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45644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45644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45644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45644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45644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45644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45644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45644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45644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45644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45644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45644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45644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45644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45644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45644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45644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45644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45644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45644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45644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45644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45644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45644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45644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45644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45644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45644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45644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45644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45644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45644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45644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60275-2024</t>
        </is>
      </c>
      <c r="B66" s="1" t="n">
        <v>45642</v>
      </c>
      <c r="C66" s="1" t="n">
        <v>45644</v>
      </c>
      <c r="D66" t="inlineStr">
        <is>
          <t>VÄRMLANDS LÄN</t>
        </is>
      </c>
      <c r="E66" t="inlineStr">
        <is>
          <t>KARLSTAD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60275-2024 artfynd.xlsx", "A 60275-2024")</f>
        <v/>
      </c>
      <c r="T66">
        <f>HYPERLINK("https://klasma.github.io/Logging_1780/kartor/A 60275-2024 karta.png", "A 60275-2024")</f>
        <v/>
      </c>
      <c r="V66">
        <f>HYPERLINK("https://klasma.github.io/Logging_1780/klagomål/A 60275-2024 FSC-klagomål.docx", "A 60275-2024")</f>
        <v/>
      </c>
      <c r="W66">
        <f>HYPERLINK("https://klasma.github.io/Logging_1780/klagomålsmail/A 60275-2024 FSC-klagomål mail.docx", "A 60275-2024")</f>
        <v/>
      </c>
      <c r="X66">
        <f>HYPERLINK("https://klasma.github.io/Logging_1780/tillsyn/A 60275-2024 tillsynsbegäran.docx", "A 60275-2024")</f>
        <v/>
      </c>
      <c r="Y66">
        <f>HYPERLINK("https://klasma.github.io/Logging_1780/tillsynsmail/A 60275-2024 tillsynsbegäran mail.docx", "A 60275-2024")</f>
        <v/>
      </c>
    </row>
    <row r="67" ht="15" customHeight="1">
      <c r="A67" t="inlineStr">
        <is>
          <t>A 18033-2019</t>
        </is>
      </c>
      <c r="B67" s="1" t="n">
        <v>43556</v>
      </c>
      <c r="C67" s="1" t="n">
        <v>45644</v>
      </c>
      <c r="D67" t="inlineStr">
        <is>
          <t>VÄRMLANDS LÄN</t>
        </is>
      </c>
      <c r="E67" t="inlineStr">
        <is>
          <t>KARLSTAD</t>
        </is>
      </c>
      <c r="G67" t="n">
        <v>16.5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18104-2019</t>
        </is>
      </c>
      <c r="B68" s="1" t="n">
        <v>43556</v>
      </c>
      <c r="C68" s="1" t="n">
        <v>45644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17923-2019</t>
        </is>
      </c>
      <c r="B69" s="1" t="n">
        <v>43557</v>
      </c>
      <c r="C69" s="1" t="n">
        <v>45644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18257-2019</t>
        </is>
      </c>
      <c r="B70" s="1" t="n">
        <v>43557</v>
      </c>
      <c r="C70" s="1" t="n">
        <v>45644</v>
      </c>
      <c r="D70" t="inlineStr">
        <is>
          <t>VÄRMLANDS LÄN</t>
        </is>
      </c>
      <c r="E70" t="inlineStr">
        <is>
          <t>KARLSTAD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18120-2019</t>
        </is>
      </c>
      <c r="B71" s="1" t="n">
        <v>43558</v>
      </c>
      <c r="C71" s="1" t="n">
        <v>45644</v>
      </c>
      <c r="D71" t="inlineStr">
        <is>
          <t>VÄRMLANDS LÄN</t>
        </is>
      </c>
      <c r="E71" t="inlineStr">
        <is>
          <t>KARLSTAD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18126-2019</t>
        </is>
      </c>
      <c r="B72" s="1" t="n">
        <v>43558</v>
      </c>
      <c r="C72" s="1" t="n">
        <v>45644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18285-2019</t>
        </is>
      </c>
      <c r="B73" s="1" t="n">
        <v>43558</v>
      </c>
      <c r="C73" s="1" t="n">
        <v>45644</v>
      </c>
      <c r="D73" t="inlineStr">
        <is>
          <t>VÄRMLANDS LÄN</t>
        </is>
      </c>
      <c r="E73" t="inlineStr">
        <is>
          <t>KARLSTAD</t>
        </is>
      </c>
      <c r="F73" t="inlineStr">
        <is>
          <t>Övriga statliga verk och myndigheter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18525-2019</t>
        </is>
      </c>
      <c r="B74" s="1" t="n">
        <v>43559</v>
      </c>
      <c r="C74" s="1" t="n">
        <v>45644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18938-2019</t>
        </is>
      </c>
      <c r="B75" s="1" t="n">
        <v>43563</v>
      </c>
      <c r="C75" s="1" t="n">
        <v>45644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19120-2019</t>
        </is>
      </c>
      <c r="B76" s="1" t="n">
        <v>43564</v>
      </c>
      <c r="C76" s="1" t="n">
        <v>45644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19226-2019</t>
        </is>
      </c>
      <c r="B77" s="1" t="n">
        <v>43564</v>
      </c>
      <c r="C77" s="1" t="n">
        <v>45644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19133-2019</t>
        </is>
      </c>
      <c r="B78" s="1" t="n">
        <v>43564</v>
      </c>
      <c r="C78" s="1" t="n">
        <v>45644</v>
      </c>
      <c r="D78" t="inlineStr">
        <is>
          <t>VÄRMLANDS LÄN</t>
        </is>
      </c>
      <c r="E78" t="inlineStr">
        <is>
          <t>KARLSTAD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20301-2019</t>
        </is>
      </c>
      <c r="B79" s="1" t="n">
        <v>43570</v>
      </c>
      <c r="C79" s="1" t="n">
        <v>45644</v>
      </c>
      <c r="D79" t="inlineStr">
        <is>
          <t>VÄRMLANDS LÄN</t>
        </is>
      </c>
      <c r="E79" t="inlineStr">
        <is>
          <t>KARLSTAD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20339-2019</t>
        </is>
      </c>
      <c r="B80" s="1" t="n">
        <v>43570</v>
      </c>
      <c r="C80" s="1" t="n">
        <v>45644</v>
      </c>
      <c r="D80" t="inlineStr">
        <is>
          <t>VÄRMLANDS LÄN</t>
        </is>
      </c>
      <c r="E80" t="inlineStr">
        <is>
          <t>KARLSTAD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20461-2019</t>
        </is>
      </c>
      <c r="B81" s="1" t="n">
        <v>43572</v>
      </c>
      <c r="C81" s="1" t="n">
        <v>45644</v>
      </c>
      <c r="D81" t="inlineStr">
        <is>
          <t>VÄRMLANDS LÄN</t>
        </is>
      </c>
      <c r="E81" t="inlineStr">
        <is>
          <t>KARLSTAD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20610-2019</t>
        </is>
      </c>
      <c r="B82" s="1" t="n">
        <v>43572</v>
      </c>
      <c r="C82" s="1" t="n">
        <v>45644</v>
      </c>
      <c r="D82" t="inlineStr">
        <is>
          <t>VÄRMLANDS LÄN</t>
        </is>
      </c>
      <c r="E82" t="inlineStr">
        <is>
          <t>KARLSTAD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20785-2019</t>
        </is>
      </c>
      <c r="B83" s="1" t="n">
        <v>43573</v>
      </c>
      <c r="C83" s="1" t="n">
        <v>45644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20852-2019</t>
        </is>
      </c>
      <c r="B84" s="1" t="n">
        <v>43577</v>
      </c>
      <c r="C84" s="1" t="n">
        <v>45644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21350-2019</t>
        </is>
      </c>
      <c r="B85" s="1" t="n">
        <v>43579</v>
      </c>
      <c r="C85" s="1" t="n">
        <v>45644</v>
      </c>
      <c r="D85" t="inlineStr">
        <is>
          <t>VÄRMLANDS LÄN</t>
        </is>
      </c>
      <c r="E85" t="inlineStr">
        <is>
          <t>KARLSTAD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21573-2019</t>
        </is>
      </c>
      <c r="B86" s="1" t="n">
        <v>43580</v>
      </c>
      <c r="C86" s="1" t="n">
        <v>45644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21899-2019</t>
        </is>
      </c>
      <c r="B87" s="1" t="n">
        <v>43584</v>
      </c>
      <c r="C87" s="1" t="n">
        <v>45644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22386-2019</t>
        </is>
      </c>
      <c r="B88" s="1" t="n">
        <v>43587</v>
      </c>
      <c r="C88" s="1" t="n">
        <v>45644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22700-2019</t>
        </is>
      </c>
      <c r="B89" s="1" t="n">
        <v>43588</v>
      </c>
      <c r="C89" s="1" t="n">
        <v>45644</v>
      </c>
      <c r="D89" t="inlineStr">
        <is>
          <t>VÄRMLANDS LÄN</t>
        </is>
      </c>
      <c r="E89" t="inlineStr">
        <is>
          <t>KARLSTAD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22869-2019</t>
        </is>
      </c>
      <c r="B90" s="1" t="n">
        <v>43591</v>
      </c>
      <c r="C90" s="1" t="n">
        <v>45644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HYPERLINK("https://klasma.github.io/Logging_1780/knärot/A 22869-2019 karta knärot.png", "A 22869-2019")</f>
        <v/>
      </c>
      <c r="V90">
        <f>HYPERLINK("https://klasma.github.io/Logging_1780/klagomål/A 22869-2019 FSC-klagomål.docx", "A 22869-2019")</f>
        <v/>
      </c>
      <c r="W90">
        <f>HYPERLINK("https://klasma.github.io/Logging_1780/klagomålsmail/A 22869-2019 FSC-klagomål mail.docx", "A 22869-2019")</f>
        <v/>
      </c>
      <c r="X90">
        <f>HYPERLINK("https://klasma.github.io/Logging_1780/tillsyn/A 22869-2019 tillsynsbegäran.docx", "A 22869-2019")</f>
        <v/>
      </c>
      <c r="Y90">
        <f>HYPERLINK("https://klasma.github.io/Logging_1780/tillsynsmail/A 22869-2019 tillsynsbegäran mail.docx", "A 22869-2019")</f>
        <v/>
      </c>
    </row>
    <row r="91" ht="15" customHeight="1">
      <c r="A91" t="inlineStr">
        <is>
          <t>A 23045-2019</t>
        </is>
      </c>
      <c r="B91" s="1" t="n">
        <v>43591</v>
      </c>
      <c r="C91" s="1" t="n">
        <v>45644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45644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45644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45644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45644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45644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45644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45644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45644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45644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45644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45644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45644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45644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45644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45644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45644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45644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45644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45644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45644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45644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45644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45644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45644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45644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45644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45644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45644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45644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45644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45644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45644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45644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45644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45644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45644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45644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45644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45644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45644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45644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45644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45644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45644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45644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45644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45644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45644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45644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45644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45644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45644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45644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45644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45644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45644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45644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45644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45644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45644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45644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45644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45644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45644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45644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45644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45644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45644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45644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45644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45644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45644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45644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45644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45644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45644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45644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45644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45644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45644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45644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45644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45644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45644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45644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45644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45644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45644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45644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45644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45644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45644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45644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45644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45644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45644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45644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45644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45644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45644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45644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45644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45644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45644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45644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45644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45644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45644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45644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45644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45644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45644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45644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45644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45644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45644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45644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45644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45644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45644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45644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45644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45644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45644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45644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45644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45644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45644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45644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45644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45644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45644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45644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45644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45644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45644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45644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45644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45644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45644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45644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45644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45644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45644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45644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45644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45644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45644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45644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45644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45644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45644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45644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45644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45644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45644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45644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45644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45644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45644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45644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45644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45644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45644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45644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45644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45644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45644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45644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45644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45644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45644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45644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45644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45644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45644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45644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45644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45644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45644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45644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45644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45644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45644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45644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45644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45644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45644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45644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45644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45644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45644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45644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45644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45644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45644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45644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45644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45644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45644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45644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45644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45644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45644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45644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45644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45644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45644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45644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45644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45644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45644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45644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45644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45644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45644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45644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45644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45644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45644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45644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45644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45644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45644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45644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45644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45644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45644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45644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45644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45644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45644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45644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45644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45644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45644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45644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45644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45644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45644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45644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45644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45644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45644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45644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45644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45644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45644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45644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45644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45644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45644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45644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45644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45644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45644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45644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45644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45644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45644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45644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45644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45644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45644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45644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45644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45644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45644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45644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45644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45644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45644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45644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45644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45644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45644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45644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45644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45644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45644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45644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45644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45644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45644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45644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45644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45644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45644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45644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45644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45644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45644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45644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45644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45644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45644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45644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45644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45644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45644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45644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45644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45644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45644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45644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45644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45644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45644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45644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45644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45644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45644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45644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45644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45644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45644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45644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45644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45644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45644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45644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45644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45644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45644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45644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45644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45644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45644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45644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45644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45644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45644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45644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45644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45644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45644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45644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45644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45644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45644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45644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45644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45644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45644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45644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45644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45644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45644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45644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45644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45644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45644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45644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45644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45644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45644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45644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45644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45644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45644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45644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45644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45644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45644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45644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45644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45644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45644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45644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45644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45644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45644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45644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45644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45644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45644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45644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45644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45644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45644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45644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45644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45644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45644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45644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45644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45644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45644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45644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45644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45644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45644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45644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45644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45644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45644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45644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45644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45644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45644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45644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45644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45644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45644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45644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45644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45644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45644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45644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45644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45644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45644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45644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45644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45644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45644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45644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45644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45644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45644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45644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45644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45644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45644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45644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45644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45644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45644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45644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45644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45644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45644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45644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45644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45644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45644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45644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45644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45644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45644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45644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45644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45644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45644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45644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45644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45644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45644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45644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45644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45644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45644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45644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45644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45644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45644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45644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45644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45644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45644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45644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45644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45644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45644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45644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45644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45644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45644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45644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45644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45644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45644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45644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45644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45644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45644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45644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45644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45644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45644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45644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45644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45644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45644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45644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45644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45644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45644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45644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45644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45644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45644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45644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45644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45644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45644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45644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45644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45644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45644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45644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45644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45644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45644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45644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45644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45644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45644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45644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45644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45644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45644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45644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45644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45644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45644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45644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45644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45644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45644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45644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45644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45644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45644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45644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45644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45644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45644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45644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45644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45644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45644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45644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45644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45644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45644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45644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45644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45644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45644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45644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45644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45644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45644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45644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45644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45644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45644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45644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45644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45644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45644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45644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45644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45644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45644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45644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45644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45644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45644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45644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45644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45644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45644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45644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45644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45644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45644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45644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45644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45644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45644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45644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45644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45644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45644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45644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45644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45644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45644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45644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45644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45644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45644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45644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45644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45644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45644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45644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45644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45644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45644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45644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45644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45644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45644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45644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45644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45644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45644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45644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45644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45644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45644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45644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45644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45644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45644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45644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45644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45644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45644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45644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45644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45644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45644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45644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45644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45644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45644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45644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45644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45644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45644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45644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45644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45644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45644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45644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45644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45644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45644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45644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45644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45644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45644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45644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45644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45644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45644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45644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45644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45644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45644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45644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45644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45644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45644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45644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45644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45644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45644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45644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45644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45644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45644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45644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45644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45644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45644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45644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45644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45644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45644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45644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45644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45644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45644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45644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45644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45644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45644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45644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45644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45644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45644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45644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45644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45644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45644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45644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45644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45644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45644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45644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45644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45644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45644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45644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45644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45644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45644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45644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45644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45644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45644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45644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45644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45644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45644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45644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45644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45644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45644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45644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45644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45644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45644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45644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45644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45644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45644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45644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45644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45644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45644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45644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45644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45644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45644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45644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45644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45644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45644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45644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45644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45644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45644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45644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45644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45644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45644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45644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45644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45644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45644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45644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45644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45644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45644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45644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45644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45644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45644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45644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45644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45644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45644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45644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45644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45644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45644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45644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45644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45644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45644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45644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45644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45644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45644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45644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45644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45644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45644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45644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45644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45644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45644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45644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45644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45644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45644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45644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45644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45644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45644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45644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45644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45644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45644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45644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45644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45644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45644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45644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45644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45644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45644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45644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45644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45644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45644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45644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45644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45644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45644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45644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45644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45644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45644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45644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45644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45644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45644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45644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45644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45644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45644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45644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45644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45644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45644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45644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45644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45644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45644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45644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45644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45644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45644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45644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45644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45644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45644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45644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45644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45644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45644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45644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45644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45644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45644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45644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45644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45644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45644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45644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45644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45644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45644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45644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45644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45644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45644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45644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45644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45644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45644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45644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45644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45644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45644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45644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45644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45644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45644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45644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45644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45644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45644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45644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45644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45644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45644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45644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45644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45644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45644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45644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45644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45644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45644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45644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45644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45644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45644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45644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45644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45644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45644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45644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45644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45644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45644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45644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45644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45644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45644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45644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45644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45644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45644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45644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45644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45644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45644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45644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45644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45644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45644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45644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45644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45644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45644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45644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45644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45644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45644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45644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45644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45644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45644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45644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45644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45644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45644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45644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45644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45644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45644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45644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45644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45644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45644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45644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45644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45644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45644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45644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45644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45644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45644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45644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45644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45644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45644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45644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45644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45644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45644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45644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45644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45644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45644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45644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45644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45644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45644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45644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45644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45644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45644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45644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45644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45644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45644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45644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45644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45644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45644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45644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45644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45644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45644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45644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45644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45644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45644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45644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45644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45644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45644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45644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45644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45644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45644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45644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45644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45644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45644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45644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45644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45644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45644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53656-2024</t>
        </is>
      </c>
      <c r="B1076" s="1" t="n">
        <v>45615</v>
      </c>
      <c r="C1076" s="1" t="n">
        <v>45644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53654-2024</t>
        </is>
      </c>
      <c r="B1077" s="1" t="n">
        <v>45615</v>
      </c>
      <c r="C1077" s="1" t="n">
        <v>45644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45644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54225-2024</t>
        </is>
      </c>
      <c r="B1079" s="1" t="n">
        <v>45616</v>
      </c>
      <c r="C1079" s="1" t="n">
        <v>45644</v>
      </c>
      <c r="D1079" t="inlineStr">
        <is>
          <t>VÄRMLANDS LÄN</t>
        </is>
      </c>
      <c r="E1079" t="inlineStr">
        <is>
          <t>KARLSTAD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54219-2024</t>
        </is>
      </c>
      <c r="B1080" s="1" t="n">
        <v>45616</v>
      </c>
      <c r="C1080" s="1" t="n">
        <v>45644</v>
      </c>
      <c r="D1080" t="inlineStr">
        <is>
          <t>VÄRMLANDS LÄN</t>
        </is>
      </c>
      <c r="E1080" t="inlineStr">
        <is>
          <t>KARLSTAD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54254-2024</t>
        </is>
      </c>
      <c r="B1081" s="1" t="n">
        <v>45616</v>
      </c>
      <c r="C1081" s="1" t="n">
        <v>45644</v>
      </c>
      <c r="D1081" t="inlineStr">
        <is>
          <t>VÄRMLANDS LÄN</t>
        </is>
      </c>
      <c r="E1081" t="inlineStr">
        <is>
          <t>KARLSTAD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45644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54648-2024</t>
        </is>
      </c>
      <c r="B1083" s="1" t="n">
        <v>45617</v>
      </c>
      <c r="C1083" s="1" t="n">
        <v>45644</v>
      </c>
      <c r="D1083" t="inlineStr">
        <is>
          <t>VÄRMLANDS LÄN</t>
        </is>
      </c>
      <c r="E1083" t="inlineStr">
        <is>
          <t>KARLSTAD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54611-2024</t>
        </is>
      </c>
      <c r="B1084" s="1" t="n">
        <v>45617</v>
      </c>
      <c r="C1084" s="1" t="n">
        <v>45644</v>
      </c>
      <c r="D1084" t="inlineStr">
        <is>
          <t>VÄRMLANDS LÄN</t>
        </is>
      </c>
      <c r="E1084" t="inlineStr">
        <is>
          <t>KARLSTAD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54668-2024</t>
        </is>
      </c>
      <c r="B1085" s="1" t="n">
        <v>45618</v>
      </c>
      <c r="C1085" s="1" t="n">
        <v>45644</v>
      </c>
      <c r="D1085" t="inlineStr">
        <is>
          <t>VÄRMLANDS LÄN</t>
        </is>
      </c>
      <c r="E1085" t="inlineStr">
        <is>
          <t>KARLSTAD</t>
        </is>
      </c>
      <c r="G1085" t="n">
        <v>10.8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45644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54669-2024</t>
        </is>
      </c>
      <c r="B1087" s="1" t="n">
        <v>45618</v>
      </c>
      <c r="C1087" s="1" t="n">
        <v>45644</v>
      </c>
      <c r="D1087" t="inlineStr">
        <is>
          <t>VÄRMLANDS LÄN</t>
        </is>
      </c>
      <c r="E1087" t="inlineStr">
        <is>
          <t>KARLSTAD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45644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45644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45644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45644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45644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45644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45644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55763-2024</t>
        </is>
      </c>
      <c r="B1095" s="1" t="n">
        <v>45623</v>
      </c>
      <c r="C1095" s="1" t="n">
        <v>45644</v>
      </c>
      <c r="D1095" t="inlineStr">
        <is>
          <t>VÄRMLANDS LÄN</t>
        </is>
      </c>
      <c r="E1095" t="inlineStr">
        <is>
          <t>KARLSTAD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45644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45644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45644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45644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45644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45644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45644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57129-2024</t>
        </is>
      </c>
      <c r="B1103" s="1" t="n">
        <v>45629</v>
      </c>
      <c r="C1103" s="1" t="n">
        <v>45644</v>
      </c>
      <c r="D1103" t="inlineStr">
        <is>
          <t>VÄRMLANDS LÄN</t>
        </is>
      </c>
      <c r="E1103" t="inlineStr">
        <is>
          <t>KARLSTAD</t>
        </is>
      </c>
      <c r="G1103" t="n">
        <v>8.199999999999999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57146-2024</t>
        </is>
      </c>
      <c r="B1104" s="1" t="n">
        <v>45629</v>
      </c>
      <c r="C1104" s="1" t="n">
        <v>45644</v>
      </c>
      <c r="D1104" t="inlineStr">
        <is>
          <t>VÄRMLANDS LÄN</t>
        </is>
      </c>
      <c r="E1104" t="inlineStr">
        <is>
          <t>KARLSTAD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57149-2024</t>
        </is>
      </c>
      <c r="B1105" s="1" t="n">
        <v>45629</v>
      </c>
      <c r="C1105" s="1" t="n">
        <v>45644</v>
      </c>
      <c r="D1105" t="inlineStr">
        <is>
          <t>VÄRMLANDS LÄN</t>
        </is>
      </c>
      <c r="E1105" t="inlineStr">
        <is>
          <t>KARLSTAD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45644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45644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45644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45644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57503-2024</t>
        </is>
      </c>
      <c r="B1110" s="1" t="n">
        <v>45630</v>
      </c>
      <c r="C1110" s="1" t="n">
        <v>45644</v>
      </c>
      <c r="D1110" t="inlineStr">
        <is>
          <t>VÄRMLANDS LÄN</t>
        </is>
      </c>
      <c r="E1110" t="inlineStr">
        <is>
          <t>KARLSTAD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57541-2024</t>
        </is>
      </c>
      <c r="B1111" s="1" t="n">
        <v>45630</v>
      </c>
      <c r="C1111" s="1" t="n">
        <v>45644</v>
      </c>
      <c r="D1111" t="inlineStr">
        <is>
          <t>VÄRMLANDS LÄN</t>
        </is>
      </c>
      <c r="E1111" t="inlineStr">
        <is>
          <t>KARLSTAD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57587-2024</t>
        </is>
      </c>
      <c r="B1112" s="1" t="n">
        <v>45630</v>
      </c>
      <c r="C1112" s="1" t="n">
        <v>45644</v>
      </c>
      <c r="D1112" t="inlineStr">
        <is>
          <t>VÄRMLANDS LÄN</t>
        </is>
      </c>
      <c r="E1112" t="inlineStr">
        <is>
          <t>KARLSTAD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57607-2024</t>
        </is>
      </c>
      <c r="B1113" s="1" t="n">
        <v>45630</v>
      </c>
      <c r="C1113" s="1" t="n">
        <v>45644</v>
      </c>
      <c r="D1113" t="inlineStr">
        <is>
          <t>VÄRMLANDS LÄN</t>
        </is>
      </c>
      <c r="E1113" t="inlineStr">
        <is>
          <t>KARLSTAD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57611-2024</t>
        </is>
      </c>
      <c r="B1114" s="1" t="n">
        <v>45630</v>
      </c>
      <c r="C1114" s="1" t="n">
        <v>45644</v>
      </c>
      <c r="D1114" t="inlineStr">
        <is>
          <t>VÄRMLANDS LÄN</t>
        </is>
      </c>
      <c r="E1114" t="inlineStr">
        <is>
          <t>KARLSTAD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45644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45644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45644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45644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45644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45644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45644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45644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45644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45644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45644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45644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60374-2024</t>
        </is>
      </c>
      <c r="B1127" s="1" t="n">
        <v>45643</v>
      </c>
      <c r="C1127" s="1" t="n">
        <v>45644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2024-12-18T15:59:14Z</dcterms:created>
  <dcterms:modified xmlns:dcterms="http://purl.org/dc/terms/" xmlns:xsi="http://www.w3.org/2001/XMLSchema-instance" xsi:type="dcterms:W3CDTF">2024-12-18T15:59:15Z</dcterms:modified>
</cp:coreProperties>
</file>