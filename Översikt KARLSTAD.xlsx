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45512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45512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45512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45512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45512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45512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45512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45512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45512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45512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45512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45512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45512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53051-2022</t>
        </is>
      </c>
      <c r="B15" s="1" t="n">
        <v>44876</v>
      </c>
      <c r="C15" s="1" t="n">
        <v>45512</v>
      </c>
      <c r="D15" t="inlineStr">
        <is>
          <t>VÄRMLANDS LÄN</t>
        </is>
      </c>
      <c r="E15" t="inlineStr">
        <is>
          <t>KARLSTAD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Storgröe
Strutbräken
Blåsippa</t>
        </is>
      </c>
      <c r="S15">
        <f>HYPERLINK("https://klasma.github.io/Logging_1780/artfynd/A 53051-2022 artfynd.xlsx", "A 53051-2022")</f>
        <v/>
      </c>
      <c r="T15">
        <f>HYPERLINK("https://klasma.github.io/Logging_1780/kartor/A 53051-2022 karta.png", "A 53051-2022")</f>
        <v/>
      </c>
      <c r="V15">
        <f>HYPERLINK("https://klasma.github.io/Logging_1780/klagomål/A 53051-2022 FSC-klagomål.docx", "A 53051-2022")</f>
        <v/>
      </c>
      <c r="W15">
        <f>HYPERLINK("https://klasma.github.io/Logging_1780/klagomålsmail/A 53051-2022 FSC-klagomål mail.docx", "A 53051-2022")</f>
        <v/>
      </c>
      <c r="X15">
        <f>HYPERLINK("https://klasma.github.io/Logging_1780/tillsyn/A 53051-2022 tillsynsbegäran.docx", "A 53051-2022")</f>
        <v/>
      </c>
      <c r="Y15">
        <f>HYPERLINK("https://klasma.github.io/Logging_1780/tillsynsmail/A 53051-2022 tillsynsbegäran mail.docx", "A 53051-2022")</f>
        <v/>
      </c>
    </row>
    <row r="16" ht="15" customHeight="1">
      <c r="A16" t="inlineStr">
        <is>
          <t>A 11615-2023</t>
        </is>
      </c>
      <c r="B16" s="1" t="n">
        <v>44994</v>
      </c>
      <c r="C16" s="1" t="n">
        <v>45512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11615-2023 artfynd.xlsx", "A 11615-2023")</f>
        <v/>
      </c>
      <c r="T16">
        <f>HYPERLINK("https://klasma.github.io/Logging_1780/kartor/A 11615-2023 karta.png", "A 11615-2023")</f>
        <v/>
      </c>
      <c r="V16">
        <f>HYPERLINK("https://klasma.github.io/Logging_1780/klagomål/A 11615-2023 FSC-klagomål.docx", "A 11615-2023")</f>
        <v/>
      </c>
      <c r="W16">
        <f>HYPERLINK("https://klasma.github.io/Logging_1780/klagomålsmail/A 11615-2023 FSC-klagomål mail.docx", "A 11615-2023")</f>
        <v/>
      </c>
      <c r="X16">
        <f>HYPERLINK("https://klasma.github.io/Logging_1780/tillsyn/A 11615-2023 tillsynsbegäran.docx", "A 11615-2023")</f>
        <v/>
      </c>
      <c r="Y16">
        <f>HYPERLINK("https://klasma.github.io/Logging_1780/tillsynsmail/A 11615-2023 tillsynsbegäran mail.docx", "A 11615-2023")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45512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41572-2023</t>
        </is>
      </c>
      <c r="B18" s="1" t="n">
        <v>45175</v>
      </c>
      <c r="C18" s="1" t="n">
        <v>45512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Aktiebolag</t>
        </is>
      </c>
      <c r="G18" t="n">
        <v>6.5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Blåmossa</t>
        </is>
      </c>
      <c r="S18">
        <f>HYPERLINK("https://klasma.github.io/Logging_1780/artfynd/A 41572-2023 artfynd.xlsx", "A 41572-2023")</f>
        <v/>
      </c>
      <c r="T18">
        <f>HYPERLINK("https://klasma.github.io/Logging_1780/kartor/A 41572-2023 karta.png", "A 41572-2023")</f>
        <v/>
      </c>
      <c r="V18">
        <f>HYPERLINK("https://klasma.github.io/Logging_1780/klagomål/A 41572-2023 FSC-klagomål.docx", "A 41572-2023")</f>
        <v/>
      </c>
      <c r="W18">
        <f>HYPERLINK("https://klasma.github.io/Logging_1780/klagomålsmail/A 41572-2023 FSC-klagomål mail.docx", "A 41572-2023")</f>
        <v/>
      </c>
      <c r="X18">
        <f>HYPERLINK("https://klasma.github.io/Logging_1780/tillsyn/A 41572-2023 tillsynsbegäran.docx", "A 41572-2023")</f>
        <v/>
      </c>
      <c r="Y18">
        <f>HYPERLINK("https://klasma.github.io/Logging_1780/tillsynsmail/A 41572-2023 tillsynsbegäran mail.docx", "A 41572-2023")</f>
        <v/>
      </c>
      <c r="Z18">
        <f>HYPERLINK("https://klasma.github.io/Logging_1780/fåglar/A 41572-2023 prioriterade fågelarter.docx", "A 41572-2023")</f>
        <v/>
      </c>
    </row>
    <row r="19" ht="15" customHeight="1">
      <c r="A19" t="inlineStr">
        <is>
          <t>A 20946-2024</t>
        </is>
      </c>
      <c r="B19" s="1" t="n">
        <v>45439</v>
      </c>
      <c r="C19" s="1" t="n">
        <v>45512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4.9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Spillkråka
Vågbandad barkbock</t>
        </is>
      </c>
      <c r="S19">
        <f>HYPERLINK("https://klasma.github.io/Logging_1780/artfynd/A 20946-2024 artfynd.xlsx", "A 20946-2024")</f>
        <v/>
      </c>
      <c r="T19">
        <f>HYPERLINK("https://klasma.github.io/Logging_1780/kartor/A 20946-2024 karta.png", "A 20946-2024")</f>
        <v/>
      </c>
      <c r="V19">
        <f>HYPERLINK("https://klasma.github.io/Logging_1780/klagomål/A 20946-2024 FSC-klagomål.docx", "A 20946-2024")</f>
        <v/>
      </c>
      <c r="W19">
        <f>HYPERLINK("https://klasma.github.io/Logging_1780/klagomålsmail/A 20946-2024 FSC-klagomål mail.docx", "A 20946-2024")</f>
        <v/>
      </c>
      <c r="X19">
        <f>HYPERLINK("https://klasma.github.io/Logging_1780/tillsyn/A 20946-2024 tillsynsbegäran.docx", "A 20946-2024")</f>
        <v/>
      </c>
      <c r="Y19">
        <f>HYPERLINK("https://klasma.github.io/Logging_1780/tillsynsmail/A 20946-2024 tillsynsbegäran mail.docx", "A 20946-2024")</f>
        <v/>
      </c>
      <c r="Z19">
        <f>HYPERLINK("https://klasma.github.io/Logging_1780/fåglar/A 20946-2024 prioriterade fågelarter.docx", "A 20946-2024")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45512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45512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45512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45512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45512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45512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45512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45512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45512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45512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45512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45512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45512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45512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45512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45512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45512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45512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45512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45512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45512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45512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45512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45512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45512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45512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45512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45512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45512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45512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45512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45512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45512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45512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45512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45512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45512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45512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45512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45512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45512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45512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45512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45512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45512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45512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45512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45512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45512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45512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45512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45512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45512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45512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45512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45512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45512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45512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45512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45512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45512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45512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45512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45512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45512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45512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45512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45512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45512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45512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45512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45512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45512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45512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45512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45512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45512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45512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45512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45512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45512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45512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45512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45512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45512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45512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45512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45512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45512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45512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45512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45512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45512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45512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45512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45512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45512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45512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45512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45512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45512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45512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45512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45512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45512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45512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45512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45512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45512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45512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45512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45512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45512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45512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45512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45512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45512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45512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45512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45512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45512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45512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45512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45512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45512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45512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45512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45512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45512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45512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45512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45512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45512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45512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45512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45512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45512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45512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45512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45512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45512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45512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45512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45512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45512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45512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45512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45512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45512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45512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45512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45512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45512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45512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45512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45512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45512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45512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45512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45512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45512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45512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45512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45512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45512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45512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45512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45512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45512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45512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45512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45512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45512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45512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45512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45512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45512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45512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45512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45512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45512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45512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45512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45512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45512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45512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45512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45512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45512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45512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45512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45512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45512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45512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45512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45512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45512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45512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45512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45512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45512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45512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45512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45512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45512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45512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45512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45512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45512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45512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45512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45512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45512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45512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45512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45512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45512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45512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45512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45512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45512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45512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45512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45512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45512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45512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45512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45512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45512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45512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45512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45512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45512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45512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45512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45512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45512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45512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45512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45512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45512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45512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45512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45512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45512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45512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45512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45512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45512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45512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45512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45512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45512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45512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45512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45512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45512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45512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45512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45512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45512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45512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45512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45512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45512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45512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45512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45512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45512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45512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45512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45512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45512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45512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45512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45512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45512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45512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45512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45512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45512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45512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45512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45512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45512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45512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45512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45512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45512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45512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45512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45512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45512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45512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45512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45512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45512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45512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45512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45512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45512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45512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45512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45512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45512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45512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45512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45512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45512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45512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45512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45512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45512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45512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45512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45512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45512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45512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45512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45512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45512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45512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45512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45512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45512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45512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45512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45512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45512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45512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45512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45512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45512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45512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45512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45512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45512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45512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45512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45512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45512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45512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45512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45512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45512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45512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45512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45512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45512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45512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45512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45512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45512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45512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45512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45512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45512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45512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45512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45512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45512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45512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45512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45512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45512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45512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45512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45512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45512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45512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45512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45512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45512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45512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45512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45512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45512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45512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45512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45512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45512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45512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45512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45512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45512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45512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45512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45512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45512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45512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45512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45512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45512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45512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45512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45512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45512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45512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45512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45512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45512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45512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45512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45512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45512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45512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45512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45512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45512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45512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45512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45512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45512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45512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45512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45512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45512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45512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45512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45512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45512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45512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45512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45512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45512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45512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45512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45512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45512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45512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45512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45512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45512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45512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45512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45512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45512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45512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45512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45512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45512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45512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45512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45512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45512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45512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45512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45512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45512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45512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45512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45512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45512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45512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45512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45512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45512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45512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45512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45512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45512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45512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45512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45512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45512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45512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45512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45512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45512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45512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45512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45512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45512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45512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45512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45512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45512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45512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45512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45512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45512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45512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45512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45512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45512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45512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45512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45512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45512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45512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45512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45512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45512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45512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45512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45512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45512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45512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45512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45512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45512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45512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45512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45512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45512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45512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45512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45512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45512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45512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45512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45512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45512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45512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45512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45512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45512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45512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45512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45512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45512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45512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45512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45512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45512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45512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45512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45512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45512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45512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45512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45512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45512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45512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45512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45512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45512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45512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45512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45512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45512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45512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45512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45512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45512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45512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45512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45512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45512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45512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45512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45512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45512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45512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45512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45512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45512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45512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45512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45512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45512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45512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45512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45512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45512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45512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45512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45512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45512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45512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45512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45512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45512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45512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45512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45512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45512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45512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45512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45512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45512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45512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45512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45512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45512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45512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45512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45512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45512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45512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45512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45512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45512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45512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45512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45512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45512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45512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45512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45512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45512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45512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45512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45512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45512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45512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45512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45512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45512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45512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45512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45512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45512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45512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45512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45512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45512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45512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45512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45512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45512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45512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45512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45512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45512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45512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45512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45512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45512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45512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45512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45512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45512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45512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45512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45512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45512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45512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45512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45512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45512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45512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45512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45512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45512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45512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45512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45512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45512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45512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45512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45512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45512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45512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45512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45512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45512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45512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45512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45512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45512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45512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45512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45512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45512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45512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45512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45512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45512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45512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45512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45512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45512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45512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45512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45512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45512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45512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45512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45512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45512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45512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45512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45512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45512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45512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45512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45512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45512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45512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45512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45512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45512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45512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45512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45512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45512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45512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45512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45512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45512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45512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45512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45512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45512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45512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45512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45512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45512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45512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45512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45512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45512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45512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45512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45512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45512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45512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45512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45512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45512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45512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45512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45512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45512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45512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45512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45512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45512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45512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45512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45512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45512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45512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45512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45512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45512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45512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45512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45512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45512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45512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45512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45512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45512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45512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45512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45512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45512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45512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45512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45512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45512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45512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45512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45512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45512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45512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45512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45512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45512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45512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45512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45512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45512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45512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45512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45512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45512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45512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45512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45512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45512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45512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45512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45512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45512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45512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45512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45512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45512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45512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45512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45512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45512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45512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45512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45512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45512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45512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45512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45512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45512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45512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45512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45512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45512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45512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45512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45512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45512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45512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45512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45512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45512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45512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45512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45512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45512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45512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45512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45512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45512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45512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45512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45512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45512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45512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45512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45512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45512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45512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45512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45512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45512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45512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45512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45512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45512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45512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45512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45512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45512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45512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45512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45512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45512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45512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45512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45512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45512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45512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45512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45512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45512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45512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45512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45512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45512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45512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45512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45512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45512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45512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45512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45512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45512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45512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45512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45512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45512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45512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45512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45512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45512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45512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45512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45512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45512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45512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45512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45512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45512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45512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45512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45512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45512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45512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45512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45512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45512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45512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45512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45512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45512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45512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45512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45512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45512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45512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45512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45512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45512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45512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45512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45512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45512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45512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45512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45512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45512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45512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45512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45512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45512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45512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45512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45512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45512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45512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45512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45512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45512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45512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45512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45512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45512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45512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45512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45512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45512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45512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45512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45512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45512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45512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45512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45512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45512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45512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45512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45512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45512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45512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45512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45512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45512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45512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45512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45512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45512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45512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45512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45512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45512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45512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45512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45512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45512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45512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45512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45512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45512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45512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45512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45512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45512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45512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45512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45512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45512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45512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45512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45512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45512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45512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45512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45512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45512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45512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45512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45512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45512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45512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45512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45512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45512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45512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29939-2024</t>
        </is>
      </c>
      <c r="B998" s="1" t="n">
        <v>45488</v>
      </c>
      <c r="C998" s="1" t="n">
        <v>45512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31744-2024</t>
        </is>
      </c>
      <c r="B999" s="1" t="n">
        <v>45509</v>
      </c>
      <c r="C999" s="1" t="n">
        <v>45512</v>
      </c>
      <c r="D999" t="inlineStr">
        <is>
          <t>VÄRMLANDS LÄN</t>
        </is>
      </c>
      <c r="E999" t="inlineStr">
        <is>
          <t>KARLSTAD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31986-2024</t>
        </is>
      </c>
      <c r="B1000" s="1" t="n">
        <v>45510</v>
      </c>
      <c r="C1000" s="1" t="n">
        <v>45512</v>
      </c>
      <c r="D1000" t="inlineStr">
        <is>
          <t>VÄRMLANDS LÄN</t>
        </is>
      </c>
      <c r="E1000" t="inlineStr">
        <is>
          <t>KARLSTAD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2024-08-08T10:06:37Z</dcterms:created>
  <dcterms:modified xmlns:dcterms="http://purl.org/dc/terms/" xmlns:xsi="http://www.w3.org/2001/XMLSchema-instance" xsi:type="dcterms:W3CDTF">2024-08-08T10:06:38Z</dcterms:modified>
</cp:coreProperties>
</file>