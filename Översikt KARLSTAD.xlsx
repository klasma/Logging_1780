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45565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45565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45565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45565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45565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45565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45565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45565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45565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45565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45565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31896-2021</t>
        </is>
      </c>
      <c r="B13" s="1" t="n">
        <v>44370</v>
      </c>
      <c r="C13" s="1" t="n">
        <v>45565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3.3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Vågticka
Brun gräsfjäril
Vågbandad barkbock</t>
        </is>
      </c>
      <c r="S13">
        <f>HYPERLINK("https://klasma.github.io/Logging_1780/artfynd/A 31896-2021 artfynd.xlsx", "A 31896-2021")</f>
        <v/>
      </c>
      <c r="T13">
        <f>HYPERLINK("https://klasma.github.io/Logging_1780/kartor/A 31896-2021 karta.png", "A 31896-2021")</f>
        <v/>
      </c>
      <c r="V13">
        <f>HYPERLINK("https://klasma.github.io/Logging_1780/klagomål/A 31896-2021 FSC-klagomål.docx", "A 31896-2021")</f>
        <v/>
      </c>
      <c r="W13">
        <f>HYPERLINK("https://klasma.github.io/Logging_1780/klagomålsmail/A 31896-2021 FSC-klagomål mail.docx", "A 31896-2021")</f>
        <v/>
      </c>
      <c r="X13">
        <f>HYPERLINK("https://klasma.github.io/Logging_1780/tillsyn/A 31896-2021 tillsynsbegäran.docx", "A 31896-2021")</f>
        <v/>
      </c>
      <c r="Y13">
        <f>HYPERLINK("https://klasma.github.io/Logging_1780/tillsynsmail/A 31896-2021 tillsynsbegäran mail.docx", "A 31896-2021")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45565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45565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45565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45565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45565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45565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20946-2024</t>
        </is>
      </c>
      <c r="B20" s="1" t="n">
        <v>45439</v>
      </c>
      <c r="C20" s="1" t="n">
        <v>45565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4.9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Spillkråka
Vågbandad barkbock</t>
        </is>
      </c>
      <c r="S20">
        <f>HYPERLINK("https://klasma.github.io/Logging_1780/artfynd/A 20946-2024 artfynd.xlsx", "A 20946-2024")</f>
        <v/>
      </c>
      <c r="T20">
        <f>HYPERLINK("https://klasma.github.io/Logging_1780/kartor/A 20946-2024 karta.png", "A 20946-2024")</f>
        <v/>
      </c>
      <c r="V20">
        <f>HYPERLINK("https://klasma.github.io/Logging_1780/klagomål/A 20946-2024 FSC-klagomål.docx", "A 20946-2024")</f>
        <v/>
      </c>
      <c r="W20">
        <f>HYPERLINK("https://klasma.github.io/Logging_1780/klagomålsmail/A 20946-2024 FSC-klagomål mail.docx", "A 20946-2024")</f>
        <v/>
      </c>
      <c r="X20">
        <f>HYPERLINK("https://klasma.github.io/Logging_1780/tillsyn/A 20946-2024 tillsynsbegäran.docx", "A 20946-2024")</f>
        <v/>
      </c>
      <c r="Y20">
        <f>HYPERLINK("https://klasma.github.io/Logging_1780/tillsynsmail/A 20946-2024 tillsynsbegäran mail.docx", "A 20946-2024")</f>
        <v/>
      </c>
      <c r="Z20">
        <f>HYPERLINK("https://klasma.github.io/Logging_1780/fåglar/A 20946-2024 prioriterade fågelarter.docx", "A 20946-2024")</f>
        <v/>
      </c>
    </row>
    <row r="21" ht="15" customHeight="1">
      <c r="A21" t="inlineStr">
        <is>
          <t>A 18231-2020</t>
        </is>
      </c>
      <c r="B21" s="1" t="n">
        <v>43928</v>
      </c>
      <c r="C21" s="1" t="n">
        <v>45565</v>
      </c>
      <c r="D21" t="inlineStr">
        <is>
          <t>VÄRMLANDS LÄN</t>
        </is>
      </c>
      <c r="E21" t="inlineStr">
        <is>
          <t>KARLSTAD</t>
        </is>
      </c>
      <c r="G21" t="n">
        <v>0.5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HYPERLINK("https://klasma.github.io/Logging_1780/artfynd/A 18231-2020 artfynd.xlsx", "A 18231-2020")</f>
        <v/>
      </c>
      <c r="T21">
        <f>HYPERLINK("https://klasma.github.io/Logging_1780/kartor/A 18231-2020 karta.png", "A 18231-2020")</f>
        <v/>
      </c>
      <c r="U21">
        <f>HYPERLINK("https://klasma.github.io/Logging_1780/knärot/A 18231-2020 karta knärot.png", "A 18231-2020")</f>
        <v/>
      </c>
      <c r="V21">
        <f>HYPERLINK("https://klasma.github.io/Logging_1780/klagomål/A 18231-2020 FSC-klagomål.docx", "A 18231-2020")</f>
        <v/>
      </c>
      <c r="W21">
        <f>HYPERLINK("https://klasma.github.io/Logging_1780/klagomålsmail/A 18231-2020 FSC-klagomål mail.docx", "A 18231-2020")</f>
        <v/>
      </c>
      <c r="X21">
        <f>HYPERLINK("https://klasma.github.io/Logging_1780/tillsyn/A 18231-2020 tillsynsbegäran.docx", "A 18231-2020")</f>
        <v/>
      </c>
      <c r="Y21">
        <f>HYPERLINK("https://klasma.github.io/Logging_1780/tillsynsmail/A 18231-2020 tillsynsbegäran mail.docx", "A 18231-2020")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45565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45565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45565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45565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45565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20765-2022</t>
        </is>
      </c>
      <c r="B27" s="1" t="n">
        <v>44701</v>
      </c>
      <c r="C27" s="1" t="n">
        <v>45565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HYPERLINK("https://klasma.github.io/Logging_1780/artfynd/A 20765-2022 artfynd.xlsx", "A 20765-2022")</f>
        <v/>
      </c>
      <c r="T27">
        <f>HYPERLINK("https://klasma.github.io/Logging_1780/kartor/A 20765-2022 karta.png", "A 20765-2022")</f>
        <v/>
      </c>
      <c r="V27">
        <f>HYPERLINK("https://klasma.github.io/Logging_1780/klagomål/A 20765-2022 FSC-klagomål.docx", "A 20765-2022")</f>
        <v/>
      </c>
      <c r="W27">
        <f>HYPERLINK("https://klasma.github.io/Logging_1780/klagomålsmail/A 20765-2022 FSC-klagomål mail.docx", "A 20765-2022")</f>
        <v/>
      </c>
      <c r="X27">
        <f>HYPERLINK("https://klasma.github.io/Logging_1780/tillsyn/A 20765-2022 tillsynsbegäran.docx", "A 20765-2022")</f>
        <v/>
      </c>
      <c r="Y27">
        <f>HYPERLINK("https://klasma.github.io/Logging_1780/tillsynsmail/A 20765-2022 tillsynsbegäran mail.docx", "A 20765-2022")</f>
        <v/>
      </c>
    </row>
    <row r="28" ht="15" customHeight="1">
      <c r="A28" t="inlineStr">
        <is>
          <t>A 53155-2022</t>
        </is>
      </c>
      <c r="B28" s="1" t="n">
        <v>44876</v>
      </c>
      <c r="C28" s="1" t="n">
        <v>45565</v>
      </c>
      <c r="D28" t="inlineStr">
        <is>
          <t>VÄRMLANDS LÄN</t>
        </is>
      </c>
      <c r="E28" t="inlineStr">
        <is>
          <t>KARLSTAD</t>
        </is>
      </c>
      <c r="G28" t="n">
        <v>32.8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Trana</t>
        </is>
      </c>
      <c r="S28">
        <f>HYPERLINK("https://klasma.github.io/Logging_1780/artfynd/A 53155-2022 artfynd.xlsx", "A 53155-2022")</f>
        <v/>
      </c>
      <c r="T28">
        <f>HYPERLINK("https://klasma.github.io/Logging_1780/kartor/A 53155-2022 karta.png", "A 53155-2022")</f>
        <v/>
      </c>
      <c r="V28">
        <f>HYPERLINK("https://klasma.github.io/Logging_1780/klagomål/A 53155-2022 FSC-klagomål.docx", "A 53155-2022")</f>
        <v/>
      </c>
      <c r="W28">
        <f>HYPERLINK("https://klasma.github.io/Logging_1780/klagomålsmail/A 53155-2022 FSC-klagomål mail.docx", "A 53155-2022")</f>
        <v/>
      </c>
      <c r="X28">
        <f>HYPERLINK("https://klasma.github.io/Logging_1780/tillsyn/A 53155-2022 tillsynsbegäran.docx", "A 53155-2022")</f>
        <v/>
      </c>
      <c r="Y28">
        <f>HYPERLINK("https://klasma.github.io/Logging_1780/tillsynsmail/A 53155-2022 tillsynsbegäran mail.docx", "A 53155-2022")</f>
        <v/>
      </c>
      <c r="Z28">
        <f>HYPERLINK("https://klasma.github.io/Logging_1780/fåglar/A 53155-2022 prioriterade fågelarter.docx", "A 53155-2022")</f>
        <v/>
      </c>
    </row>
    <row r="29" ht="15" customHeight="1">
      <c r="A29" t="inlineStr">
        <is>
          <t>A 41507-2023</t>
        </is>
      </c>
      <c r="B29" s="1" t="n">
        <v>45175</v>
      </c>
      <c r="C29" s="1" t="n">
        <v>45565</v>
      </c>
      <c r="D29" t="inlineStr">
        <is>
          <t>VÄRMLANDS LÄN</t>
        </is>
      </c>
      <c r="E29" t="inlineStr">
        <is>
          <t>KARLSTAD</t>
        </is>
      </c>
      <c r="G29" t="n">
        <v>11.4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Thomsons trägnagare</t>
        </is>
      </c>
      <c r="S29">
        <f>HYPERLINK("https://klasma.github.io/Logging_1780/artfynd/A 41507-2023 artfynd.xlsx", "A 41507-2023")</f>
        <v/>
      </c>
      <c r="T29">
        <f>HYPERLINK("https://klasma.github.io/Logging_1780/kartor/A 41507-2023 karta.png", "A 41507-2023")</f>
        <v/>
      </c>
      <c r="V29">
        <f>HYPERLINK("https://klasma.github.io/Logging_1780/klagomål/A 41507-2023 FSC-klagomål.docx", "A 41507-2023")</f>
        <v/>
      </c>
      <c r="W29">
        <f>HYPERLINK("https://klasma.github.io/Logging_1780/klagomålsmail/A 41507-2023 FSC-klagomål mail.docx", "A 41507-2023")</f>
        <v/>
      </c>
      <c r="X29">
        <f>HYPERLINK("https://klasma.github.io/Logging_1780/tillsyn/A 41507-2023 tillsynsbegäran.docx", "A 41507-2023")</f>
        <v/>
      </c>
      <c r="Y29">
        <f>HYPERLINK("https://klasma.github.io/Logging_1780/tillsynsmail/A 41507-2023 tillsynsbegäran mail.docx", "A 41507-2023")</f>
        <v/>
      </c>
    </row>
    <row r="30" ht="15" customHeight="1">
      <c r="A30" t="inlineStr">
        <is>
          <t>A 4296-2024</t>
        </is>
      </c>
      <c r="B30" s="1" t="n">
        <v>45324</v>
      </c>
      <c r="C30" s="1" t="n">
        <v>45565</v>
      </c>
      <c r="D30" t="inlineStr">
        <is>
          <t>VÄRMLANDS LÄN</t>
        </is>
      </c>
      <c r="E30" t="inlineStr">
        <is>
          <t>KARLSTAD</t>
        </is>
      </c>
      <c r="G30" t="n">
        <v>7.1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Spillkråka</t>
        </is>
      </c>
      <c r="S30">
        <f>HYPERLINK("https://klasma.github.io/Logging_1780/artfynd/A 4296-2024 artfynd.xlsx", "A 4296-2024")</f>
        <v/>
      </c>
      <c r="T30">
        <f>HYPERLINK("https://klasma.github.io/Logging_1780/kartor/A 4296-2024 karta.png", "A 4296-2024")</f>
        <v/>
      </c>
      <c r="V30">
        <f>HYPERLINK("https://klasma.github.io/Logging_1780/klagomål/A 4296-2024 FSC-klagomål.docx", "A 4296-2024")</f>
        <v/>
      </c>
      <c r="W30">
        <f>HYPERLINK("https://klasma.github.io/Logging_1780/klagomålsmail/A 4296-2024 FSC-klagomål mail.docx", "A 4296-2024")</f>
        <v/>
      </c>
      <c r="X30">
        <f>HYPERLINK("https://klasma.github.io/Logging_1780/tillsyn/A 4296-2024 tillsynsbegäran.docx", "A 4296-2024")</f>
        <v/>
      </c>
      <c r="Y30">
        <f>HYPERLINK("https://klasma.github.io/Logging_1780/tillsynsmail/A 4296-2024 tillsynsbegäran mail.docx", "A 4296-2024")</f>
        <v/>
      </c>
      <c r="Z30">
        <f>HYPERLINK("https://klasma.github.io/Logging_1780/fåglar/A 4296-2024 prioriterade fågelarter.docx", "A 4296-2024")</f>
        <v/>
      </c>
    </row>
    <row r="31" ht="15" customHeight="1">
      <c r="A31" t="inlineStr">
        <is>
          <t>A 19133-2024</t>
        </is>
      </c>
      <c r="B31" s="1" t="n">
        <v>45428</v>
      </c>
      <c r="C31" s="1" t="n">
        <v>45565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HYPERLINK("https://klasma.github.io/Logging_1780/artfynd/A 19133-2024 artfynd.xlsx", "A 19133-2024")</f>
        <v/>
      </c>
      <c r="T31">
        <f>HYPERLINK("https://klasma.github.io/Logging_1780/kartor/A 19133-2024 karta.png", "A 19133-2024")</f>
        <v/>
      </c>
      <c r="U31">
        <f>HYPERLINK("https://klasma.github.io/Logging_1780/knärot/A 19133-2024 karta knärot.png", "A 19133-2024")</f>
        <v/>
      </c>
      <c r="V31">
        <f>HYPERLINK("https://klasma.github.io/Logging_1780/klagomål/A 19133-2024 FSC-klagomål.docx", "A 19133-2024")</f>
        <v/>
      </c>
      <c r="W31">
        <f>HYPERLINK("https://klasma.github.io/Logging_1780/klagomålsmail/A 19133-2024 FSC-klagomål mail.docx", "A 19133-2024")</f>
        <v/>
      </c>
      <c r="X31">
        <f>HYPERLINK("https://klasma.github.io/Logging_1780/tillsyn/A 19133-2024 tillsynsbegäran.docx", "A 19133-2024")</f>
        <v/>
      </c>
      <c r="Y31">
        <f>HYPERLINK("https://klasma.github.io/Logging_1780/tillsynsmail/A 19133-2024 tillsynsbegäran mail.docx", "A 19133-2024")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45565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22914-2019</t>
        </is>
      </c>
      <c r="B33" s="1" t="n">
        <v>43591</v>
      </c>
      <c r="C33" s="1" t="n">
        <v>45565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HYPERLINK("https://klasma.github.io/Logging_1780/artfynd/A 22914-2019 artfynd.xlsx", "A 22914-2019")</f>
        <v/>
      </c>
      <c r="T33">
        <f>HYPERLINK("https://klasma.github.io/Logging_1780/kartor/A 22914-2019 karta.png", "A 22914-2019")</f>
        <v/>
      </c>
      <c r="V33">
        <f>HYPERLINK("https://klasma.github.io/Logging_1780/klagomål/A 22914-2019 FSC-klagomål.docx", "A 22914-2019")</f>
        <v/>
      </c>
      <c r="W33">
        <f>HYPERLINK("https://klasma.github.io/Logging_1780/klagomålsmail/A 22914-2019 FSC-klagomål mail.docx", "A 22914-2019")</f>
        <v/>
      </c>
      <c r="X33">
        <f>HYPERLINK("https://klasma.github.io/Logging_1780/tillsyn/A 22914-2019 tillsynsbegäran.docx", "A 22914-2019")</f>
        <v/>
      </c>
      <c r="Y33">
        <f>HYPERLINK("https://klasma.github.io/Logging_1780/tillsynsmail/A 22914-2019 tillsynsbegäran mail.docx", "A 22914-2019")</f>
        <v/>
      </c>
      <c r="Z33">
        <f>HYPERLINK("https://klasma.github.io/Logging_1780/fåglar/A 22914-2019 prioriterade fågelarter.docx", "A 22914-2019")</f>
        <v/>
      </c>
    </row>
    <row r="34" ht="15" customHeight="1">
      <c r="A34" t="inlineStr">
        <is>
          <t>A 25652-2019</t>
        </is>
      </c>
      <c r="B34" s="1" t="n">
        <v>43607</v>
      </c>
      <c r="C34" s="1" t="n">
        <v>45565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HYPERLINK("https://klasma.github.io/Logging_1780/artfynd/A 25652-2019 artfynd.xlsx", "A 25652-2019")</f>
        <v/>
      </c>
      <c r="T34">
        <f>HYPERLINK("https://klasma.github.io/Logging_1780/kartor/A 25652-2019 karta.png", "A 25652-2019")</f>
        <v/>
      </c>
      <c r="V34">
        <f>HYPERLINK("https://klasma.github.io/Logging_1780/klagomål/A 25652-2019 FSC-klagomål.docx", "A 25652-2019")</f>
        <v/>
      </c>
      <c r="W34">
        <f>HYPERLINK("https://klasma.github.io/Logging_1780/klagomålsmail/A 25652-2019 FSC-klagomål mail.docx", "A 25652-2019")</f>
        <v/>
      </c>
      <c r="X34">
        <f>HYPERLINK("https://klasma.github.io/Logging_1780/tillsyn/A 25652-2019 tillsynsbegäran.docx", "A 25652-2019")</f>
        <v/>
      </c>
      <c r="Y34">
        <f>HYPERLINK("https://klasma.github.io/Logging_1780/tillsynsmail/A 25652-2019 tillsynsbegäran mail.docx", "A 25652-2019")</f>
        <v/>
      </c>
    </row>
    <row r="35" ht="15" customHeight="1">
      <c r="A35" t="inlineStr">
        <is>
          <t>A 27311-2019</t>
        </is>
      </c>
      <c r="B35" s="1" t="n">
        <v>43616</v>
      </c>
      <c r="C35" s="1" t="n">
        <v>45565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Ängsmetallvinge</t>
        </is>
      </c>
      <c r="S35">
        <f>HYPERLINK("https://klasma.github.io/Logging_1780/artfynd/A 27311-2019 artfynd.xlsx", "A 27311-2019")</f>
        <v/>
      </c>
      <c r="T35">
        <f>HYPERLINK("https://klasma.github.io/Logging_1780/kartor/A 27311-2019 karta.png", "A 27311-2019")</f>
        <v/>
      </c>
      <c r="V35">
        <f>HYPERLINK("https://klasma.github.io/Logging_1780/klagomål/A 27311-2019 FSC-klagomål.docx", "A 27311-2019")</f>
        <v/>
      </c>
      <c r="W35">
        <f>HYPERLINK("https://klasma.github.io/Logging_1780/klagomålsmail/A 27311-2019 FSC-klagomål mail.docx", "A 27311-2019")</f>
        <v/>
      </c>
      <c r="X35">
        <f>HYPERLINK("https://klasma.github.io/Logging_1780/tillsyn/A 27311-2019 tillsynsbegäran.docx", "A 27311-2019")</f>
        <v/>
      </c>
      <c r="Y35">
        <f>HYPERLINK("https://klasma.github.io/Logging_1780/tillsynsmail/A 27311-2019 tillsynsbegäran mail.docx", "A 27311-2019")</f>
        <v/>
      </c>
    </row>
    <row r="36" ht="15" customHeight="1">
      <c r="A36" t="inlineStr">
        <is>
          <t>A 6299-2020</t>
        </is>
      </c>
      <c r="B36" s="1" t="n">
        <v>43866</v>
      </c>
      <c r="C36" s="1" t="n">
        <v>45565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HYPERLINK("https://klasma.github.io/Logging_1780/artfynd/A 6299-2020 artfynd.xlsx", "A 6299-2020")</f>
        <v/>
      </c>
      <c r="T36">
        <f>HYPERLINK("https://klasma.github.io/Logging_1780/kartor/A 6299-2020 karta.png", "A 6299-2020")</f>
        <v/>
      </c>
      <c r="V36">
        <f>HYPERLINK("https://klasma.github.io/Logging_1780/klagomål/A 6299-2020 FSC-klagomål.docx", "A 6299-2020")</f>
        <v/>
      </c>
      <c r="W36">
        <f>HYPERLINK("https://klasma.github.io/Logging_1780/klagomålsmail/A 6299-2020 FSC-klagomål mail.docx", "A 6299-2020")</f>
        <v/>
      </c>
      <c r="X36">
        <f>HYPERLINK("https://klasma.github.io/Logging_1780/tillsyn/A 6299-2020 tillsynsbegäran.docx", "A 6299-2020")</f>
        <v/>
      </c>
      <c r="Y36">
        <f>HYPERLINK("https://klasma.github.io/Logging_1780/tillsynsmail/A 6299-2020 tillsynsbegäran mail.docx", "A 6299-2020")</f>
        <v/>
      </c>
    </row>
    <row r="37" ht="15" customHeight="1">
      <c r="A37" t="inlineStr">
        <is>
          <t>A 18075-2020</t>
        </is>
      </c>
      <c r="B37" s="1" t="n">
        <v>43927</v>
      </c>
      <c r="C37" s="1" t="n">
        <v>45565</v>
      </c>
      <c r="D37" t="inlineStr">
        <is>
          <t>VÄRMLANDS LÄN</t>
        </is>
      </c>
      <c r="E37" t="inlineStr">
        <is>
          <t>KARLSTAD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18075-2020 artfynd.xlsx", "A 18075-2020")</f>
        <v/>
      </c>
      <c r="T37">
        <f>HYPERLINK("https://klasma.github.io/Logging_1780/kartor/A 18075-2020 karta.png", "A 18075-2020")</f>
        <v/>
      </c>
      <c r="V37">
        <f>HYPERLINK("https://klasma.github.io/Logging_1780/klagomål/A 18075-2020 FSC-klagomål.docx", "A 18075-2020")</f>
        <v/>
      </c>
      <c r="W37">
        <f>HYPERLINK("https://klasma.github.io/Logging_1780/klagomålsmail/A 18075-2020 FSC-klagomål mail.docx", "A 18075-2020")</f>
        <v/>
      </c>
      <c r="X37">
        <f>HYPERLINK("https://klasma.github.io/Logging_1780/tillsyn/A 18075-2020 tillsynsbegäran.docx", "A 18075-2020")</f>
        <v/>
      </c>
      <c r="Y37">
        <f>HYPERLINK("https://klasma.github.io/Logging_1780/tillsynsmail/A 18075-2020 tillsynsbegäran mail.docx", "A 18075-2020")</f>
        <v/>
      </c>
    </row>
    <row r="38" ht="15" customHeight="1">
      <c r="A38" t="inlineStr">
        <is>
          <t>A 28368-2020</t>
        </is>
      </c>
      <c r="B38" s="1" t="n">
        <v>43998</v>
      </c>
      <c r="C38" s="1" t="n">
        <v>45565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HYPERLINK("https://klasma.github.io/Logging_1780/artfynd/A 28368-2020 artfynd.xlsx", "A 28368-2020")</f>
        <v/>
      </c>
      <c r="T38">
        <f>HYPERLINK("https://klasma.github.io/Logging_1780/kartor/A 28368-2020 karta.png", "A 28368-2020")</f>
        <v/>
      </c>
      <c r="V38">
        <f>HYPERLINK("https://klasma.github.io/Logging_1780/klagomål/A 28368-2020 FSC-klagomål.docx", "A 28368-2020")</f>
        <v/>
      </c>
      <c r="W38">
        <f>HYPERLINK("https://klasma.github.io/Logging_1780/klagomålsmail/A 28368-2020 FSC-klagomål mail.docx", "A 28368-2020")</f>
        <v/>
      </c>
      <c r="X38">
        <f>HYPERLINK("https://klasma.github.io/Logging_1780/tillsyn/A 28368-2020 tillsynsbegäran.docx", "A 28368-2020")</f>
        <v/>
      </c>
      <c r="Y38">
        <f>HYPERLINK("https://klasma.github.io/Logging_1780/tillsynsmail/A 28368-2020 tillsynsbegäran mail.docx", "A 28368-2020")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45565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67928-2020</t>
        </is>
      </c>
      <c r="B40" s="1" t="n">
        <v>44182</v>
      </c>
      <c r="C40" s="1" t="n">
        <v>45565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HYPERLINK("https://klasma.github.io/Logging_1780/artfynd/A 67928-2020 artfynd.xlsx", "A 67928-2020")</f>
        <v/>
      </c>
      <c r="T40">
        <f>HYPERLINK("https://klasma.github.io/Logging_1780/kartor/A 67928-2020 karta.png", "A 67928-2020")</f>
        <v/>
      </c>
      <c r="V40">
        <f>HYPERLINK("https://klasma.github.io/Logging_1780/klagomål/A 67928-2020 FSC-klagomål.docx", "A 67928-2020")</f>
        <v/>
      </c>
      <c r="W40">
        <f>HYPERLINK("https://klasma.github.io/Logging_1780/klagomålsmail/A 67928-2020 FSC-klagomål mail.docx", "A 67928-2020")</f>
        <v/>
      </c>
      <c r="X40">
        <f>HYPERLINK("https://klasma.github.io/Logging_1780/tillsyn/A 67928-2020 tillsynsbegäran.docx", "A 67928-2020")</f>
        <v/>
      </c>
      <c r="Y40">
        <f>HYPERLINK("https://klasma.github.io/Logging_1780/tillsynsmail/A 67928-2020 tillsynsbegäran mail.docx", "A 67928-2020")</f>
        <v/>
      </c>
    </row>
    <row r="41" ht="15" customHeight="1">
      <c r="A41" t="inlineStr">
        <is>
          <t>A 2194-2021</t>
        </is>
      </c>
      <c r="B41" s="1" t="n">
        <v>44211</v>
      </c>
      <c r="C41" s="1" t="n">
        <v>45565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2194-2021 artfynd.xlsx", "A 2194-2021")</f>
        <v/>
      </c>
      <c r="T41">
        <f>HYPERLINK("https://klasma.github.io/Logging_1780/kartor/A 2194-2021 karta.png", "A 2194-2021")</f>
        <v/>
      </c>
      <c r="U41">
        <f>HYPERLINK("https://klasma.github.io/Logging_1780/knärot/A 2194-2021 karta knärot.png", "A 2194-2021")</f>
        <v/>
      </c>
      <c r="V41">
        <f>HYPERLINK("https://klasma.github.io/Logging_1780/klagomål/A 2194-2021 FSC-klagomål.docx", "A 2194-2021")</f>
        <v/>
      </c>
      <c r="W41">
        <f>HYPERLINK("https://klasma.github.io/Logging_1780/klagomålsmail/A 2194-2021 FSC-klagomål mail.docx", "A 2194-2021")</f>
        <v/>
      </c>
      <c r="X41">
        <f>HYPERLINK("https://klasma.github.io/Logging_1780/tillsyn/A 2194-2021 tillsynsbegäran.docx", "A 2194-2021")</f>
        <v/>
      </c>
      <c r="Y41">
        <f>HYPERLINK("https://klasma.github.io/Logging_1780/tillsynsmail/A 2194-2021 tillsynsbegäran mail.docx", "A 2194-2021")</f>
        <v/>
      </c>
    </row>
    <row r="42" ht="15" customHeight="1">
      <c r="A42" t="inlineStr">
        <is>
          <t>A 4799-2021</t>
        </is>
      </c>
      <c r="B42" s="1" t="n">
        <v>44225</v>
      </c>
      <c r="C42" s="1" t="n">
        <v>45565</v>
      </c>
      <c r="D42" t="inlineStr">
        <is>
          <t>VÄRMLANDS LÄN</t>
        </is>
      </c>
      <c r="E42" t="inlineStr">
        <is>
          <t>KARLSTAD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4799-2021 artfynd.xlsx", "A 4799-2021")</f>
        <v/>
      </c>
      <c r="T42">
        <f>HYPERLINK("https://klasma.github.io/Logging_1780/kartor/A 4799-2021 karta.png", "A 4799-2021")</f>
        <v/>
      </c>
      <c r="V42">
        <f>HYPERLINK("https://klasma.github.io/Logging_1780/klagomål/A 4799-2021 FSC-klagomål.docx", "A 4799-2021")</f>
        <v/>
      </c>
      <c r="W42">
        <f>HYPERLINK("https://klasma.github.io/Logging_1780/klagomålsmail/A 4799-2021 FSC-klagomål mail.docx", "A 4799-2021")</f>
        <v/>
      </c>
      <c r="X42">
        <f>HYPERLINK("https://klasma.github.io/Logging_1780/tillsyn/A 4799-2021 tillsynsbegäran.docx", "A 4799-2021")</f>
        <v/>
      </c>
      <c r="Y42">
        <f>HYPERLINK("https://klasma.github.io/Logging_1780/tillsynsmail/A 4799-2021 tillsynsbegäran mail.docx", "A 4799-2021")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45565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50825-2021</t>
        </is>
      </c>
      <c r="B44" s="1" t="n">
        <v>44460</v>
      </c>
      <c r="C44" s="1" t="n">
        <v>45565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HYPERLINK("https://klasma.github.io/Logging_1780/artfynd/A 50825-2021 artfynd.xlsx", "A 50825-2021")</f>
        <v/>
      </c>
      <c r="T44">
        <f>HYPERLINK("https://klasma.github.io/Logging_1780/kartor/A 50825-2021 karta.png", "A 50825-2021")</f>
        <v/>
      </c>
      <c r="V44">
        <f>HYPERLINK("https://klasma.github.io/Logging_1780/klagomål/A 50825-2021 FSC-klagomål.docx", "A 50825-2021")</f>
        <v/>
      </c>
      <c r="W44">
        <f>HYPERLINK("https://klasma.github.io/Logging_1780/klagomålsmail/A 50825-2021 FSC-klagomål mail.docx", "A 50825-2021")</f>
        <v/>
      </c>
      <c r="X44">
        <f>HYPERLINK("https://klasma.github.io/Logging_1780/tillsyn/A 50825-2021 tillsynsbegäran.docx", "A 50825-2021")</f>
        <v/>
      </c>
      <c r="Y44">
        <f>HYPERLINK("https://klasma.github.io/Logging_1780/tillsynsmail/A 50825-2021 tillsynsbegäran mail.docx", "A 50825-2021")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45565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45565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45565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45565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45565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45565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45565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45565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45565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45565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45565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45565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45565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45565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45565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45565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45565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45565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45565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45565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45565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45565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45565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45565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45565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45565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45565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45565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45565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45565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45565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45565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45565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45565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45565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45565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45565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45565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45565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45565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45565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45565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45565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45565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45565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45565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45565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45565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45565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45565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45565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45565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45565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45565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45565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45565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45565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45565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45565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45565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45565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45565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45565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45565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45565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45565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45565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45565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45565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45565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45565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45565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45565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45565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45565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45565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45565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45565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45565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45565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45565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45565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45565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45565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45565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45565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45565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45565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45565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45565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45565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45565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45565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45565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45565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45565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45565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45565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45565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45565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45565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45565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45565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45565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45565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45565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45565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45565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45565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45565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45565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45565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45565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45565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45565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45565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45565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45565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45565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45565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45565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45565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45565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45565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45565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45565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45565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45565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45565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45565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45565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45565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45565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45565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45565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45565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45565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45565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45565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45565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45565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45565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45565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45565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45565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45565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45565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45565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45565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45565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45565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45565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45565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45565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45565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45565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45565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45565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45565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45565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45565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45565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45565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45565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45565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45565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45565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45565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45565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45565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45565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45565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45565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45565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45565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45565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45565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45565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45565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45565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45565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45565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45565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45565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45565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45565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45565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45565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45565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45565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45565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45565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45565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45565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45565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45565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45565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45565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45565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45565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45565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45565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45565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45565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45565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45565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45565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45565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45565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45565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45565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45565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45565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45565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45565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45565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45565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45565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45565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45565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45565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45565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45565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45565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45565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45565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45565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45565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45565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45565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45565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45565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45565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45565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45565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45565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45565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45565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45565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45565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45565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45565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45565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45565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45565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45565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45565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45565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45565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45565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45565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45565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45565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45565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45565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45565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45565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45565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45565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45565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45565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45565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45565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45565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45565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45565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45565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45565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45565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45565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45565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45565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45565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45565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45565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45565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45565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45565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45565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45565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45565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45565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45565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45565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45565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45565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45565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45565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45565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45565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45565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45565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45565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45565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45565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45565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45565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45565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45565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45565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45565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45565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45565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45565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45565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45565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45565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45565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45565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45565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45565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45565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45565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45565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45565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45565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45565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45565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45565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45565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45565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45565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45565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45565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45565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45565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45565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45565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45565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45565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45565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45565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45565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45565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45565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45565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45565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45565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45565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45565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45565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45565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45565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45565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45565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45565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45565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45565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45565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45565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45565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45565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45565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45565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45565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45565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45565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45565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45565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45565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45565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45565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45565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45565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45565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45565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45565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45565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45565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45565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45565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45565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45565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45565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45565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45565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45565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45565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45565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45565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45565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45565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45565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45565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45565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45565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45565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45565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45565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45565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45565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45565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45565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45565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45565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45565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45565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45565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45565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45565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45565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45565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45565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45565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45565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45565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45565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45565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45565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45565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45565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45565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45565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45565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45565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45565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45565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45565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45565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45565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45565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45565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45565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45565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45565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45565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45565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45565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45565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45565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45565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45565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45565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45565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45565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45565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45565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45565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45565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45565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45565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45565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45565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45565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45565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45565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45565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45565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45565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45565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45565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45565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45565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45565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45565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45565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45565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45565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45565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45565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45565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45565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45565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45565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45565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45565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45565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45565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45565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45565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45565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45565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45565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45565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45565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45565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45565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45565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45565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45565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45565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45565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45565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45565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45565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45565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45565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45565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45565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45565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45565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45565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45565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45565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45565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45565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45565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45565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45565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45565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45565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45565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45565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45565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45565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45565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45565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45565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45565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45565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45565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45565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45565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45565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45565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45565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45565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45565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45565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45565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45565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45565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45565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45565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45565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45565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45565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45565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45565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45565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45565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45565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45565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45565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45565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45565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45565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45565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45565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45565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45565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45565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45565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45565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45565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45565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45565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45565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45565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45565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45565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45565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45565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45565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45565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45565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45565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45565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45565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45565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45565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45565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45565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45565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45565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45565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45565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45565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45565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45565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45565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45565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45565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45565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45565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45565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45565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45565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45565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45565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45565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45565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45565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45565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45565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45565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45565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45565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45565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45565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45565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45565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45565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45565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45565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45565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45565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45565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45565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45565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45565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45565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45565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45565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45565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45565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45565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45565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45565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45565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45565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45565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45565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45565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45565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45565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45565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45565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45565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45565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45565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45565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45565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45565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45565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45565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45565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45565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45565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45565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45565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45565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45565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45565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45565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45565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45565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45565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45565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45565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45565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45565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45565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45565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45565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45565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45565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45565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45565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45565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45565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45565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45565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45565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45565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45565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45565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45565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45565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45565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45565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45565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45565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45565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45565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45565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45565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45565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45565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45565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45565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45565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45565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45565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45565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45565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45565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45565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45565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45565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45565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45565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45565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45565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45565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45565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45565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45565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45565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45565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45565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45565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45565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45565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45565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45565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45565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45565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45565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45565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45565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45565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45565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45565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45565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45565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45565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45565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45565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45565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45565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45565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45565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45565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45565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45565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45565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45565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45565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45565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45565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45565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45565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45565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45565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45565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45565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45565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45565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45565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45565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45565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45565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45565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45565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45565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45565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45565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45565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45565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45565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45565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45565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45565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45565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45565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45565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45565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45565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45565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45565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45565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45565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45565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45565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45565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45565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45565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45565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45565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45565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45565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45565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45565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45565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45565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45565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45565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45565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45565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45565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45565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45565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45565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45565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45565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45565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45565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45565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45565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45565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45565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45565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45565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45565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45565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45565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45565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45565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45565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45565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45565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45565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45565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45565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45565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45565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45565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45565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45565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45565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45565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45565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45565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45565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45565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45565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45565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45565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45565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45565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45565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45565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45565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45565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45565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45565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45565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45565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45565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45565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45565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45565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45565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45565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45565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45565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45565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45565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45565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45565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45565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45565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45565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45565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45565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45565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45565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45565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45565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45565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45565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45565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45565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45565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45565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45565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45565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45565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45565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45565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45565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45565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45565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45565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45565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45565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45565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45565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45565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45565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45565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45565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45565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45565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45565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45565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45565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45565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45565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45565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45565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45565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45565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45565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45565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45565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45565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45565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45565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45565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45565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45565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45565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45565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45565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45565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45565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45565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45565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45565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45565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45565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45565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45565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45565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45565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45565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45565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45565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45565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45565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45565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45565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45565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45565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45565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45565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45565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45565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45565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45565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45565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45565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45565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45565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45565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45565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45565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45565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45565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45565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45565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45565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45565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45565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45565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45565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45565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45565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45565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45565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45565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45565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45565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45565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45565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45565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45565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45565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45565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45565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45565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45565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45565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45565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45565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45565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45565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45565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45565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45565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45565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29939-2024</t>
        </is>
      </c>
      <c r="B998" s="1" t="n">
        <v>45488</v>
      </c>
      <c r="C998" s="1" t="n">
        <v>45565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31744-2024</t>
        </is>
      </c>
      <c r="B999" s="1" t="n">
        <v>45509</v>
      </c>
      <c r="C999" s="1" t="n">
        <v>45565</v>
      </c>
      <c r="D999" t="inlineStr">
        <is>
          <t>VÄRMLANDS LÄN</t>
        </is>
      </c>
      <c r="E999" t="inlineStr">
        <is>
          <t>KARLSTAD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31986-2024</t>
        </is>
      </c>
      <c r="B1000" s="1" t="n">
        <v>45510</v>
      </c>
      <c r="C1000" s="1" t="n">
        <v>45565</v>
      </c>
      <c r="D1000" t="inlineStr">
        <is>
          <t>VÄRMLANDS LÄN</t>
        </is>
      </c>
      <c r="E1000" t="inlineStr">
        <is>
          <t>KARLSTAD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32369-2024</t>
        </is>
      </c>
      <c r="B1001" s="1" t="n">
        <v>45512</v>
      </c>
      <c r="C1001" s="1" t="n">
        <v>45565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32562-2024</t>
        </is>
      </c>
      <c r="B1002" s="1" t="n">
        <v>45513</v>
      </c>
      <c r="C1002" s="1" t="n">
        <v>45565</v>
      </c>
      <c r="D1002" t="inlineStr">
        <is>
          <t>VÄRMLANDS LÄN</t>
        </is>
      </c>
      <c r="E1002" t="inlineStr">
        <is>
          <t>KARLSTAD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32539-2024</t>
        </is>
      </c>
      <c r="B1003" s="1" t="n">
        <v>45513</v>
      </c>
      <c r="C1003" s="1" t="n">
        <v>45565</v>
      </c>
      <c r="D1003" t="inlineStr">
        <is>
          <t>VÄRMLANDS LÄN</t>
        </is>
      </c>
      <c r="E1003" t="inlineStr">
        <is>
          <t>KARLSTAD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33804-2024</t>
        </is>
      </c>
      <c r="B1004" s="1" t="n">
        <v>45520</v>
      </c>
      <c r="C1004" s="1" t="n">
        <v>45565</v>
      </c>
      <c r="D1004" t="inlineStr">
        <is>
          <t>VÄRMLANDS LÄN</t>
        </is>
      </c>
      <c r="E1004" t="inlineStr">
        <is>
          <t>KARLSTAD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33809-2024</t>
        </is>
      </c>
      <c r="B1005" s="1" t="n">
        <v>45520</v>
      </c>
      <c r="C1005" s="1" t="n">
        <v>45565</v>
      </c>
      <c r="D1005" t="inlineStr">
        <is>
          <t>VÄRMLANDS LÄN</t>
        </is>
      </c>
      <c r="E1005" t="inlineStr">
        <is>
          <t>KARLSTAD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33807-2024</t>
        </is>
      </c>
      <c r="B1006" s="1" t="n">
        <v>45520</v>
      </c>
      <c r="C1006" s="1" t="n">
        <v>45565</v>
      </c>
      <c r="D1006" t="inlineStr">
        <is>
          <t>VÄRMLANDS LÄN</t>
        </is>
      </c>
      <c r="E1006" t="inlineStr">
        <is>
          <t>KARLSTAD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33942-2024</t>
        </is>
      </c>
      <c r="B1007" s="1" t="n">
        <v>45523</v>
      </c>
      <c r="C1007" s="1" t="n">
        <v>45565</v>
      </c>
      <c r="D1007" t="inlineStr">
        <is>
          <t>VÄRMLANDS LÄN</t>
        </is>
      </c>
      <c r="E1007" t="inlineStr">
        <is>
          <t>KARLSTAD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34321-2024</t>
        </is>
      </c>
      <c r="B1008" s="1" t="n">
        <v>45524</v>
      </c>
      <c r="C1008" s="1" t="n">
        <v>45565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34335-2024</t>
        </is>
      </c>
      <c r="B1009" s="1" t="n">
        <v>45525</v>
      </c>
      <c r="C1009" s="1" t="n">
        <v>45565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34334-2024</t>
        </is>
      </c>
      <c r="B1010" s="1" t="n">
        <v>45525</v>
      </c>
      <c r="C1010" s="1" t="n">
        <v>45565</v>
      </c>
      <c r="D1010" t="inlineStr">
        <is>
          <t>VÄRMLANDS LÄN</t>
        </is>
      </c>
      <c r="E1010" t="inlineStr">
        <is>
          <t>KARLSTAD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35525-2024</t>
        </is>
      </c>
      <c r="B1011" s="1" t="n">
        <v>45531</v>
      </c>
      <c r="C1011" s="1" t="n">
        <v>45565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36072-2024</t>
        </is>
      </c>
      <c r="B1012" s="1" t="n">
        <v>45533</v>
      </c>
      <c r="C1012" s="1" t="n">
        <v>45565</v>
      </c>
      <c r="D1012" t="inlineStr">
        <is>
          <t>VÄRMLANDS LÄN</t>
        </is>
      </c>
      <c r="E1012" t="inlineStr">
        <is>
          <t>KARLSTAD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36118-2024</t>
        </is>
      </c>
      <c r="B1013" s="1" t="n">
        <v>45534</v>
      </c>
      <c r="C1013" s="1" t="n">
        <v>45565</v>
      </c>
      <c r="D1013" t="inlineStr">
        <is>
          <t>VÄRMLANDS LÄN</t>
        </is>
      </c>
      <c r="E1013" t="inlineStr">
        <is>
          <t>KARLSTAD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37102-2024</t>
        </is>
      </c>
      <c r="B1014" s="1" t="n">
        <v>45539</v>
      </c>
      <c r="C1014" s="1" t="n">
        <v>45565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37701-2024</t>
        </is>
      </c>
      <c r="B1015" s="1" t="n">
        <v>45541</v>
      </c>
      <c r="C1015" s="1" t="n">
        <v>45565</v>
      </c>
      <c r="D1015" t="inlineStr">
        <is>
          <t>VÄRMLANDS LÄN</t>
        </is>
      </c>
      <c r="E1015" t="inlineStr">
        <is>
          <t>KARLSTAD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37982-2024</t>
        </is>
      </c>
      <c r="B1016" s="1" t="n">
        <v>45544</v>
      </c>
      <c r="C1016" s="1" t="n">
        <v>45565</v>
      </c>
      <c r="D1016" t="inlineStr">
        <is>
          <t>VÄRMLANDS LÄN</t>
        </is>
      </c>
      <c r="E1016" t="inlineStr">
        <is>
          <t>KARLSTAD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38215-2024</t>
        </is>
      </c>
      <c r="B1017" s="1" t="n">
        <v>45545</v>
      </c>
      <c r="C1017" s="1" t="n">
        <v>45565</v>
      </c>
      <c r="D1017" t="inlineStr">
        <is>
          <t>VÄRMLANDS LÄN</t>
        </is>
      </c>
      <c r="E1017" t="inlineStr">
        <is>
          <t>KARLSTAD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38495-2024</t>
        </is>
      </c>
      <c r="B1018" s="1" t="n">
        <v>45546</v>
      </c>
      <c r="C1018" s="1" t="n">
        <v>45565</v>
      </c>
      <c r="D1018" t="inlineStr">
        <is>
          <t>VÄRMLANDS LÄN</t>
        </is>
      </c>
      <c r="E1018" t="inlineStr">
        <is>
          <t>KARLSTAD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38561-2024</t>
        </is>
      </c>
      <c r="B1019" s="1" t="n">
        <v>45546</v>
      </c>
      <c r="C1019" s="1" t="n">
        <v>45565</v>
      </c>
      <c r="D1019" t="inlineStr">
        <is>
          <t>VÄRMLANDS LÄN</t>
        </is>
      </c>
      <c r="E1019" t="inlineStr">
        <is>
          <t>KARLSTAD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38469-2024</t>
        </is>
      </c>
      <c r="B1020" s="1" t="n">
        <v>45546</v>
      </c>
      <c r="C1020" s="1" t="n">
        <v>45565</v>
      </c>
      <c r="D1020" t="inlineStr">
        <is>
          <t>VÄRMLANDS LÄN</t>
        </is>
      </c>
      <c r="E1020" t="inlineStr">
        <is>
          <t>KARLSTAD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39038-2024</t>
        </is>
      </c>
      <c r="B1021" s="1" t="n">
        <v>45548</v>
      </c>
      <c r="C1021" s="1" t="n">
        <v>45565</v>
      </c>
      <c r="D1021" t="inlineStr">
        <is>
          <t>VÄRMLANDS LÄN</t>
        </is>
      </c>
      <c r="E1021" t="inlineStr">
        <is>
          <t>KARLSTAD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39504-2024</t>
        </is>
      </c>
      <c r="B1022" s="1" t="n">
        <v>45551</v>
      </c>
      <c r="C1022" s="1" t="n">
        <v>45565</v>
      </c>
      <c r="D1022" t="inlineStr">
        <is>
          <t>VÄRMLANDS LÄN</t>
        </is>
      </c>
      <c r="E1022" t="inlineStr">
        <is>
          <t>KARLSTAD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39555-2024</t>
        </is>
      </c>
      <c r="B1023" s="1" t="n">
        <v>45551</v>
      </c>
      <c r="C1023" s="1" t="n">
        <v>45565</v>
      </c>
      <c r="D1023" t="inlineStr">
        <is>
          <t>VÄRMLANDS LÄN</t>
        </is>
      </c>
      <c r="E1023" t="inlineStr">
        <is>
          <t>KARLSTAD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39792-2024</t>
        </is>
      </c>
      <c r="B1024" s="1" t="n">
        <v>45553</v>
      </c>
      <c r="C1024" s="1" t="n">
        <v>45565</v>
      </c>
      <c r="D1024" t="inlineStr">
        <is>
          <t>VÄRMLANDS LÄN</t>
        </is>
      </c>
      <c r="E1024" t="inlineStr">
        <is>
          <t>KARLSTAD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39796-2024</t>
        </is>
      </c>
      <c r="B1025" s="1" t="n">
        <v>45553</v>
      </c>
      <c r="C1025" s="1" t="n">
        <v>45565</v>
      </c>
      <c r="D1025" t="inlineStr">
        <is>
          <t>VÄRMLANDS LÄN</t>
        </is>
      </c>
      <c r="E1025" t="inlineStr">
        <is>
          <t>KARLSTAD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39795-2024</t>
        </is>
      </c>
      <c r="B1026" s="1" t="n">
        <v>45553</v>
      </c>
      <c r="C1026" s="1" t="n">
        <v>45565</v>
      </c>
      <c r="D1026" t="inlineStr">
        <is>
          <t>VÄRMLANDS LÄN</t>
        </is>
      </c>
      <c r="E1026" t="inlineStr">
        <is>
          <t>KARLSTAD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39886-2024</t>
        </is>
      </c>
      <c r="B1027" s="1" t="n">
        <v>45553</v>
      </c>
      <c r="C1027" s="1" t="n">
        <v>45565</v>
      </c>
      <c r="D1027" t="inlineStr">
        <is>
          <t>VÄRMLANDS LÄN</t>
        </is>
      </c>
      <c r="E1027" t="inlineStr">
        <is>
          <t>KARLSTAD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41376-2024</t>
        </is>
      </c>
      <c r="B1028" s="1" t="n">
        <v>45559</v>
      </c>
      <c r="C1028" s="1" t="n">
        <v>45565</v>
      </c>
      <c r="D1028" t="inlineStr">
        <is>
          <t>VÄRMLANDS LÄN</t>
        </is>
      </c>
      <c r="E1028" t="inlineStr">
        <is>
          <t>KARLSTAD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41491-2024</t>
        </is>
      </c>
      <c r="B1029" s="1" t="n">
        <v>45560</v>
      </c>
      <c r="C1029" s="1" t="n">
        <v>45565</v>
      </c>
      <c r="D1029" t="inlineStr">
        <is>
          <t>VÄRMLANDS LÄN</t>
        </is>
      </c>
      <c r="E1029" t="inlineStr">
        <is>
          <t>KARLSTAD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41457-2024</t>
        </is>
      </c>
      <c r="B1030" s="1" t="n">
        <v>45560</v>
      </c>
      <c r="C1030" s="1" t="n">
        <v>45565</v>
      </c>
      <c r="D1030" t="inlineStr">
        <is>
          <t>VÄRMLANDS LÄN</t>
        </is>
      </c>
      <c r="E1030" t="inlineStr">
        <is>
          <t>KARLSTAD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41514-2024</t>
        </is>
      </c>
      <c r="B1031" s="1" t="n">
        <v>45560</v>
      </c>
      <c r="C1031" s="1" t="n">
        <v>45565</v>
      </c>
      <c r="D1031" t="inlineStr">
        <is>
          <t>VÄRMLANDS LÄN</t>
        </is>
      </c>
      <c r="E1031" t="inlineStr">
        <is>
          <t>KARLSTAD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41654-2024</t>
        </is>
      </c>
      <c r="B1032" s="1" t="n">
        <v>45560</v>
      </c>
      <c r="C1032" s="1" t="n">
        <v>45565</v>
      </c>
      <c r="D1032" t="inlineStr">
        <is>
          <t>VÄRMLANDS LÄN</t>
        </is>
      </c>
      <c r="E1032" t="inlineStr">
        <is>
          <t>KARLSTAD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2024-09-30T16:48:43Z</dcterms:created>
  <dcterms:modified xmlns:dcterms="http://purl.org/dc/terms/" xmlns:xsi="http://www.w3.org/2001/XMLSchema-instance" xsi:type="dcterms:W3CDTF">2024-09-30T16:48:44Z</dcterms:modified>
</cp:coreProperties>
</file>