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45568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45568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45568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45568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45568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45568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45568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45568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45568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45568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45568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45568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45568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45568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45568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45568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45568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45568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45568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45568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45568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45568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45568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45568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45568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45568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20765-2022</t>
        </is>
      </c>
      <c r="B28" s="1" t="n">
        <v>44701</v>
      </c>
      <c r="C28" s="1" t="n">
        <v>45568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3.4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Mattlummer</t>
        </is>
      </c>
      <c r="S28">
        <f>HYPERLINK("https://klasma.github.io/Logging_1780/artfynd/A 20765-2022 artfynd.xlsx", "A 20765-2022")</f>
        <v/>
      </c>
      <c r="T28">
        <f>HYPERLINK("https://klasma.github.io/Logging_1780/kartor/A 20765-2022 karta.png", "A 20765-2022")</f>
        <v/>
      </c>
      <c r="V28">
        <f>HYPERLINK("https://klasma.github.io/Logging_1780/klagomål/A 20765-2022 FSC-klagomål.docx", "A 20765-2022")</f>
        <v/>
      </c>
      <c r="W28">
        <f>HYPERLINK("https://klasma.github.io/Logging_1780/klagomålsmail/A 20765-2022 FSC-klagomål mail.docx", "A 20765-2022")</f>
        <v/>
      </c>
      <c r="X28">
        <f>HYPERLINK("https://klasma.github.io/Logging_1780/tillsyn/A 20765-2022 tillsynsbegäran.docx", "A 20765-2022")</f>
        <v/>
      </c>
      <c r="Y28">
        <f>HYPERLINK("https://klasma.github.io/Logging_1780/tillsynsmail/A 20765-2022 tillsynsbegäran mail.docx", "A 20765-2022")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45568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41507-2023</t>
        </is>
      </c>
      <c r="B30" s="1" t="n">
        <v>45175</v>
      </c>
      <c r="C30" s="1" t="n">
        <v>45568</v>
      </c>
      <c r="D30" t="inlineStr">
        <is>
          <t>VÄRMLANDS LÄN</t>
        </is>
      </c>
      <c r="E30" t="inlineStr">
        <is>
          <t>KARLSTAD</t>
        </is>
      </c>
      <c r="G30" t="n">
        <v>11.4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Thomsons trägnagare</t>
        </is>
      </c>
      <c r="S30">
        <f>HYPERLINK("https://klasma.github.io/Logging_1780/artfynd/A 41507-2023 artfynd.xlsx", "A 41507-2023")</f>
        <v/>
      </c>
      <c r="T30">
        <f>HYPERLINK("https://klasma.github.io/Logging_1780/kartor/A 41507-2023 karta.png", "A 41507-2023")</f>
        <v/>
      </c>
      <c r="V30">
        <f>HYPERLINK("https://klasma.github.io/Logging_1780/klagomål/A 41507-2023 FSC-klagomål.docx", "A 41507-2023")</f>
        <v/>
      </c>
      <c r="W30">
        <f>HYPERLINK("https://klasma.github.io/Logging_1780/klagomålsmail/A 41507-2023 FSC-klagomål mail.docx", "A 41507-2023")</f>
        <v/>
      </c>
      <c r="X30">
        <f>HYPERLINK("https://klasma.github.io/Logging_1780/tillsyn/A 41507-2023 tillsynsbegäran.docx", "A 41507-2023")</f>
        <v/>
      </c>
      <c r="Y30">
        <f>HYPERLINK("https://klasma.github.io/Logging_1780/tillsynsmail/A 41507-2023 tillsynsbegäran mail.docx", "A 41507-2023")</f>
        <v/>
      </c>
    </row>
    <row r="31" ht="15" customHeight="1">
      <c r="A31" t="inlineStr">
        <is>
          <t>A 4296-2024</t>
        </is>
      </c>
      <c r="B31" s="1" t="n">
        <v>45324</v>
      </c>
      <c r="C31" s="1" t="n">
        <v>45568</v>
      </c>
      <c r="D31" t="inlineStr">
        <is>
          <t>VÄRMLANDS LÄN</t>
        </is>
      </c>
      <c r="E31" t="inlineStr">
        <is>
          <t>KARLSTAD</t>
        </is>
      </c>
      <c r="G31" t="n">
        <v>7.1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Spillkråka</t>
        </is>
      </c>
      <c r="S31">
        <f>HYPERLINK("https://klasma.github.io/Logging_1780/artfynd/A 4296-2024 artfynd.xlsx", "A 4296-2024")</f>
        <v/>
      </c>
      <c r="T31">
        <f>HYPERLINK("https://klasma.github.io/Logging_1780/kartor/A 4296-2024 karta.png", "A 4296-2024")</f>
        <v/>
      </c>
      <c r="V31">
        <f>HYPERLINK("https://klasma.github.io/Logging_1780/klagomål/A 4296-2024 FSC-klagomål.docx", "A 4296-2024")</f>
        <v/>
      </c>
      <c r="W31">
        <f>HYPERLINK("https://klasma.github.io/Logging_1780/klagomålsmail/A 4296-2024 FSC-klagomål mail.docx", "A 4296-2024")</f>
        <v/>
      </c>
      <c r="X31">
        <f>HYPERLINK("https://klasma.github.io/Logging_1780/tillsyn/A 4296-2024 tillsynsbegäran.docx", "A 4296-2024")</f>
        <v/>
      </c>
      <c r="Y31">
        <f>HYPERLINK("https://klasma.github.io/Logging_1780/tillsynsmail/A 4296-2024 tillsynsbegäran mail.docx", "A 4296-2024")</f>
        <v/>
      </c>
      <c r="Z31">
        <f>HYPERLINK("https://klasma.github.io/Logging_1780/fåglar/A 4296-2024 prioriterade fågelarter.docx", "A 4296-2024")</f>
        <v/>
      </c>
    </row>
    <row r="32" ht="15" customHeight="1">
      <c r="A32" t="inlineStr">
        <is>
          <t>A 19133-2024</t>
        </is>
      </c>
      <c r="B32" s="1" t="n">
        <v>45428</v>
      </c>
      <c r="C32" s="1" t="n">
        <v>45568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HYPERLINK("https://klasma.github.io/Logging_1780/artfynd/A 19133-2024 artfynd.xlsx", "A 19133-2024")</f>
        <v/>
      </c>
      <c r="T32">
        <f>HYPERLINK("https://klasma.github.io/Logging_1780/kartor/A 19133-2024 karta.png", "A 19133-2024")</f>
        <v/>
      </c>
      <c r="U32">
        <f>HYPERLINK("https://klasma.github.io/Logging_1780/knärot/A 19133-2024 karta knärot.png", "A 19133-2024")</f>
        <v/>
      </c>
      <c r="V32">
        <f>HYPERLINK("https://klasma.github.io/Logging_1780/klagomål/A 19133-2024 FSC-klagomål.docx", "A 19133-2024")</f>
        <v/>
      </c>
      <c r="W32">
        <f>HYPERLINK("https://klasma.github.io/Logging_1780/klagomålsmail/A 19133-2024 FSC-klagomål mail.docx", "A 19133-2024")</f>
        <v/>
      </c>
      <c r="X32">
        <f>HYPERLINK("https://klasma.github.io/Logging_1780/tillsyn/A 19133-2024 tillsynsbegäran.docx", "A 19133-2024")</f>
        <v/>
      </c>
      <c r="Y32">
        <f>HYPERLINK("https://klasma.github.io/Logging_1780/tillsynsmail/A 19133-2024 tillsynsbegäran mail.docx", "A 19133-2024")</f>
        <v/>
      </c>
    </row>
    <row r="33" ht="15" customHeight="1">
      <c r="A33" t="inlineStr">
        <is>
          <t>A 18838-2019</t>
        </is>
      </c>
      <c r="B33" s="1" t="n">
        <v>43563</v>
      </c>
      <c r="C33" s="1" t="n">
        <v>45568</v>
      </c>
      <c r="D33" t="inlineStr">
        <is>
          <t>VÄRMLANDS LÄN</t>
        </is>
      </c>
      <c r="E33" t="inlineStr">
        <is>
          <t>KARLSTAD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HYPERLINK("https://klasma.github.io/Logging_1780/artfynd/A 18838-2019 artfynd.xlsx", "A 18838-2019")</f>
        <v/>
      </c>
      <c r="T33">
        <f>HYPERLINK("https://klasma.github.io/Logging_1780/kartor/A 18838-2019 karta.png", "A 18838-2019")</f>
        <v/>
      </c>
      <c r="V33">
        <f>HYPERLINK("https://klasma.github.io/Logging_1780/klagomål/A 18838-2019 FSC-klagomål.docx", "A 18838-2019")</f>
        <v/>
      </c>
      <c r="W33">
        <f>HYPERLINK("https://klasma.github.io/Logging_1780/klagomålsmail/A 18838-2019 FSC-klagomål mail.docx", "A 18838-2019")</f>
        <v/>
      </c>
      <c r="X33">
        <f>HYPERLINK("https://klasma.github.io/Logging_1780/tillsyn/A 18838-2019 tillsynsbegäran.docx", "A 18838-2019")</f>
        <v/>
      </c>
      <c r="Y33">
        <f>HYPERLINK("https://klasma.github.io/Logging_1780/tillsynsmail/A 18838-2019 tillsynsbegäran mail.docx", "A 18838-2019")</f>
        <v/>
      </c>
    </row>
    <row r="34" ht="15" customHeight="1">
      <c r="A34" t="inlineStr">
        <is>
          <t>A 22914-2019</t>
        </is>
      </c>
      <c r="B34" s="1" t="n">
        <v>43591</v>
      </c>
      <c r="C34" s="1" t="n">
        <v>45568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HYPERLINK("https://klasma.github.io/Logging_1780/artfynd/A 22914-2019 artfynd.xlsx", "A 22914-2019")</f>
        <v/>
      </c>
      <c r="T34">
        <f>HYPERLINK("https://klasma.github.io/Logging_1780/kartor/A 22914-2019 karta.png", "A 22914-2019")</f>
        <v/>
      </c>
      <c r="V34">
        <f>HYPERLINK("https://klasma.github.io/Logging_1780/klagomål/A 22914-2019 FSC-klagomål.docx", "A 22914-2019")</f>
        <v/>
      </c>
      <c r="W34">
        <f>HYPERLINK("https://klasma.github.io/Logging_1780/klagomålsmail/A 22914-2019 FSC-klagomål mail.docx", "A 22914-2019")</f>
        <v/>
      </c>
      <c r="X34">
        <f>HYPERLINK("https://klasma.github.io/Logging_1780/tillsyn/A 22914-2019 tillsynsbegäran.docx", "A 22914-2019")</f>
        <v/>
      </c>
      <c r="Y34">
        <f>HYPERLINK("https://klasma.github.io/Logging_1780/tillsynsmail/A 22914-2019 tillsynsbegäran mail.docx", "A 22914-2019")</f>
        <v/>
      </c>
      <c r="Z34">
        <f>HYPERLINK("https://klasma.github.io/Logging_1780/fåglar/A 22914-2019 prioriterade fågelarter.docx", "A 22914-2019")</f>
        <v/>
      </c>
    </row>
    <row r="35" ht="15" customHeight="1">
      <c r="A35" t="inlineStr">
        <is>
          <t>A 25652-2019</t>
        </is>
      </c>
      <c r="B35" s="1" t="n">
        <v>43607</v>
      </c>
      <c r="C35" s="1" t="n">
        <v>45568</v>
      </c>
      <c r="D35" t="inlineStr">
        <is>
          <t>VÄRMLANDS LÄN</t>
        </is>
      </c>
      <c r="E35" t="inlineStr">
        <is>
          <t>KARLSTAD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HYPERLINK("https://klasma.github.io/Logging_1780/artfynd/A 25652-2019 artfynd.xlsx", "A 25652-2019")</f>
        <v/>
      </c>
      <c r="T35">
        <f>HYPERLINK("https://klasma.github.io/Logging_1780/kartor/A 25652-2019 karta.png", "A 25652-2019")</f>
        <v/>
      </c>
      <c r="V35">
        <f>HYPERLINK("https://klasma.github.io/Logging_1780/klagomål/A 25652-2019 FSC-klagomål.docx", "A 25652-2019")</f>
        <v/>
      </c>
      <c r="W35">
        <f>HYPERLINK("https://klasma.github.io/Logging_1780/klagomålsmail/A 25652-2019 FSC-klagomål mail.docx", "A 25652-2019")</f>
        <v/>
      </c>
      <c r="X35">
        <f>HYPERLINK("https://klasma.github.io/Logging_1780/tillsyn/A 25652-2019 tillsynsbegäran.docx", "A 25652-2019")</f>
        <v/>
      </c>
      <c r="Y35">
        <f>HYPERLINK("https://klasma.github.io/Logging_1780/tillsynsmail/A 25652-2019 tillsynsbegäran mail.docx", "A 25652-2019")</f>
        <v/>
      </c>
    </row>
    <row r="36" ht="15" customHeight="1">
      <c r="A36" t="inlineStr">
        <is>
          <t>A 27311-2019</t>
        </is>
      </c>
      <c r="B36" s="1" t="n">
        <v>43616</v>
      </c>
      <c r="C36" s="1" t="n">
        <v>45568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Ängsmetallvinge</t>
        </is>
      </c>
      <c r="S36">
        <f>HYPERLINK("https://klasma.github.io/Logging_1780/artfynd/A 27311-2019 artfynd.xlsx", "A 27311-2019")</f>
        <v/>
      </c>
      <c r="T36">
        <f>HYPERLINK("https://klasma.github.io/Logging_1780/kartor/A 27311-2019 karta.png", "A 27311-2019")</f>
        <v/>
      </c>
      <c r="V36">
        <f>HYPERLINK("https://klasma.github.io/Logging_1780/klagomål/A 27311-2019 FSC-klagomål.docx", "A 27311-2019")</f>
        <v/>
      </c>
      <c r="W36">
        <f>HYPERLINK("https://klasma.github.io/Logging_1780/klagomålsmail/A 27311-2019 FSC-klagomål mail.docx", "A 27311-2019")</f>
        <v/>
      </c>
      <c r="X36">
        <f>HYPERLINK("https://klasma.github.io/Logging_1780/tillsyn/A 27311-2019 tillsynsbegäran.docx", "A 27311-2019")</f>
        <v/>
      </c>
      <c r="Y36">
        <f>HYPERLINK("https://klasma.github.io/Logging_1780/tillsynsmail/A 27311-2019 tillsynsbegäran mail.docx", "A 27311-2019")</f>
        <v/>
      </c>
    </row>
    <row r="37" ht="15" customHeight="1">
      <c r="A37" t="inlineStr">
        <is>
          <t>A 6299-2020</t>
        </is>
      </c>
      <c r="B37" s="1" t="n">
        <v>43866</v>
      </c>
      <c r="C37" s="1" t="n">
        <v>45568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HYPERLINK("https://klasma.github.io/Logging_1780/artfynd/A 6299-2020 artfynd.xlsx", "A 6299-2020")</f>
        <v/>
      </c>
      <c r="T37">
        <f>HYPERLINK("https://klasma.github.io/Logging_1780/kartor/A 6299-2020 karta.png", "A 6299-2020")</f>
        <v/>
      </c>
      <c r="V37">
        <f>HYPERLINK("https://klasma.github.io/Logging_1780/klagomål/A 6299-2020 FSC-klagomål.docx", "A 6299-2020")</f>
        <v/>
      </c>
      <c r="W37">
        <f>HYPERLINK("https://klasma.github.io/Logging_1780/klagomålsmail/A 6299-2020 FSC-klagomål mail.docx", "A 6299-2020")</f>
        <v/>
      </c>
      <c r="X37">
        <f>HYPERLINK("https://klasma.github.io/Logging_1780/tillsyn/A 6299-2020 tillsynsbegäran.docx", "A 6299-2020")</f>
        <v/>
      </c>
      <c r="Y37">
        <f>HYPERLINK("https://klasma.github.io/Logging_1780/tillsynsmail/A 6299-2020 tillsynsbegäran mail.docx", "A 6299-2020")</f>
        <v/>
      </c>
    </row>
    <row r="38" ht="15" customHeight="1">
      <c r="A38" t="inlineStr">
        <is>
          <t>A 18075-2020</t>
        </is>
      </c>
      <c r="B38" s="1" t="n">
        <v>43927</v>
      </c>
      <c r="C38" s="1" t="n">
        <v>45568</v>
      </c>
      <c r="D38" t="inlineStr">
        <is>
          <t>VÄRMLANDS LÄN</t>
        </is>
      </c>
      <c r="E38" t="inlineStr">
        <is>
          <t>KARLSTAD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18075-2020 artfynd.xlsx", "A 18075-2020")</f>
        <v/>
      </c>
      <c r="T38">
        <f>HYPERLINK("https://klasma.github.io/Logging_1780/kartor/A 18075-2020 karta.png", "A 18075-2020")</f>
        <v/>
      </c>
      <c r="V38">
        <f>HYPERLINK("https://klasma.github.io/Logging_1780/klagomål/A 18075-2020 FSC-klagomål.docx", "A 18075-2020")</f>
        <v/>
      </c>
      <c r="W38">
        <f>HYPERLINK("https://klasma.github.io/Logging_1780/klagomålsmail/A 18075-2020 FSC-klagomål mail.docx", "A 18075-2020")</f>
        <v/>
      </c>
      <c r="X38">
        <f>HYPERLINK("https://klasma.github.io/Logging_1780/tillsyn/A 18075-2020 tillsynsbegäran.docx", "A 18075-2020")</f>
        <v/>
      </c>
      <c r="Y38">
        <f>HYPERLINK("https://klasma.github.io/Logging_1780/tillsynsmail/A 18075-2020 tillsynsbegäran mail.docx", "A 18075-2020")</f>
        <v/>
      </c>
    </row>
    <row r="39" ht="15" customHeight="1">
      <c r="A39" t="inlineStr">
        <is>
          <t>A 28368-2020</t>
        </is>
      </c>
      <c r="B39" s="1" t="n">
        <v>43998</v>
      </c>
      <c r="C39" s="1" t="n">
        <v>45568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HYPERLINK("https://klasma.github.io/Logging_1780/artfynd/A 28368-2020 artfynd.xlsx", "A 28368-2020")</f>
        <v/>
      </c>
      <c r="T39">
        <f>HYPERLINK("https://klasma.github.io/Logging_1780/kartor/A 28368-2020 karta.png", "A 28368-2020")</f>
        <v/>
      </c>
      <c r="V39">
        <f>HYPERLINK("https://klasma.github.io/Logging_1780/klagomål/A 28368-2020 FSC-klagomål.docx", "A 28368-2020")</f>
        <v/>
      </c>
      <c r="W39">
        <f>HYPERLINK("https://klasma.github.io/Logging_1780/klagomålsmail/A 28368-2020 FSC-klagomål mail.docx", "A 28368-2020")</f>
        <v/>
      </c>
      <c r="X39">
        <f>HYPERLINK("https://klasma.github.io/Logging_1780/tillsyn/A 28368-2020 tillsynsbegäran.docx", "A 28368-2020")</f>
        <v/>
      </c>
      <c r="Y39">
        <f>HYPERLINK("https://klasma.github.io/Logging_1780/tillsynsmail/A 28368-2020 tillsynsbegäran mail.docx", "A 28368-2020")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45568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67928-2020</t>
        </is>
      </c>
      <c r="B41" s="1" t="n">
        <v>44182</v>
      </c>
      <c r="C41" s="1" t="n">
        <v>45568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HYPERLINK("https://klasma.github.io/Logging_1780/artfynd/A 67928-2020 artfynd.xlsx", "A 67928-2020")</f>
        <v/>
      </c>
      <c r="T41">
        <f>HYPERLINK("https://klasma.github.io/Logging_1780/kartor/A 67928-2020 karta.png", "A 67928-2020")</f>
        <v/>
      </c>
      <c r="V41">
        <f>HYPERLINK("https://klasma.github.io/Logging_1780/klagomål/A 67928-2020 FSC-klagomål.docx", "A 67928-2020")</f>
        <v/>
      </c>
      <c r="W41">
        <f>HYPERLINK("https://klasma.github.io/Logging_1780/klagomålsmail/A 67928-2020 FSC-klagomål mail.docx", "A 67928-2020")</f>
        <v/>
      </c>
      <c r="X41">
        <f>HYPERLINK("https://klasma.github.io/Logging_1780/tillsyn/A 67928-2020 tillsynsbegäran.docx", "A 67928-2020")</f>
        <v/>
      </c>
      <c r="Y41">
        <f>HYPERLINK("https://klasma.github.io/Logging_1780/tillsynsmail/A 67928-2020 tillsynsbegäran mail.docx", "A 67928-2020")</f>
        <v/>
      </c>
    </row>
    <row r="42" ht="15" customHeight="1">
      <c r="A42" t="inlineStr">
        <is>
          <t>A 2194-2021</t>
        </is>
      </c>
      <c r="B42" s="1" t="n">
        <v>44211</v>
      </c>
      <c r="C42" s="1" t="n">
        <v>45568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2194-2021 artfynd.xlsx", "A 2194-2021")</f>
        <v/>
      </c>
      <c r="T42">
        <f>HYPERLINK("https://klasma.github.io/Logging_1780/kartor/A 2194-2021 karta.png", "A 2194-2021")</f>
        <v/>
      </c>
      <c r="U42">
        <f>HYPERLINK("https://klasma.github.io/Logging_1780/knärot/A 2194-2021 karta knärot.png", "A 2194-2021")</f>
        <v/>
      </c>
      <c r="V42">
        <f>HYPERLINK("https://klasma.github.io/Logging_1780/klagomål/A 2194-2021 FSC-klagomål.docx", "A 2194-2021")</f>
        <v/>
      </c>
      <c r="W42">
        <f>HYPERLINK("https://klasma.github.io/Logging_1780/klagomålsmail/A 2194-2021 FSC-klagomål mail.docx", "A 2194-2021")</f>
        <v/>
      </c>
      <c r="X42">
        <f>HYPERLINK("https://klasma.github.io/Logging_1780/tillsyn/A 2194-2021 tillsynsbegäran.docx", "A 2194-2021")</f>
        <v/>
      </c>
      <c r="Y42">
        <f>HYPERLINK("https://klasma.github.io/Logging_1780/tillsynsmail/A 2194-2021 tillsynsbegäran mail.docx", "A 2194-2021")</f>
        <v/>
      </c>
    </row>
    <row r="43" ht="15" customHeight="1">
      <c r="A43" t="inlineStr">
        <is>
          <t>A 4799-2021</t>
        </is>
      </c>
      <c r="B43" s="1" t="n">
        <v>44225</v>
      </c>
      <c r="C43" s="1" t="n">
        <v>45568</v>
      </c>
      <c r="D43" t="inlineStr">
        <is>
          <t>VÄRMLANDS LÄN</t>
        </is>
      </c>
      <c r="E43" t="inlineStr">
        <is>
          <t>KARLSTAD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4799-2021 artfynd.xlsx", "A 4799-2021")</f>
        <v/>
      </c>
      <c r="T43">
        <f>HYPERLINK("https://klasma.github.io/Logging_1780/kartor/A 4799-2021 karta.png", "A 4799-2021")</f>
        <v/>
      </c>
      <c r="V43">
        <f>HYPERLINK("https://klasma.github.io/Logging_1780/klagomål/A 4799-2021 FSC-klagomål.docx", "A 4799-2021")</f>
        <v/>
      </c>
      <c r="W43">
        <f>HYPERLINK("https://klasma.github.io/Logging_1780/klagomålsmail/A 4799-2021 FSC-klagomål mail.docx", "A 4799-2021")</f>
        <v/>
      </c>
      <c r="X43">
        <f>HYPERLINK("https://klasma.github.io/Logging_1780/tillsyn/A 4799-2021 tillsynsbegäran.docx", "A 4799-2021")</f>
        <v/>
      </c>
      <c r="Y43">
        <f>HYPERLINK("https://klasma.github.io/Logging_1780/tillsynsmail/A 4799-2021 tillsynsbegäran mail.docx", "A 4799-2021")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45568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50825-2021</t>
        </is>
      </c>
      <c r="B45" s="1" t="n">
        <v>44460</v>
      </c>
      <c r="C45" s="1" t="n">
        <v>45568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HYPERLINK("https://klasma.github.io/Logging_1780/artfynd/A 50825-2021 artfynd.xlsx", "A 50825-2021")</f>
        <v/>
      </c>
      <c r="T45">
        <f>HYPERLINK("https://klasma.github.io/Logging_1780/kartor/A 50825-2021 karta.png", "A 50825-2021")</f>
        <v/>
      </c>
      <c r="V45">
        <f>HYPERLINK("https://klasma.github.io/Logging_1780/klagomål/A 50825-2021 FSC-klagomål.docx", "A 50825-2021")</f>
        <v/>
      </c>
      <c r="W45">
        <f>HYPERLINK("https://klasma.github.io/Logging_1780/klagomålsmail/A 50825-2021 FSC-klagomål mail.docx", "A 50825-2021")</f>
        <v/>
      </c>
      <c r="X45">
        <f>HYPERLINK("https://klasma.github.io/Logging_1780/tillsyn/A 50825-2021 tillsynsbegäran.docx", "A 50825-2021")</f>
        <v/>
      </c>
      <c r="Y45">
        <f>HYPERLINK("https://klasma.github.io/Logging_1780/tillsynsmail/A 50825-2021 tillsynsbegäran mail.docx", "A 50825-2021")</f>
        <v/>
      </c>
    </row>
    <row r="46" ht="15" customHeight="1">
      <c r="A46" t="inlineStr">
        <is>
          <t>A 55264-2021</t>
        </is>
      </c>
      <c r="B46" s="1" t="n">
        <v>44475</v>
      </c>
      <c r="C46" s="1" t="n">
        <v>45568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55264-2021 artfynd.xlsx", "A 55264-2021")</f>
        <v/>
      </c>
      <c r="T46">
        <f>HYPERLINK("https://klasma.github.io/Logging_1780/kartor/A 55264-2021 karta.png", "A 55264-2021")</f>
        <v/>
      </c>
      <c r="V46">
        <f>HYPERLINK("https://klasma.github.io/Logging_1780/klagomål/A 55264-2021 FSC-klagomål.docx", "A 55264-2021")</f>
        <v/>
      </c>
      <c r="W46">
        <f>HYPERLINK("https://klasma.github.io/Logging_1780/klagomålsmail/A 55264-2021 FSC-klagomål mail.docx", "A 55264-2021")</f>
        <v/>
      </c>
      <c r="X46">
        <f>HYPERLINK("https://klasma.github.io/Logging_1780/tillsyn/A 55264-2021 tillsynsbegäran.docx", "A 55264-2021")</f>
        <v/>
      </c>
      <c r="Y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s="1" t="n">
        <v>44518</v>
      </c>
      <c r="C47" s="1" t="n">
        <v>45568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HYPERLINK("https://klasma.github.io/Logging_1780/artfynd/A 66274-2021 artfynd.xlsx", "A 66274-2021")</f>
        <v/>
      </c>
      <c r="T47">
        <f>HYPERLINK("https://klasma.github.io/Logging_1780/kartor/A 66274-2021 karta.png", "A 66274-2021")</f>
        <v/>
      </c>
      <c r="V47">
        <f>HYPERLINK("https://klasma.github.io/Logging_1780/klagomål/A 66274-2021 FSC-klagomål.docx", "A 66274-2021")</f>
        <v/>
      </c>
      <c r="W47">
        <f>HYPERLINK("https://klasma.github.io/Logging_1780/klagomålsmail/A 66274-2021 FSC-klagomål mail.docx", "A 66274-2021")</f>
        <v/>
      </c>
      <c r="X47">
        <f>HYPERLINK("https://klasma.github.io/Logging_1780/tillsyn/A 66274-2021 tillsynsbegäran.docx", "A 66274-2021")</f>
        <v/>
      </c>
      <c r="Y47">
        <f>HYPERLINK("https://klasma.github.io/Logging_1780/tillsynsmail/A 66274-2021 tillsynsbegäran mail.docx", "A 66274-2021")</f>
        <v/>
      </c>
    </row>
    <row r="48" ht="15" customHeight="1">
      <c r="A48" t="inlineStr">
        <is>
          <t>A 72045-2021</t>
        </is>
      </c>
      <c r="B48" s="1" t="n">
        <v>44544</v>
      </c>
      <c r="C48" s="1" t="n">
        <v>45568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Åkergroda</t>
        </is>
      </c>
      <c r="S48">
        <f>HYPERLINK("https://klasma.github.io/Logging_1780/artfynd/A 72045-2021 artfynd.xlsx", "A 72045-2021")</f>
        <v/>
      </c>
      <c r="T48">
        <f>HYPERLINK("https://klasma.github.io/Logging_1780/kartor/A 72045-2021 karta.png", "A 72045-2021")</f>
        <v/>
      </c>
      <c r="V48">
        <f>HYPERLINK("https://klasma.github.io/Logging_1780/klagomål/A 72045-2021 FSC-klagomål.docx", "A 72045-2021")</f>
        <v/>
      </c>
      <c r="W48">
        <f>HYPERLINK("https://klasma.github.io/Logging_1780/klagomålsmail/A 72045-2021 FSC-klagomål mail.docx", "A 72045-2021")</f>
        <v/>
      </c>
      <c r="X48">
        <f>HYPERLINK("https://klasma.github.io/Logging_1780/tillsyn/A 72045-2021 tillsynsbegäran.docx", "A 72045-2021")</f>
        <v/>
      </c>
      <c r="Y48">
        <f>HYPERLINK("https://klasma.github.io/Logging_1780/tillsynsmail/A 72045-2021 tillsynsbegäran mail.docx", "A 72045-2021")</f>
        <v/>
      </c>
    </row>
    <row r="49" ht="15" customHeight="1">
      <c r="A49" t="inlineStr">
        <is>
          <t>A 4664-2022</t>
        </is>
      </c>
      <c r="B49" s="1" t="n">
        <v>44592</v>
      </c>
      <c r="C49" s="1" t="n">
        <v>45568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HYPERLINK("https://klasma.github.io/Logging_1780/artfynd/A 4664-2022 artfynd.xlsx", "A 4664-2022")</f>
        <v/>
      </c>
      <c r="T49">
        <f>HYPERLINK("https://klasma.github.io/Logging_1780/kartor/A 4664-2022 karta.png", "A 4664-2022")</f>
        <v/>
      </c>
      <c r="V49">
        <f>HYPERLINK("https://klasma.github.io/Logging_1780/klagomål/A 4664-2022 FSC-klagomål.docx", "A 4664-2022")</f>
        <v/>
      </c>
      <c r="W49">
        <f>HYPERLINK("https://klasma.github.io/Logging_1780/klagomålsmail/A 4664-2022 FSC-klagomål mail.docx", "A 4664-2022")</f>
        <v/>
      </c>
      <c r="X49">
        <f>HYPERLINK("https://klasma.github.io/Logging_1780/tillsyn/A 4664-2022 tillsynsbegäran.docx", "A 4664-2022")</f>
        <v/>
      </c>
      <c r="Y49">
        <f>HYPERLINK("https://klasma.github.io/Logging_1780/tillsynsmail/A 4664-2022 tillsynsbegäran mail.docx", "A 4664-2022")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45568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45568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45568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45568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45568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45568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45568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45568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45568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45568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45568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45568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45568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45568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45568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45568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45568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45568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45568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45568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45568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45568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45568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45568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45568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45568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45568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45568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45568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45568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45568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45568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45568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45568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45568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45568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45568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45568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45568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45568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45568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45568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45568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45568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45568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45568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45568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45568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45568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45568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45568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45568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45568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45568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45568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45568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45568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45568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45568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45568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45568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45568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45568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45568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45568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45568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45568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45568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45568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45568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45568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45568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45568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45568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45568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45568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45568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45568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45568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45568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45568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45568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45568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45568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45568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45568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45568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45568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45568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45568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45568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45568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45568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45568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45568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45568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45568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45568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45568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45568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45568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45568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45568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45568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45568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45568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45568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45568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45568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45568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45568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45568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45568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45568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45568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45568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45568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45568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45568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45568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45568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45568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45568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45568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45568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45568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45568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45568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45568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45568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45568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45568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45568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45568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45568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45568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45568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45568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45568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45568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45568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45568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45568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45568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45568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45568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45568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45568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45568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45568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45568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45568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45568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45568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45568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45568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45568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45568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45568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45568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45568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45568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45568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45568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45568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45568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45568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45568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45568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45568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45568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45568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45568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45568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45568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45568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45568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45568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45568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45568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45568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45568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45568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45568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45568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45568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45568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45568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45568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45568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45568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45568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45568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45568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45568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45568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45568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45568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45568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45568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45568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45568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45568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45568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45568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45568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45568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45568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45568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45568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45568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45568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45568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45568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45568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45568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45568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45568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45568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45568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45568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45568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45568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45568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45568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45568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45568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45568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45568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45568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45568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45568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45568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45568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45568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45568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45568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45568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45568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45568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45568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45568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45568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45568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45568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45568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45568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45568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45568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45568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45568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45568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45568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45568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45568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45568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45568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45568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45568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45568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45568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45568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45568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45568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45568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45568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45568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45568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45568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45568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45568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45568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45568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45568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45568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45568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45568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45568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45568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45568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45568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45568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45568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45568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45568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45568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45568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45568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45568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45568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45568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45568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45568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45568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45568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45568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45568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45568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45568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45568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45568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45568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45568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45568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45568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45568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45568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45568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45568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45568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45568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45568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45568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45568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45568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45568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45568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45568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45568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45568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45568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45568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45568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45568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45568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45568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45568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45568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45568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45568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45568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45568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45568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45568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45568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45568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45568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45568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45568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45568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45568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45568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45568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45568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45568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45568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45568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45568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45568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45568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45568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45568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45568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45568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45568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45568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45568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45568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45568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45568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45568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45568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45568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45568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45568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45568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45568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45568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45568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45568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45568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45568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45568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45568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45568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45568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45568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45568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45568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45568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45568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45568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45568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45568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45568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45568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45568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45568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45568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45568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45568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45568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45568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45568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45568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45568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45568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45568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45568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45568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45568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45568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45568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45568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45568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45568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45568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45568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45568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45568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45568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45568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45568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45568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45568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45568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45568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45568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45568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45568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45568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45568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45568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45568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45568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45568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45568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45568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45568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45568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45568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45568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45568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45568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45568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45568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45568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45568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45568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45568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45568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45568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45568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45568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45568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45568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45568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45568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45568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45568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45568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45568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45568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45568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45568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45568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45568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45568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45568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45568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45568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45568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45568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45568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45568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45568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45568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45568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45568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45568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45568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45568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45568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45568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45568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45568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45568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45568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45568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45568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45568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45568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45568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45568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45568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45568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45568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45568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45568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45568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45568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45568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45568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45568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45568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45568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45568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45568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45568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45568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45568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45568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45568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45568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45568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45568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45568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45568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45568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45568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45568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45568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45568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45568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45568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45568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45568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45568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45568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45568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45568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45568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45568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45568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45568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45568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45568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45568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45568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45568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45568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45568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45568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45568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45568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45568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45568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45568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45568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45568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45568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45568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45568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45568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45568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45568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45568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45568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45568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45568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45568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45568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45568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45568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45568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45568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45568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45568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45568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45568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45568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45568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45568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45568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45568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45568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45568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45568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45568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45568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45568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45568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45568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45568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45568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45568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45568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45568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45568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45568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45568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45568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45568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45568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45568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45568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45568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45568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45568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45568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45568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45568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45568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45568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45568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45568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45568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45568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45568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45568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45568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45568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45568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45568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45568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45568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45568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45568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45568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45568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45568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45568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45568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45568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45568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45568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45568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45568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45568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45568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45568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45568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45568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45568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45568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45568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45568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45568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45568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45568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45568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45568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45568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45568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45568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45568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45568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45568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45568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45568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45568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45568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45568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45568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45568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45568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45568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45568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45568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45568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45568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45568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45568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45568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45568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45568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45568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45568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45568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45568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45568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45568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45568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45568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45568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45568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45568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45568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45568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45568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45568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45568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45568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45568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45568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45568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45568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45568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45568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45568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45568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45568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45568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45568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45568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45568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45568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45568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45568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45568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45568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45568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45568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45568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45568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45568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45568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45568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45568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45568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45568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45568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45568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45568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45568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45568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45568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45568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45568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45568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45568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45568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45568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45568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45568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45568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45568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45568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45568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45568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45568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45568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45568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45568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45568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45568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45568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45568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45568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45568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45568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45568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45568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45568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45568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45568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45568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45568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45568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45568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45568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45568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45568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45568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45568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45568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45568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45568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45568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45568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45568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45568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45568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45568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45568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45568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45568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45568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45568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45568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45568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45568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45568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45568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45568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45568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45568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45568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45568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45568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45568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45568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45568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45568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45568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45568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45568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45568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45568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45568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45568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45568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45568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45568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45568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45568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45568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45568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45568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45568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45568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45568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45568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45568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45568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45568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45568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45568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45568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45568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45568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45568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45568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45568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45568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45568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45568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45568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45568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45568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45568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45568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45568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45568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45568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45568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45568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45568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45568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45568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45568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45568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45568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45568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45568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45568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45568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45568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45568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45568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45568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45568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45568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45568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45568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45568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45568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45568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45568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45568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45568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45568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45568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45568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45568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45568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45568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45568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45568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45568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45568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45568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45568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45568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45568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45568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45568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45568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45568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45568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45568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45568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45568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45568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45568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45568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45568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45568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45568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45568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45568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45568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45568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45568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45568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45568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45568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45568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45568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45568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45568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45568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45568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45568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45568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45568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45568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45568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45568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45568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45568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45568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45568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45568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45568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45568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45568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45568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45568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45568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45568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45568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45568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45568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45568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45568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45568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45568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45568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45568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45568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45568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45568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45568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45568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45568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45568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45568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45568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45568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45568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45568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45568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45568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45568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45568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45568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45568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45568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45568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45568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45568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45568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45568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45568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45568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45568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45568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45568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45568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45568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45568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45568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45568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45568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45568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45568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45568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45568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45568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45568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45568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45568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45568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45568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45568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45568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45568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45568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45568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45568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45568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45568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45568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45568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45568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45568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45568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38495-2024</t>
        </is>
      </c>
      <c r="B1018" s="1" t="n">
        <v>45546</v>
      </c>
      <c r="C1018" s="1" t="n">
        <v>45568</v>
      </c>
      <c r="D1018" t="inlineStr">
        <is>
          <t>VÄRMLANDS LÄN</t>
        </is>
      </c>
      <c r="E1018" t="inlineStr">
        <is>
          <t>KARLSTAD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38561-2024</t>
        </is>
      </c>
      <c r="B1019" s="1" t="n">
        <v>45546</v>
      </c>
      <c r="C1019" s="1" t="n">
        <v>45568</v>
      </c>
      <c r="D1019" t="inlineStr">
        <is>
          <t>VÄRMLANDS LÄN</t>
        </is>
      </c>
      <c r="E1019" t="inlineStr">
        <is>
          <t>KARLSTAD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38469-2024</t>
        </is>
      </c>
      <c r="B1020" s="1" t="n">
        <v>45546</v>
      </c>
      <c r="C1020" s="1" t="n">
        <v>45568</v>
      </c>
      <c r="D1020" t="inlineStr">
        <is>
          <t>VÄRMLANDS LÄN</t>
        </is>
      </c>
      <c r="E1020" t="inlineStr">
        <is>
          <t>KARLSTAD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45568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39504-2024</t>
        </is>
      </c>
      <c r="B1022" s="1" t="n">
        <v>45551</v>
      </c>
      <c r="C1022" s="1" t="n">
        <v>45568</v>
      </c>
      <c r="D1022" t="inlineStr">
        <is>
          <t>VÄRMLANDS LÄN</t>
        </is>
      </c>
      <c r="E1022" t="inlineStr">
        <is>
          <t>KARLSTAD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39555-2024</t>
        </is>
      </c>
      <c r="B1023" s="1" t="n">
        <v>45551</v>
      </c>
      <c r="C1023" s="1" t="n">
        <v>45568</v>
      </c>
      <c r="D1023" t="inlineStr">
        <is>
          <t>VÄRMLANDS LÄN</t>
        </is>
      </c>
      <c r="E1023" t="inlineStr">
        <is>
          <t>KARLSTAD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39792-2024</t>
        </is>
      </c>
      <c r="B1024" s="1" t="n">
        <v>45553</v>
      </c>
      <c r="C1024" s="1" t="n">
        <v>45568</v>
      </c>
      <c r="D1024" t="inlineStr">
        <is>
          <t>VÄRMLANDS LÄN</t>
        </is>
      </c>
      <c r="E1024" t="inlineStr">
        <is>
          <t>KARLSTAD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39796-2024</t>
        </is>
      </c>
      <c r="B1025" s="1" t="n">
        <v>45553</v>
      </c>
      <c r="C1025" s="1" t="n">
        <v>45568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39795-2024</t>
        </is>
      </c>
      <c r="B1026" s="1" t="n">
        <v>45553</v>
      </c>
      <c r="C1026" s="1" t="n">
        <v>45568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39886-2024</t>
        </is>
      </c>
      <c r="B1027" s="1" t="n">
        <v>45553</v>
      </c>
      <c r="C1027" s="1" t="n">
        <v>45568</v>
      </c>
      <c r="D1027" t="inlineStr">
        <is>
          <t>VÄRMLANDS LÄN</t>
        </is>
      </c>
      <c r="E1027" t="inlineStr">
        <is>
          <t>KARLSTAD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45568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41457-2024</t>
        </is>
      </c>
      <c r="B1029" s="1" t="n">
        <v>45560</v>
      </c>
      <c r="C1029" s="1" t="n">
        <v>45568</v>
      </c>
      <c r="D1029" t="inlineStr">
        <is>
          <t>VÄRMLANDS LÄN</t>
        </is>
      </c>
      <c r="E1029" t="inlineStr">
        <is>
          <t>KARLSTAD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41514-2024</t>
        </is>
      </c>
      <c r="B1030" s="1" t="n">
        <v>45560</v>
      </c>
      <c r="C1030" s="1" t="n">
        <v>45568</v>
      </c>
      <c r="D1030" t="inlineStr">
        <is>
          <t>VÄRMLANDS LÄN</t>
        </is>
      </c>
      <c r="E1030" t="inlineStr">
        <is>
          <t>KARLSTAD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41654-2024</t>
        </is>
      </c>
      <c r="B1031" s="1" t="n">
        <v>45560</v>
      </c>
      <c r="C1031" s="1" t="n">
        <v>45568</v>
      </c>
      <c r="D1031" t="inlineStr">
        <is>
          <t>VÄRMLANDS LÄN</t>
        </is>
      </c>
      <c r="E1031" t="inlineStr">
        <is>
          <t>KARLSTAD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41491-2024</t>
        </is>
      </c>
      <c r="B1032" s="1" t="n">
        <v>45560</v>
      </c>
      <c r="C1032" s="1" t="n">
        <v>45568</v>
      </c>
      <c r="D1032" t="inlineStr">
        <is>
          <t>VÄRMLANDS LÄN</t>
        </is>
      </c>
      <c r="E1032" t="inlineStr">
        <is>
          <t>KARLSTAD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42465-2024</t>
        </is>
      </c>
      <c r="B1033" s="1" t="n">
        <v>45565</v>
      </c>
      <c r="C1033" s="1" t="n">
        <v>45568</v>
      </c>
      <c r="D1033" t="inlineStr">
        <is>
          <t>VÄRMLANDS LÄN</t>
        </is>
      </c>
      <c r="E1033" t="inlineStr">
        <is>
          <t>KARLSTAD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42929-2024</t>
        </is>
      </c>
      <c r="B1034" s="1" t="n">
        <v>45567</v>
      </c>
      <c r="C1034" s="1" t="n">
        <v>45568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2024-10-03T12:32:09Z</dcterms:created>
  <dcterms:modified xmlns:dcterms="http://purl.org/dc/terms/" xmlns:xsi="http://www.w3.org/2001/XMLSchema-instance" xsi:type="dcterms:W3CDTF">2024-10-03T12:32:10Z</dcterms:modified>
</cp:coreProperties>
</file>