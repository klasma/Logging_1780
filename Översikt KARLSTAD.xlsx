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46256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46256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46256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46256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46256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46256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46256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46256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23629-2026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46256</v>
      </c>
      <c r="F15" t="inlineStr">
        <is>
          <t>VÄRMLANDS LÄN</t>
        </is>
      </c>
      <c r="G15" t="inlineStr">
        <is>
          <t>KARLSTAD</t>
        </is>
      </c>
      <c r="I15" t="n">
        <v>4.7</v>
      </c>
      <c r="J15" t="n">
        <v>1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Fällmossa
Trubbfjädermossa
Trädporella
Lopplummer (aggregat)</t>
        </is>
      </c>
      <c r="W15">
        <f>HYPERLINK("https://klasma.github.io/Logging_1780/artfynd/A 23629-2026 artfynd.xlsx", "A 23629-2026")</f>
        <v/>
      </c>
      <c r="X15">
        <f>HYPERLINK("https://klasma.github.io/Logging_1780/kartor/A 23629-2026 karta.png", "A 23629-2026")</f>
        <v/>
      </c>
      <c r="Y15">
        <f>HYPERLINK("https://klasma.github.io/Logging_1780/kartor_geotiff/A 23629-2026 georefererad karta.tif", "A 23629-2026")</f>
        <v/>
      </c>
      <c r="AA15">
        <f>HYPERLINK("https://klasma.github.io/Logging_1780/klagomål/A 23629-2026 FSC-klagomål.docx", "A 23629-2026")</f>
        <v/>
      </c>
      <c r="AB15">
        <f>HYPERLINK("https://klasma.github.io/Logging_1780/klagomålsmail/A 23629-2026 FSC-klagomål mail.docx", "A 23629-2026")</f>
        <v/>
      </c>
      <c r="AC15">
        <f>HYPERLINK("https://klasma.github.io/Logging_1780/tillsyn/A 23629-2026 tillsynsbegäran.docx", "A 23629-2026")</f>
        <v/>
      </c>
      <c r="AD15">
        <f>HYPERLINK("https://klasma.github.io/Logging_1780/tillsynsmail/A 23629-2026 tillsynsbegäran mail.docx", "A 23629-2026")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46256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46256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46256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46256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46256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46256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46256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46256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46256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46256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46256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46256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46256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46256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46256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46256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46256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46256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46256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46256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46256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46256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46256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46256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46256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44452</v>
      </c>
      <c r="E51" s="1" t="n">
        <v>46256</v>
      </c>
      <c r="F51" t="inlineStr">
        <is>
          <t>VÄRMLANDS LÄN</t>
        </is>
      </c>
      <c r="G51" t="inlineStr">
        <is>
          <t>KARLSTAD</t>
        </is>
      </c>
      <c r="I51" t="n">
        <v>7.3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HYPERLINK("https://klasma.github.io/Logging_1780/artfynd/A 48588-2021 artfynd.xlsx", "A 48588-2021")</f>
        <v/>
      </c>
      <c r="X51">
        <f>HYPERLINK("https://klasma.github.io/Logging_1780/kartor/A 48588-2021 karta.png", "A 48588-2021")</f>
        <v/>
      </c>
      <c r="Y51">
        <f>HYPERLINK("https://klasma.github.io/Logging_1780/kartor_geotiff/A 48588-2021 georefererad karta.tif", "A 48588-2021")</f>
        <v/>
      </c>
      <c r="AA51">
        <f>HYPERLINK("https://klasma.github.io/Logging_1780/klagomål/A 48588-2021 FSC-klagomål.docx", "A 48588-2021")</f>
        <v/>
      </c>
      <c r="AB51">
        <f>HYPERLINK("https://klasma.github.io/Logging_1780/klagomålsmail/A 48588-2021 FSC-klagomål mail.docx", "A 48588-2021")</f>
        <v/>
      </c>
      <c r="AC51">
        <f>HYPERLINK("https://klasma.github.io/Logging_1780/tillsyn/A 48588-2021 tillsynsbegäran.docx", "A 48588-2021")</f>
        <v/>
      </c>
      <c r="AD51">
        <f>HYPERLINK("https://klasma.github.io/Logging_1780/tillsynsmail/A 48588-2021 tillsynsbegäran mail.docx", "A 48588-2021")</f>
        <v/>
      </c>
      <c r="AE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46256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46256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14002-2022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44650</v>
      </c>
      <c r="E54" s="1" t="n">
        <v>46256</v>
      </c>
      <c r="F54" t="inlineStr">
        <is>
          <t>VÄRMLANDS LÄN</t>
        </is>
      </c>
      <c r="G54" t="inlineStr">
        <is>
          <t>KARLSTAD</t>
        </is>
      </c>
      <c r="I54" t="n">
        <v>2.3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3</v>
      </c>
      <c r="V54" s="2" t="inlineStr">
        <is>
          <t>Knärot</t>
        </is>
      </c>
      <c r="W54">
        <f>HYPERLINK("https://klasma.github.io/Logging_1780/artfynd/A 14002-2022 artfynd.xlsx", "A 14002-2022")</f>
        <v/>
      </c>
      <c r="X54">
        <f>HYPERLINK("https://klasma.github.io/Logging_1780/kartor/A 14002-2022 karta.png", "A 14002-2022")</f>
        <v/>
      </c>
      <c r="Y54">
        <f>HYPERLINK("https://klasma.github.io/Logging_1780/kartor_geotiff/A 14002-2022 georefererad karta.tif", "A 14002-2022")</f>
        <v/>
      </c>
      <c r="Z54">
        <f>HYPERLINK("https://klasma.github.io/Logging_1780/knärot/A 14002-2022 karta knärot.png", "A 14002-2022")</f>
        <v/>
      </c>
      <c r="AA54">
        <f>HYPERLINK("https://klasma.github.io/Logging_1780/klagomål/A 14002-2022 FSC-klagomål.docx", "A 14002-2022")</f>
        <v/>
      </c>
      <c r="AB54">
        <f>HYPERLINK("https://klasma.github.io/Logging_1780/klagomålsmail/A 14002-2022 FSC-klagomål mail.docx", "A 14002-2022")</f>
        <v/>
      </c>
      <c r="AC54">
        <f>HYPERLINK("https://klasma.github.io/Logging_1780/tillsyn/A 14002-2022 tillsynsbegäran.docx", "A 14002-2022")</f>
        <v/>
      </c>
      <c r="AD54">
        <f>HYPERLINK("https://klasma.github.io/Logging_1780/tillsynsmail/A 14002-2022 tillsynsbegäran mail.docx", "A 14002-2022")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46256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46256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4664-2022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46256</v>
      </c>
      <c r="F57" t="inlineStr">
        <is>
          <t>VÄRMLANDS LÄN</t>
        </is>
      </c>
      <c r="G57" t="inlineStr">
        <is>
          <t>KARLSTAD</t>
        </is>
      </c>
      <c r="H57" t="inlineStr">
        <is>
          <t>Kommuner</t>
        </is>
      </c>
      <c r="I57" t="n">
        <v>2.3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Vedskivlav</t>
        </is>
      </c>
      <c r="W57">
        <f>HYPERLINK("https://klasma.github.io/Logging_1780/artfynd/A 4664-2022 artfynd.xlsx", "A 4664-2022")</f>
        <v/>
      </c>
      <c r="X57">
        <f>HYPERLINK("https://klasma.github.io/Logging_1780/kartor/A 4664-2022 karta.png", "A 4664-2022")</f>
        <v/>
      </c>
      <c r="Y57">
        <f>HYPERLINK("https://klasma.github.io/Logging_1780/kartor_geotiff/A 4664-2022 georefererad karta.tif", "A 4664-2022")</f>
        <v/>
      </c>
      <c r="AA57">
        <f>HYPERLINK("https://klasma.github.io/Logging_1780/klagomål/A 4664-2022 FSC-klagomål.docx", "A 4664-2022")</f>
        <v/>
      </c>
      <c r="AB57">
        <f>HYPERLINK("https://klasma.github.io/Logging_1780/klagomålsmail/A 4664-2022 FSC-klagomål mail.docx", "A 4664-2022")</f>
        <v/>
      </c>
      <c r="AC57">
        <f>HYPERLINK("https://klasma.github.io/Logging_1780/tillsyn/A 4664-2022 tillsynsbegäran.docx", "A 4664-2022")</f>
        <v/>
      </c>
      <c r="AD57">
        <f>HYPERLINK("https://klasma.github.io/Logging_1780/tillsynsmail/A 4664-2022 tillsynsbegäran mail.docx", "A 4664-2022")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46256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46256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46256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46256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46256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46256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46256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46256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13259-2026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46256</v>
      </c>
      <c r="F66" t="inlineStr">
        <is>
          <t>VÄRMLANDS LÄN</t>
        </is>
      </c>
      <c r="G66" t="inlineStr">
        <is>
          <t>KARLSTAD</t>
        </is>
      </c>
      <c r="I66" t="n">
        <v>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HYPERLINK("https://klasma.github.io/Logging_1780/artfynd/A 13259-2026 artfynd.xlsx", "A 13259-2026")</f>
        <v/>
      </c>
      <c r="X66">
        <f>HYPERLINK("https://klasma.github.io/Logging_1780/kartor/A 13259-2026 karta.png", "A 13259-2026")</f>
        <v/>
      </c>
      <c r="Y66">
        <f>HYPERLINK("https://klasma.github.io/Logging_1780/kartor_geotiff/A 13259-2026 georefererad karta.tif", "A 13259-2026")</f>
        <v/>
      </c>
      <c r="AA66">
        <f>HYPERLINK("https://klasma.github.io/Logging_1780/klagomål/A 13259-2026 FSC-klagomål.docx", "A 13259-2026")</f>
        <v/>
      </c>
      <c r="AB66">
        <f>HYPERLINK("https://klasma.github.io/Logging_1780/klagomålsmail/A 13259-2026 FSC-klagomål mail.docx", "A 13259-2026")</f>
        <v/>
      </c>
      <c r="AC66">
        <f>HYPERLINK("https://klasma.github.io/Logging_1780/tillsyn/A 13259-2026 tillsynsbegäran.docx", "A 13259-2026")</f>
        <v/>
      </c>
      <c r="AD66">
        <f>HYPERLINK("https://klasma.github.io/Logging_1780/tillsynsmail/A 13259-2026 tillsynsbegäran mail.docx", "A 13259-2026")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46256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16739-2026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46113</v>
      </c>
      <c r="E68" s="1" t="n">
        <v>46256</v>
      </c>
      <c r="F68" t="inlineStr">
        <is>
          <t>VÄRMLANDS LÄN</t>
        </is>
      </c>
      <c r="G68" t="inlineStr">
        <is>
          <t>KARLSTAD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HYPERLINK("https://klasma.github.io/Logging_1780/artfynd/A 16739-2026 artfynd.xlsx", "A 16739-2026")</f>
        <v/>
      </c>
      <c r="X68">
        <f>HYPERLINK("https://klasma.github.io/Logging_1780/kartor/A 16739-2026 karta.png", "A 16739-2026")</f>
        <v/>
      </c>
      <c r="Y68">
        <f>HYPERLINK("https://klasma.github.io/Logging_1780/kartor_geotiff/A 16739-2026 georefererad karta.tif", "A 16739-2026")</f>
        <v/>
      </c>
      <c r="AA68">
        <f>HYPERLINK("https://klasma.github.io/Logging_1780/klagomål/A 16739-2026 FSC-klagomål.docx", "A 16739-2026")</f>
        <v/>
      </c>
      <c r="AB68">
        <f>HYPERLINK("https://klasma.github.io/Logging_1780/klagomålsmail/A 16739-2026 FSC-klagomål mail.docx", "A 16739-2026")</f>
        <v/>
      </c>
      <c r="AC68">
        <f>HYPERLINK("https://klasma.github.io/Logging_1780/tillsyn/A 16739-2026 tillsynsbegäran.docx", "A 16739-2026")</f>
        <v/>
      </c>
      <c r="AD68">
        <f>HYPERLINK("https://klasma.github.io/Logging_1780/tillsynsmail/A 16739-2026 tillsynsbegäran mail.docx", "A 16739-2026")</f>
        <v/>
      </c>
      <c r="AE68">
        <f>HYPERLINK("https://klasma.github.io/Logging_1780/fåglar/A 16739-2026 prioriterade fågelarter.docx", "A 16739-2026")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46256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46256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46256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46256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46256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46256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46256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46256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46256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46256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46256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46256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46256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46256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46256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46256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46256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46256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46256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46256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46256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46256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46256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46256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46256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46256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46256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46256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46256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46256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46256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46256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46256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46256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46256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46256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46256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46256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46256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46256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46256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46256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46256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46256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46256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46256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46256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46256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46256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46256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46256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46256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46256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46256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46256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46256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57469-2021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46256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46256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46256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46256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46256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46256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46256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46256</v>
      </c>
      <c r="F134" t="inlineStr">
        <is>
          <t>VÄRMLANDS LÄN</t>
        </is>
      </c>
      <c r="G134" t="inlineStr">
        <is>
          <t>KARLSTAD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46256</v>
      </c>
      <c r="F135" t="inlineStr">
        <is>
          <t>VÄRMLANDS LÄN</t>
        </is>
      </c>
      <c r="G135" t="inlineStr">
        <is>
          <t>KARLSTAD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46256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46256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46256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46256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46256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46256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44945</v>
      </c>
      <c r="E142" s="1" t="n">
        <v>46256</v>
      </c>
      <c r="F142" t="inlineStr">
        <is>
          <t>VÄRMLANDS LÄN</t>
        </is>
      </c>
      <c r="G142" t="inlineStr">
        <is>
          <t>KARLSTAD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44547</v>
      </c>
      <c r="E143" s="1" t="n">
        <v>46256</v>
      </c>
      <c r="F143" t="inlineStr">
        <is>
          <t>VÄRMLANDS LÄN</t>
        </is>
      </c>
      <c r="G143" t="inlineStr">
        <is>
          <t>KARLSTAD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46256</v>
      </c>
      <c r="F144" t="inlineStr">
        <is>
          <t>VÄRMLANDS LÄN</t>
        </is>
      </c>
      <c r="G144" t="inlineStr">
        <is>
          <t>KARLSTAD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46256</v>
      </c>
      <c r="F145" t="inlineStr">
        <is>
          <t>VÄRMLANDS LÄN</t>
        </is>
      </c>
      <c r="G145" t="inlineStr">
        <is>
          <t>KARLSTAD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46256</v>
      </c>
      <c r="F146" t="inlineStr">
        <is>
          <t>VÄRMLANDS LÄN</t>
        </is>
      </c>
      <c r="G146" t="inlineStr">
        <is>
          <t>KARLSTAD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46256</v>
      </c>
      <c r="F147" t="inlineStr">
        <is>
          <t>VÄRMLANDS LÄN</t>
        </is>
      </c>
      <c r="G147" t="inlineStr">
        <is>
          <t>KARLSTAD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44525</v>
      </c>
      <c r="E148" s="1" t="n">
        <v>46256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46256</v>
      </c>
      <c r="F149" t="inlineStr">
        <is>
          <t>VÄRMLANDS LÄN</t>
        </is>
      </c>
      <c r="G149" t="inlineStr">
        <is>
          <t>KARLSTAD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46256</v>
      </c>
      <c r="F150" t="inlineStr">
        <is>
          <t>VÄRMLANDS LÄN</t>
        </is>
      </c>
      <c r="G150" t="inlineStr">
        <is>
          <t>KARLSTAD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46256</v>
      </c>
      <c r="F151" t="inlineStr">
        <is>
          <t>VÄRMLANDS LÄN</t>
        </is>
      </c>
      <c r="G151" t="inlineStr">
        <is>
          <t>KARLSTAD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45062</v>
      </c>
      <c r="E152" s="1" t="n">
        <v>46256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46256</v>
      </c>
      <c r="F153" t="inlineStr">
        <is>
          <t>VÄRMLANDS LÄN</t>
        </is>
      </c>
      <c r="G153" t="inlineStr">
        <is>
          <t>KARLSTAD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44788</v>
      </c>
      <c r="E154" s="1" t="n">
        <v>46256</v>
      </c>
      <c r="F154" t="inlineStr">
        <is>
          <t>VÄRMLANDS LÄN</t>
        </is>
      </c>
      <c r="G154" t="inlineStr">
        <is>
          <t>KARLSTAD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46256</v>
      </c>
      <c r="F155" t="inlineStr">
        <is>
          <t>VÄRMLANDS LÄN</t>
        </is>
      </c>
      <c r="G155" t="inlineStr">
        <is>
          <t>KARLSTAD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46256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41514-2024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45560</v>
      </c>
      <c r="E157" s="1" t="n">
        <v>46256</v>
      </c>
      <c r="F157" t="inlineStr">
        <is>
          <t>VÄRMLANDS LÄN</t>
        </is>
      </c>
      <c r="G157" t="inlineStr">
        <is>
          <t>KARLSTAD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48633-2021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44452</v>
      </c>
      <c r="E158" s="1" t="n">
        <v>46256</v>
      </c>
      <c r="F158" t="inlineStr">
        <is>
          <t>VÄRMLANDS LÄN</t>
        </is>
      </c>
      <c r="G158" t="inlineStr">
        <is>
          <t>KARLSTAD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44872</v>
      </c>
      <c r="E159" s="1" t="n">
        <v>46256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46256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46256</v>
      </c>
      <c r="F161" t="inlineStr">
        <is>
          <t>VÄRMLANDS LÄN</t>
        </is>
      </c>
      <c r="G161" t="inlineStr">
        <is>
          <t>KARLSTAD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46256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44622</v>
      </c>
      <c r="E163" s="1" t="n">
        <v>46256</v>
      </c>
      <c r="F163" t="inlineStr">
        <is>
          <t>VÄRMLANDS LÄN</t>
        </is>
      </c>
      <c r="G163" t="inlineStr">
        <is>
          <t>KARLSTAD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46256</v>
      </c>
      <c r="F164" t="inlineStr">
        <is>
          <t>VÄRMLANDS LÄN</t>
        </is>
      </c>
      <c r="G164" t="inlineStr">
        <is>
          <t>KARLSTAD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46256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46256</v>
      </c>
      <c r="F166" t="inlineStr">
        <is>
          <t>VÄRMLANDS LÄN</t>
        </is>
      </c>
      <c r="G166" t="inlineStr">
        <is>
          <t>KARLSTAD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46256</v>
      </c>
      <c r="F167" t="inlineStr">
        <is>
          <t>VÄRMLANDS LÄN</t>
        </is>
      </c>
      <c r="G167" t="inlineStr">
        <is>
          <t>KARLSTAD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44763</v>
      </c>
      <c r="E168" s="1" t="n">
        <v>46256</v>
      </c>
      <c r="F168" t="inlineStr">
        <is>
          <t>VÄRMLANDS LÄN</t>
        </is>
      </c>
      <c r="G168" t="inlineStr">
        <is>
          <t>KARLSTAD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45616</v>
      </c>
      <c r="E169" s="1" t="n">
        <v>46256</v>
      </c>
      <c r="F169" t="inlineStr">
        <is>
          <t>VÄRMLANDS LÄN</t>
        </is>
      </c>
      <c r="G169" t="inlineStr">
        <is>
          <t>KARLSTAD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46256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45039</v>
      </c>
      <c r="E171" s="1" t="n">
        <v>46256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46256</v>
      </c>
      <c r="F172" t="inlineStr">
        <is>
          <t>VÄRMLANDS LÄN</t>
        </is>
      </c>
      <c r="G172" t="inlineStr">
        <is>
          <t>KARLSTAD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46256</v>
      </c>
      <c r="F173" t="inlineStr">
        <is>
          <t>VÄRMLANDS LÄN</t>
        </is>
      </c>
      <c r="G173" t="inlineStr">
        <is>
          <t>KARLSTAD</t>
        </is>
      </c>
      <c r="I173" t="n">
        <v>10.9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46256</v>
      </c>
      <c r="F174" t="inlineStr">
        <is>
          <t>VÄRMLANDS LÄN</t>
        </is>
      </c>
      <c r="G174" t="inlineStr">
        <is>
          <t>KARLSTAD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46256</v>
      </c>
      <c r="F175" t="inlineStr">
        <is>
          <t>VÄRMLANDS LÄN</t>
        </is>
      </c>
      <c r="G175" t="inlineStr">
        <is>
          <t>KARLSTAD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44816</v>
      </c>
      <c r="E176" s="1" t="n">
        <v>46256</v>
      </c>
      <c r="F176" t="inlineStr">
        <is>
          <t>VÄRMLANDS LÄN</t>
        </is>
      </c>
      <c r="G176" t="inlineStr">
        <is>
          <t>KARLSTAD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46256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34321-2024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45524</v>
      </c>
      <c r="E178" s="1" t="n">
        <v>46256</v>
      </c>
      <c r="F178" t="inlineStr">
        <is>
          <t>VÄRMLANDS LÄN</t>
        </is>
      </c>
      <c r="G178" t="inlineStr">
        <is>
          <t>KARLSTAD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46256</v>
      </c>
      <c r="F179" t="inlineStr">
        <is>
          <t>VÄRMLANDS LÄN</t>
        </is>
      </c>
      <c r="G179" t="inlineStr">
        <is>
          <t>KARLSTAD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45095</v>
      </c>
      <c r="E180" s="1" t="n">
        <v>46256</v>
      </c>
      <c r="F180" t="inlineStr">
        <is>
          <t>VÄRMLANDS LÄN</t>
        </is>
      </c>
      <c r="G180" t="inlineStr">
        <is>
          <t>KARLSTAD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45322</v>
      </c>
      <c r="E181" s="1" t="n">
        <v>46256</v>
      </c>
      <c r="F181" t="inlineStr">
        <is>
          <t>VÄRMLANDS LÄN</t>
        </is>
      </c>
      <c r="G181" t="inlineStr">
        <is>
          <t>KARLSTAD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46256</v>
      </c>
      <c r="F182" t="inlineStr">
        <is>
          <t>VÄRMLANDS LÄN</t>
        </is>
      </c>
      <c r="G182" t="inlineStr">
        <is>
          <t>KARLSTAD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46256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46256</v>
      </c>
      <c r="F184" t="inlineStr">
        <is>
          <t>VÄRMLANDS LÄN</t>
        </is>
      </c>
      <c r="G184" t="inlineStr">
        <is>
          <t>KARLSTAD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46256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46256</v>
      </c>
      <c r="F186" t="inlineStr">
        <is>
          <t>VÄRMLANDS LÄN</t>
        </is>
      </c>
      <c r="G186" t="inlineStr">
        <is>
          <t>KARLSTAD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46256</v>
      </c>
      <c r="F187" t="inlineStr">
        <is>
          <t>VÄRMLANDS LÄN</t>
        </is>
      </c>
      <c r="G187" t="inlineStr">
        <is>
          <t>KARLSTAD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46256</v>
      </c>
      <c r="F188" t="inlineStr">
        <is>
          <t>VÄRMLANDS LÄN</t>
        </is>
      </c>
      <c r="G188" t="inlineStr">
        <is>
          <t>KARLSTAD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46256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46256</v>
      </c>
      <c r="F190" t="inlineStr">
        <is>
          <t>VÄRMLANDS LÄN</t>
        </is>
      </c>
      <c r="G190" t="inlineStr">
        <is>
          <t>KARLSTAD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46256</v>
      </c>
      <c r="F191" t="inlineStr">
        <is>
          <t>VÄRMLANDS LÄN</t>
        </is>
      </c>
      <c r="G191" t="inlineStr">
        <is>
          <t>KARLSTAD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46256</v>
      </c>
      <c r="F192" t="inlineStr">
        <is>
          <t>VÄRMLANDS LÄN</t>
        </is>
      </c>
      <c r="G192" t="inlineStr">
        <is>
          <t>KARLSTAD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46256</v>
      </c>
      <c r="F193" t="inlineStr">
        <is>
          <t>VÄRMLANDS LÄN</t>
        </is>
      </c>
      <c r="G193" t="inlineStr">
        <is>
          <t>KARLSTAD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46256</v>
      </c>
      <c r="F194" t="inlineStr">
        <is>
          <t>VÄRMLANDS LÄN</t>
        </is>
      </c>
      <c r="G194" t="inlineStr">
        <is>
          <t>KARLSTAD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73753-2021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46256</v>
      </c>
      <c r="F195" t="inlineStr">
        <is>
          <t>VÄRMLANDS LÄN</t>
        </is>
      </c>
      <c r="G195" t="inlineStr">
        <is>
          <t>KARLSTAD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45822</v>
      </c>
      <c r="E196" s="1" t="n">
        <v>46256</v>
      </c>
      <c r="F196" t="inlineStr">
        <is>
          <t>VÄRMLANDS LÄN</t>
        </is>
      </c>
      <c r="G196" t="inlineStr">
        <is>
          <t>KARLSTAD</t>
        </is>
      </c>
      <c r="I196" t="n">
        <v>23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46256</v>
      </c>
      <c r="F197" t="inlineStr">
        <is>
          <t>VÄRMLANDS LÄN</t>
        </is>
      </c>
      <c r="G197" t="inlineStr">
        <is>
          <t>KARLSTAD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46961-2023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46256</v>
      </c>
      <c r="F198" t="inlineStr">
        <is>
          <t>VÄRMLANDS LÄN</t>
        </is>
      </c>
      <c r="G198" t="inlineStr">
        <is>
          <t>KARLSTAD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44607</v>
      </c>
      <c r="E199" s="1" t="n">
        <v>46256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45911</v>
      </c>
      <c r="E200" s="1" t="n">
        <v>46256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44634</v>
      </c>
      <c r="E201" s="1" t="n">
        <v>46256</v>
      </c>
      <c r="F201" t="inlineStr">
        <is>
          <t>VÄRMLANDS LÄN</t>
        </is>
      </c>
      <c r="G201" t="inlineStr">
        <is>
          <t>KARLSTAD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66642-2021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44519</v>
      </c>
      <c r="E202" s="1" t="n">
        <v>46256</v>
      </c>
      <c r="F202" t="inlineStr">
        <is>
          <t>VÄRMLANDS LÄN</t>
        </is>
      </c>
      <c r="G202" t="inlineStr">
        <is>
          <t>KARLSTAD</t>
        </is>
      </c>
      <c r="I202" t="n">
        <v>18.2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46256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46256</v>
      </c>
      <c r="F204" t="inlineStr">
        <is>
          <t>VÄRMLANDS LÄN</t>
        </is>
      </c>
      <c r="G204" t="inlineStr">
        <is>
          <t>KARLSTAD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46256</v>
      </c>
      <c r="F205" t="inlineStr">
        <is>
          <t>VÄRMLANDS LÄN</t>
        </is>
      </c>
      <c r="G205" t="inlineStr">
        <is>
          <t>KARLSTAD</t>
        </is>
      </c>
      <c r="I205" t="n">
        <v>20.6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46256</v>
      </c>
      <c r="F206" t="inlineStr">
        <is>
          <t>VÄRMLANDS LÄN</t>
        </is>
      </c>
      <c r="G206" t="inlineStr">
        <is>
          <t>KARLSTAD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46256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46256</v>
      </c>
      <c r="F208" t="inlineStr">
        <is>
          <t>VÄRMLANDS LÄN</t>
        </is>
      </c>
      <c r="G208" t="inlineStr">
        <is>
          <t>KARLSTAD</t>
        </is>
      </c>
      <c r="I208" t="n">
        <v>10.6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45487</v>
      </c>
      <c r="E209" s="1" t="n">
        <v>46256</v>
      </c>
      <c r="F209" t="inlineStr">
        <is>
          <t>VÄRMLANDS LÄN</t>
        </is>
      </c>
      <c r="G209" t="inlineStr">
        <is>
          <t>KARLSTAD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56327-2023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45243</v>
      </c>
      <c r="E210" s="1" t="n">
        <v>46256</v>
      </c>
      <c r="F210" t="inlineStr">
        <is>
          <t>VÄRMLANDS LÄN</t>
        </is>
      </c>
      <c r="G210" t="inlineStr">
        <is>
          <t>KARLSTAD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46256</v>
      </c>
      <c r="F211" t="inlineStr">
        <is>
          <t>VÄRMLANDS LÄN</t>
        </is>
      </c>
      <c r="G211" t="inlineStr">
        <is>
          <t>KARLSTAD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46256</v>
      </c>
      <c r="F212" t="inlineStr">
        <is>
          <t>VÄRMLANDS LÄN</t>
        </is>
      </c>
      <c r="G212" t="inlineStr">
        <is>
          <t>KARLSTAD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46256</v>
      </c>
      <c r="F213" t="inlineStr">
        <is>
          <t>VÄRMLANDS LÄN</t>
        </is>
      </c>
      <c r="G213" t="inlineStr">
        <is>
          <t>KARLSTAD</t>
        </is>
      </c>
      <c r="I213" t="n">
        <v>10.4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46256</v>
      </c>
      <c r="F214" t="inlineStr">
        <is>
          <t>VÄRMLANDS LÄN</t>
        </is>
      </c>
      <c r="G214" t="inlineStr">
        <is>
          <t>KARLSTAD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46256</v>
      </c>
      <c r="F215" t="inlineStr">
        <is>
          <t>VÄRMLANDS LÄN</t>
        </is>
      </c>
      <c r="G215" t="inlineStr">
        <is>
          <t>KARLSTAD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46256</v>
      </c>
      <c r="F216" t="inlineStr">
        <is>
          <t>VÄRMLANDS LÄN</t>
        </is>
      </c>
      <c r="G216" t="inlineStr">
        <is>
          <t>KARLSTAD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45299</v>
      </c>
      <c r="E217" s="1" t="n">
        <v>46256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46256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46256</v>
      </c>
      <c r="F219" t="inlineStr">
        <is>
          <t>VÄRMLANDS LÄN</t>
        </is>
      </c>
      <c r="G219" t="inlineStr">
        <is>
          <t>KARLSTAD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46256</v>
      </c>
      <c r="F220" t="inlineStr">
        <is>
          <t>VÄRMLANDS LÄN</t>
        </is>
      </c>
      <c r="G220" t="inlineStr">
        <is>
          <t>KARLSTAD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46256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46256</v>
      </c>
      <c r="F222" t="inlineStr">
        <is>
          <t>VÄRMLANDS LÄN</t>
        </is>
      </c>
      <c r="G222" t="inlineStr">
        <is>
          <t>KARLSTAD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46256</v>
      </c>
      <c r="F223" t="inlineStr">
        <is>
          <t>VÄRMLANDS LÄN</t>
        </is>
      </c>
      <c r="G223" t="inlineStr">
        <is>
          <t>KARLSTAD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46256</v>
      </c>
      <c r="F224" t="inlineStr">
        <is>
          <t>VÄRMLANDS LÄN</t>
        </is>
      </c>
      <c r="G224" t="inlineStr">
        <is>
          <t>KARLSTAD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46256</v>
      </c>
      <c r="F225" t="inlineStr">
        <is>
          <t>VÄRMLANDS LÄN</t>
        </is>
      </c>
      <c r="G225" t="inlineStr">
        <is>
          <t>KARLSTAD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46256</v>
      </c>
      <c r="F226" t="inlineStr">
        <is>
          <t>VÄRMLANDS LÄN</t>
        </is>
      </c>
      <c r="G226" t="inlineStr">
        <is>
          <t>KARLSTAD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44985</v>
      </c>
      <c r="E227" s="1" t="n">
        <v>46256</v>
      </c>
      <c r="F227" t="inlineStr">
        <is>
          <t>VÄRMLANDS LÄN</t>
        </is>
      </c>
      <c r="G227" t="inlineStr">
        <is>
          <t>KARLSTAD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46256</v>
      </c>
      <c r="F228" t="inlineStr">
        <is>
          <t>VÄRMLANDS LÄN</t>
        </is>
      </c>
      <c r="G228" t="inlineStr">
        <is>
          <t>KARLSTAD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46256</v>
      </c>
      <c r="F229" t="inlineStr">
        <is>
          <t>VÄRMLANDS LÄN</t>
        </is>
      </c>
      <c r="G229" t="inlineStr">
        <is>
          <t>KARLSTAD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50400-2021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44459</v>
      </c>
      <c r="E230" s="1" t="n">
        <v>46256</v>
      </c>
      <c r="F230" t="inlineStr">
        <is>
          <t>VÄRMLANDS LÄN</t>
        </is>
      </c>
      <c r="G230" t="inlineStr">
        <is>
          <t>KARLSTAD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46256</v>
      </c>
      <c r="F231" t="inlineStr">
        <is>
          <t>VÄRMLANDS LÄN</t>
        </is>
      </c>
      <c r="G231" t="inlineStr">
        <is>
          <t>KARLSTAD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46256</v>
      </c>
      <c r="F232" t="inlineStr">
        <is>
          <t>VÄRMLANDS LÄN</t>
        </is>
      </c>
      <c r="G232" t="inlineStr">
        <is>
          <t>KARLSTAD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11841-2024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46256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46256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9405-2025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45715</v>
      </c>
      <c r="E235" s="1" t="n">
        <v>46256</v>
      </c>
      <c r="F235" t="inlineStr">
        <is>
          <t>VÄRMLANDS LÄN</t>
        </is>
      </c>
      <c r="G235" t="inlineStr">
        <is>
          <t>KARLSTAD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46256</v>
      </c>
      <c r="F236" t="inlineStr">
        <is>
          <t>VÄRMLANDS LÄN</t>
        </is>
      </c>
      <c r="G236" t="inlineStr">
        <is>
          <t>KARLSTAD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46256</v>
      </c>
      <c r="F237" t="inlineStr">
        <is>
          <t>VÄRMLANDS LÄN</t>
        </is>
      </c>
      <c r="G237" t="inlineStr">
        <is>
          <t>KARLSTAD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46256</v>
      </c>
      <c r="F238" t="inlineStr">
        <is>
          <t>VÄRMLANDS LÄN</t>
        </is>
      </c>
      <c r="G238" t="inlineStr">
        <is>
          <t>KARLSTAD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46256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46256</v>
      </c>
      <c r="F240" t="inlineStr">
        <is>
          <t>VÄRMLANDS LÄN</t>
        </is>
      </c>
      <c r="G240" t="inlineStr">
        <is>
          <t>KARLSTAD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45141</v>
      </c>
      <c r="E241" s="1" t="n">
        <v>46256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46256</v>
      </c>
      <c r="F242" t="inlineStr">
        <is>
          <t>VÄRMLANDS LÄN</t>
        </is>
      </c>
      <c r="G242" t="inlineStr">
        <is>
          <t>KARLSTAD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46256</v>
      </c>
      <c r="F243" t="inlineStr">
        <is>
          <t>VÄRMLANDS LÄN</t>
        </is>
      </c>
      <c r="G243" t="inlineStr">
        <is>
          <t>KARLSTAD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46256</v>
      </c>
      <c r="F244" t="inlineStr">
        <is>
          <t>VÄRMLANDS LÄN</t>
        </is>
      </c>
      <c r="G244" t="inlineStr">
        <is>
          <t>KARLSTAD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45520</v>
      </c>
      <c r="E245" s="1" t="n">
        <v>46256</v>
      </c>
      <c r="F245" t="inlineStr">
        <is>
          <t>VÄRMLANDS LÄN</t>
        </is>
      </c>
      <c r="G245" t="inlineStr">
        <is>
          <t>KARLSTAD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46256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33809-2024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46256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46256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57100-2022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46256</v>
      </c>
      <c r="F249" t="inlineStr">
        <is>
          <t>VÄRMLANDS LÄN</t>
        </is>
      </c>
      <c r="G249" t="inlineStr">
        <is>
          <t>KARLSTAD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46256</v>
      </c>
      <c r="F250" t="inlineStr">
        <is>
          <t>VÄRMLANDS LÄN</t>
        </is>
      </c>
      <c r="G250" t="inlineStr">
        <is>
          <t>KARLSTAD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46256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46256</v>
      </c>
      <c r="F252" t="inlineStr">
        <is>
          <t>VÄRMLANDS LÄN</t>
        </is>
      </c>
      <c r="G252" t="inlineStr">
        <is>
          <t>KARLSTAD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46256</v>
      </c>
      <c r="F253" t="inlineStr">
        <is>
          <t>VÄRMLANDS LÄN</t>
        </is>
      </c>
      <c r="G253" t="inlineStr">
        <is>
          <t>KARLSTAD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46256</v>
      </c>
      <c r="F254" t="inlineStr">
        <is>
          <t>VÄRMLANDS LÄN</t>
        </is>
      </c>
      <c r="G254" t="inlineStr">
        <is>
          <t>KARLSTAD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45734</v>
      </c>
      <c r="E255" s="1" t="n">
        <v>46256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46256</v>
      </c>
      <c r="F256" t="inlineStr">
        <is>
          <t>VÄRMLANDS LÄN</t>
        </is>
      </c>
      <c r="G256" t="inlineStr">
        <is>
          <t>KARLSTAD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46256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45020</v>
      </c>
      <c r="E258" s="1" t="n">
        <v>46256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46256</v>
      </c>
      <c r="F259" t="inlineStr">
        <is>
          <t>VÄRMLANDS LÄN</t>
        </is>
      </c>
      <c r="G259" t="inlineStr">
        <is>
          <t>KARLSTAD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46256</v>
      </c>
      <c r="F260" t="inlineStr">
        <is>
          <t>VÄRMLANDS LÄN</t>
        </is>
      </c>
      <c r="G260" t="inlineStr">
        <is>
          <t>KARLSTAD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46256</v>
      </c>
      <c r="F261" t="inlineStr">
        <is>
          <t>VÄRMLANDS LÄN</t>
        </is>
      </c>
      <c r="G261" t="inlineStr">
        <is>
          <t>KARLSTAD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46256</v>
      </c>
      <c r="F262" t="inlineStr">
        <is>
          <t>VÄRMLANDS LÄN</t>
        </is>
      </c>
      <c r="G262" t="inlineStr">
        <is>
          <t>KARLSTAD</t>
        </is>
      </c>
      <c r="H262" t="inlineStr">
        <is>
          <t>Övriga statliga verk och myndigheter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46256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46256</v>
      </c>
      <c r="F264" t="inlineStr">
        <is>
          <t>VÄRMLANDS LÄN</t>
        </is>
      </c>
      <c r="G264" t="inlineStr">
        <is>
          <t>KARLSTAD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44454</v>
      </c>
      <c r="E265" s="1" t="n">
        <v>46256</v>
      </c>
      <c r="F265" t="inlineStr">
        <is>
          <t>VÄRMLANDS LÄN</t>
        </is>
      </c>
      <c r="G265" t="inlineStr">
        <is>
          <t>KARLSTAD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45106</v>
      </c>
      <c r="E266" s="1" t="n">
        <v>46256</v>
      </c>
      <c r="F266" t="inlineStr">
        <is>
          <t>VÄRMLANDS LÄN</t>
        </is>
      </c>
      <c r="G266" t="inlineStr">
        <is>
          <t>KARLSTAD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44686</v>
      </c>
      <c r="E267" s="1" t="n">
        <v>46256</v>
      </c>
      <c r="F267" t="inlineStr">
        <is>
          <t>VÄRMLANDS LÄN</t>
        </is>
      </c>
      <c r="G267" t="inlineStr">
        <is>
          <t>KARLSTAD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45704</v>
      </c>
      <c r="E268" s="1" t="n">
        <v>46256</v>
      </c>
      <c r="F268" t="inlineStr">
        <is>
          <t>VÄRMLANDS LÄN</t>
        </is>
      </c>
      <c r="G268" t="inlineStr">
        <is>
          <t>KARLSTAD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46256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65086-2023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46256</v>
      </c>
      <c r="F270" t="inlineStr">
        <is>
          <t>VÄRMLANDS LÄN</t>
        </is>
      </c>
      <c r="G270" t="inlineStr">
        <is>
          <t>KARLSTAD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46256</v>
      </c>
      <c r="F271" t="inlineStr">
        <is>
          <t>VÄRMLANDS LÄN</t>
        </is>
      </c>
      <c r="G271" t="inlineStr">
        <is>
          <t>KARLSTAD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45641</v>
      </c>
      <c r="E272" s="1" t="n">
        <v>46256</v>
      </c>
      <c r="F272" t="inlineStr">
        <is>
          <t>VÄRMLANDS LÄN</t>
        </is>
      </c>
      <c r="G272" t="inlineStr">
        <is>
          <t>KARLSTAD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70127-2021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46256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45320</v>
      </c>
      <c r="E274" s="1" t="n">
        <v>46256</v>
      </c>
      <c r="F274" t="inlineStr">
        <is>
          <t>VÄRMLANDS LÄN</t>
        </is>
      </c>
      <c r="G274" t="inlineStr">
        <is>
          <t>KARLSTAD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46256</v>
      </c>
      <c r="F275" t="inlineStr">
        <is>
          <t>VÄRMLANDS LÄN</t>
        </is>
      </c>
      <c r="G275" t="inlineStr">
        <is>
          <t>KARLSTAD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44666</v>
      </c>
      <c r="E276" s="1" t="n">
        <v>46256</v>
      </c>
      <c r="F276" t="inlineStr">
        <is>
          <t>VÄRMLANDS LÄN</t>
        </is>
      </c>
      <c r="G276" t="inlineStr">
        <is>
          <t>KARLSTAD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46256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46256</v>
      </c>
      <c r="F278" t="inlineStr">
        <is>
          <t>VÄRMLANDS LÄN</t>
        </is>
      </c>
      <c r="G278" t="inlineStr">
        <is>
          <t>KARLSTAD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46256</v>
      </c>
      <c r="F279" t="inlineStr">
        <is>
          <t>VÄRMLANDS LÄN</t>
        </is>
      </c>
      <c r="G279" t="inlineStr">
        <is>
          <t>KARLSTAD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46256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45382</v>
      </c>
      <c r="E281" s="1" t="n">
        <v>46256</v>
      </c>
      <c r="F281" t="inlineStr">
        <is>
          <t>VÄRMLANDS LÄN</t>
        </is>
      </c>
      <c r="G281" t="inlineStr">
        <is>
          <t>KARLSTAD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46256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51096-2021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44459</v>
      </c>
      <c r="E283" s="1" t="n">
        <v>46256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46256</v>
      </c>
      <c r="F284" t="inlineStr">
        <is>
          <t>VÄRMLANDS LÄN</t>
        </is>
      </c>
      <c r="G284" t="inlineStr">
        <is>
          <t>KARLSTAD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46256</v>
      </c>
      <c r="F285" t="inlineStr">
        <is>
          <t>VÄRMLANDS LÄN</t>
        </is>
      </c>
      <c r="G285" t="inlineStr">
        <is>
          <t>KARLSTAD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72772-2021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44547</v>
      </c>
      <c r="E286" s="1" t="n">
        <v>46256</v>
      </c>
      <c r="F286" t="inlineStr">
        <is>
          <t>VÄRMLANDS LÄN</t>
        </is>
      </c>
      <c r="G286" t="inlineStr">
        <is>
          <t>KARLSTAD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46256</v>
      </c>
      <c r="F287" t="inlineStr">
        <is>
          <t>VÄRMLANDS LÄN</t>
        </is>
      </c>
      <c r="G287" t="inlineStr">
        <is>
          <t>KARLSTAD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46256</v>
      </c>
      <c r="F288" t="inlineStr">
        <is>
          <t>VÄRMLANDS LÄN</t>
        </is>
      </c>
      <c r="G288" t="inlineStr">
        <is>
          <t>KARLSTAD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46256</v>
      </c>
      <c r="F289" t="inlineStr">
        <is>
          <t>VÄRMLANDS LÄN</t>
        </is>
      </c>
      <c r="G289" t="inlineStr">
        <is>
          <t>KARLSTAD</t>
        </is>
      </c>
      <c r="H289" t="inlineStr">
        <is>
          <t>Kommuner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50236-2024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46256</v>
      </c>
      <c r="F290" t="inlineStr">
        <is>
          <t>VÄRMLANDS LÄN</t>
        </is>
      </c>
      <c r="G290" t="inlineStr">
        <is>
          <t>KARLSTAD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46256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45112</v>
      </c>
      <c r="E292" s="1" t="n">
        <v>46256</v>
      </c>
      <c r="F292" t="inlineStr">
        <is>
          <t>VÄRMLANDS LÄN</t>
        </is>
      </c>
      <c r="G292" t="inlineStr">
        <is>
          <t>KARLSTAD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72072-2021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46256</v>
      </c>
      <c r="F293" t="inlineStr">
        <is>
          <t>VÄRMLANDS LÄN</t>
        </is>
      </c>
      <c r="G293" t="inlineStr">
        <is>
          <t>KARLSTAD</t>
        </is>
      </c>
      <c r="H293" t="inlineStr">
        <is>
          <t>Kommuner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46256</v>
      </c>
      <c r="F294" t="inlineStr">
        <is>
          <t>VÄRMLANDS LÄN</t>
        </is>
      </c>
      <c r="G294" t="inlineStr">
        <is>
          <t>KARLSTAD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46256</v>
      </c>
      <c r="F295" t="inlineStr">
        <is>
          <t>VÄRMLANDS LÄN</t>
        </is>
      </c>
      <c r="G295" t="inlineStr">
        <is>
          <t>KARLSTAD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46256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11179-2022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44629</v>
      </c>
      <c r="E297" s="1" t="n">
        <v>46256</v>
      </c>
      <c r="F297" t="inlineStr">
        <is>
          <t>VÄRMLANDS LÄN</t>
        </is>
      </c>
      <c r="G297" t="inlineStr">
        <is>
          <t>KARLSTAD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46256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45095</v>
      </c>
      <c r="E299" s="1" t="n">
        <v>46256</v>
      </c>
      <c r="F299" t="inlineStr">
        <is>
          <t>VÄRMLANDS LÄN</t>
        </is>
      </c>
      <c r="G299" t="inlineStr">
        <is>
          <t>KARLSTAD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46256</v>
      </c>
      <c r="F300" t="inlineStr">
        <is>
          <t>VÄRMLANDS LÄN</t>
        </is>
      </c>
      <c r="G300" t="inlineStr">
        <is>
          <t>KARLSTAD</t>
        </is>
      </c>
      <c r="H300" t="inlineStr">
        <is>
          <t>Naturvårdsverket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46256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46256</v>
      </c>
      <c r="F302" t="inlineStr">
        <is>
          <t>VÄRMLANDS LÄN</t>
        </is>
      </c>
      <c r="G302" t="inlineStr">
        <is>
          <t>KARLSTAD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46256</v>
      </c>
      <c r="F303" t="inlineStr">
        <is>
          <t>VÄRMLANDS LÄN</t>
        </is>
      </c>
      <c r="G303" t="inlineStr">
        <is>
          <t>KARLSTAD</t>
        </is>
      </c>
      <c r="H303" t="inlineStr">
        <is>
          <t>Kommuner</t>
        </is>
      </c>
      <c r="I303" t="n">
        <v>9.4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46256</v>
      </c>
      <c r="F304" t="inlineStr">
        <is>
          <t>VÄRMLANDS LÄN</t>
        </is>
      </c>
      <c r="G304" t="inlineStr">
        <is>
          <t>KARLSTAD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60724-2022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44913</v>
      </c>
      <c r="E305" s="1" t="n">
        <v>46256</v>
      </c>
      <c r="F305" t="inlineStr">
        <is>
          <t>VÄRMLANDS LÄN</t>
        </is>
      </c>
      <c r="G305" t="inlineStr">
        <is>
          <t>KARLSTAD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46256</v>
      </c>
      <c r="F306" t="inlineStr">
        <is>
          <t>VÄRMLANDS LÄN</t>
        </is>
      </c>
      <c r="G306" t="inlineStr">
        <is>
          <t>KARLSTAD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46256</v>
      </c>
      <c r="F307" t="inlineStr">
        <is>
          <t>VÄRMLANDS LÄN</t>
        </is>
      </c>
      <c r="G307" t="inlineStr">
        <is>
          <t>KARLSTAD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HYPERLINK("https://klasma.github.io/Logging_1780/knärot/A 57466-2025 karta knärot.png", "A 57466-2025")</f>
        <v/>
      </c>
      <c r="AA307">
        <f>HYPERLINK("https://klasma.github.io/Logging_1780/klagomål/A 57466-2025 FSC-klagomål.docx", "A 57466-2025")</f>
        <v/>
      </c>
      <c r="AB307">
        <f>HYPERLINK("https://klasma.github.io/Logging_1780/klagomålsmail/A 57466-2025 FSC-klagomål mail.docx", "A 57466-2025")</f>
        <v/>
      </c>
      <c r="AC307">
        <f>HYPERLINK("https://klasma.github.io/Logging_1780/tillsyn/A 57466-2025 tillsynsbegäran.docx", "A 57466-2025")</f>
        <v/>
      </c>
      <c r="AD307">
        <f>HYPERLINK("https://klasma.github.io/Logging_1780/tillsynsmail/A 57466-2025 tillsynsbegäran mail.docx", "A 57466-2025")</f>
        <v/>
      </c>
    </row>
    <row r="308" ht="15" customHeight="1">
      <c r="A308" t="inlineStr">
        <is>
          <t>A 8634-2025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45711</v>
      </c>
      <c r="E308" s="1" t="n">
        <v>46256</v>
      </c>
      <c r="F308" t="inlineStr">
        <is>
          <t>VÄRMLANDS LÄN</t>
        </is>
      </c>
      <c r="G308" t="inlineStr">
        <is>
          <t>KARLSTAD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44672</v>
      </c>
      <c r="E309" s="1" t="n">
        <v>46256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46256</v>
      </c>
      <c r="F310" t="inlineStr">
        <is>
          <t>VÄRMLANDS LÄN</t>
        </is>
      </c>
      <c r="G310" t="inlineStr">
        <is>
          <t>KARLSTAD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44573</v>
      </c>
      <c r="E311" s="1" t="n">
        <v>46256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46256</v>
      </c>
      <c r="F312" t="inlineStr">
        <is>
          <t>VÄRMLANDS LÄN</t>
        </is>
      </c>
      <c r="G312" t="inlineStr">
        <is>
          <t>KARLSTAD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HYPERLINK("https://klasma.github.io/Logging_1780/knärot/A 55764-2022 karta knärot.png", "A 55764-2022")</f>
        <v/>
      </c>
      <c r="AA312">
        <f>HYPERLINK("https://klasma.github.io/Logging_1780/klagomål/A 55764-2022 FSC-klagomål.docx", "A 55764-2022")</f>
        <v/>
      </c>
      <c r="AB312">
        <f>HYPERLINK("https://klasma.github.io/Logging_1780/klagomålsmail/A 55764-2022 FSC-klagomål mail.docx", "A 55764-2022")</f>
        <v/>
      </c>
      <c r="AC312">
        <f>HYPERLINK("https://klasma.github.io/Logging_1780/tillsyn/A 55764-2022 tillsynsbegäran.docx", "A 55764-2022")</f>
        <v/>
      </c>
      <c r="AD312">
        <f>HYPERLINK("https://klasma.github.io/Logging_1780/tillsynsmail/A 55764-2022 tillsynsbegäran mail.docx", "A 55764-2022")</f>
        <v/>
      </c>
    </row>
    <row r="313" ht="15" customHeight="1">
      <c r="A313" t="inlineStr">
        <is>
          <t>A 41376-2024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46256</v>
      </c>
      <c r="F313" t="inlineStr">
        <is>
          <t>VÄRMLANDS LÄN</t>
        </is>
      </c>
      <c r="G313" t="inlineStr">
        <is>
          <t>KARLSTAD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46256</v>
      </c>
      <c r="F314" t="inlineStr">
        <is>
          <t>VÄRMLANDS LÄN</t>
        </is>
      </c>
      <c r="G314" t="inlineStr">
        <is>
          <t>KARLSTAD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45946</v>
      </c>
      <c r="E315" s="1" t="n">
        <v>46256</v>
      </c>
      <c r="F315" t="inlineStr">
        <is>
          <t>VÄRMLANDS LÄN</t>
        </is>
      </c>
      <c r="G315" t="inlineStr">
        <is>
          <t>KARLSTAD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44654</v>
      </c>
      <c r="E316" s="1" t="n">
        <v>46256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46256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55621-2022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46256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45995</v>
      </c>
      <c r="E319" s="1" t="n">
        <v>46256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45382</v>
      </c>
      <c r="E320" s="1" t="n">
        <v>46256</v>
      </c>
      <c r="F320" t="inlineStr">
        <is>
          <t>VÄRMLANDS LÄN</t>
        </is>
      </c>
      <c r="G320" t="inlineStr">
        <is>
          <t>KARLSTAD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45635</v>
      </c>
      <c r="E321" s="1" t="n">
        <v>46256</v>
      </c>
      <c r="F321" t="inlineStr">
        <is>
          <t>VÄRMLANDS LÄN</t>
        </is>
      </c>
      <c r="G321" t="inlineStr">
        <is>
          <t>KARLSTAD</t>
        </is>
      </c>
      <c r="I321" t="n">
        <v>18.5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46256</v>
      </c>
      <c r="F322" t="inlineStr">
        <is>
          <t>VÄRMLANDS LÄN</t>
        </is>
      </c>
      <c r="G322" t="inlineStr">
        <is>
          <t>KARLSTAD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46256</v>
      </c>
      <c r="F323" t="inlineStr">
        <is>
          <t>VÄRMLANDS LÄN</t>
        </is>
      </c>
      <c r="G323" t="inlineStr">
        <is>
          <t>KARLSTAD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46256</v>
      </c>
      <c r="F324" t="inlineStr">
        <is>
          <t>VÄRMLANDS LÄN</t>
        </is>
      </c>
      <c r="G324" t="inlineStr">
        <is>
          <t>KARLSTAD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46256</v>
      </c>
      <c r="F325" t="inlineStr">
        <is>
          <t>VÄRMLANDS LÄN</t>
        </is>
      </c>
      <c r="G325" t="inlineStr">
        <is>
          <t>KARLSTAD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44855</v>
      </c>
      <c r="E326" s="1" t="n">
        <v>46256</v>
      </c>
      <c r="F326" t="inlineStr">
        <is>
          <t>VÄRMLANDS LÄN</t>
        </is>
      </c>
      <c r="G326" t="inlineStr">
        <is>
          <t>KARLSTAD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46256</v>
      </c>
      <c r="F327" t="inlineStr">
        <is>
          <t>VÄRMLANDS LÄN</t>
        </is>
      </c>
      <c r="G327" t="inlineStr">
        <is>
          <t>KARLSTAD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46256</v>
      </c>
      <c r="F328" t="inlineStr">
        <is>
          <t>VÄRMLANDS LÄN</t>
        </is>
      </c>
      <c r="G328" t="inlineStr">
        <is>
          <t>KARLSTAD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45386</v>
      </c>
      <c r="E329" s="1" t="n">
        <v>46256</v>
      </c>
      <c r="F329" t="inlineStr">
        <is>
          <t>VÄRMLANDS LÄN</t>
        </is>
      </c>
      <c r="G329" t="inlineStr">
        <is>
          <t>KARLSTAD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44852</v>
      </c>
      <c r="E330" s="1" t="n">
        <v>46256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46256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44727</v>
      </c>
      <c r="E332" s="1" t="n">
        <v>46256</v>
      </c>
      <c r="F332" t="inlineStr">
        <is>
          <t>VÄRMLANDS LÄN</t>
        </is>
      </c>
      <c r="G332" t="inlineStr">
        <is>
          <t>KARLSTAD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46256</v>
      </c>
      <c r="F333" t="inlineStr">
        <is>
          <t>VÄRMLANDS LÄN</t>
        </is>
      </c>
      <c r="G333" t="inlineStr">
        <is>
          <t>KARLSTAD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46256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46002</v>
      </c>
      <c r="E335" s="1" t="n">
        <v>46256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46256</v>
      </c>
      <c r="F336" t="inlineStr">
        <is>
          <t>VÄRMLANDS LÄN</t>
        </is>
      </c>
      <c r="G336" t="inlineStr">
        <is>
          <t>KARLSTAD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46256</v>
      </c>
      <c r="F337" t="inlineStr">
        <is>
          <t>VÄRMLANDS LÄN</t>
        </is>
      </c>
      <c r="G337" t="inlineStr">
        <is>
          <t>KARLSTAD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46256</v>
      </c>
      <c r="F338" t="inlineStr">
        <is>
          <t>VÄRMLANDS LÄN</t>
        </is>
      </c>
      <c r="G338" t="inlineStr">
        <is>
          <t>KARLSTAD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46256</v>
      </c>
      <c r="F339" t="inlineStr">
        <is>
          <t>VÄRMLANDS LÄN</t>
        </is>
      </c>
      <c r="G339" t="inlineStr">
        <is>
          <t>KARLSTAD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46256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46256</v>
      </c>
      <c r="F341" t="inlineStr">
        <is>
          <t>VÄRMLANDS LÄN</t>
        </is>
      </c>
      <c r="G341" t="inlineStr">
        <is>
          <t>KARLSTAD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45582</v>
      </c>
      <c r="E342" s="1" t="n">
        <v>46256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44735</v>
      </c>
      <c r="E343" s="1" t="n">
        <v>46256</v>
      </c>
      <c r="F343" t="inlineStr">
        <is>
          <t>VÄRMLANDS LÄN</t>
        </is>
      </c>
      <c r="G343" t="inlineStr">
        <is>
          <t>KARLSTAD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44484</v>
      </c>
      <c r="E344" s="1" t="n">
        <v>46256</v>
      </c>
      <c r="F344" t="inlineStr">
        <is>
          <t>VÄRMLANDS LÄN</t>
        </is>
      </c>
      <c r="G344" t="inlineStr">
        <is>
          <t>KARLSTAD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46256</v>
      </c>
      <c r="F345" t="inlineStr">
        <is>
          <t>VÄRMLANDS LÄN</t>
        </is>
      </c>
      <c r="G345" t="inlineStr">
        <is>
          <t>KARLSTAD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46256</v>
      </c>
      <c r="F346" t="inlineStr">
        <is>
          <t>VÄRMLANDS LÄN</t>
        </is>
      </c>
      <c r="G346" t="inlineStr">
        <is>
          <t>KARLSTAD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46256</v>
      </c>
      <c r="F347" t="inlineStr">
        <is>
          <t>VÄRMLANDS LÄN</t>
        </is>
      </c>
      <c r="G347" t="inlineStr">
        <is>
          <t>KARLSTAD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46256</v>
      </c>
      <c r="F348" t="inlineStr">
        <is>
          <t>VÄRMLANDS LÄN</t>
        </is>
      </c>
      <c r="G348" t="inlineStr">
        <is>
          <t>KARLSTAD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46256</v>
      </c>
      <c r="F349" t="inlineStr">
        <is>
          <t>VÄRMLANDS LÄN</t>
        </is>
      </c>
      <c r="G349" t="inlineStr">
        <is>
          <t>KARLSTAD</t>
        </is>
      </c>
      <c r="H349" t="inlineStr">
        <is>
          <t>Naturvårdsverket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46256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46256</v>
      </c>
      <c r="F351" t="inlineStr">
        <is>
          <t>VÄRMLANDS LÄN</t>
        </is>
      </c>
      <c r="G351" t="inlineStr">
        <is>
          <t>KARLSTAD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46256</v>
      </c>
      <c r="F352" t="inlineStr">
        <is>
          <t>VÄRMLANDS LÄN</t>
        </is>
      </c>
      <c r="G352" t="inlineStr">
        <is>
          <t>KARLSTAD</t>
        </is>
      </c>
      <c r="I352" t="n">
        <v>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44984</v>
      </c>
      <c r="E353" s="1" t="n">
        <v>46256</v>
      </c>
      <c r="F353" t="inlineStr">
        <is>
          <t>VÄRMLANDS LÄN</t>
        </is>
      </c>
      <c r="G353" t="inlineStr">
        <is>
          <t>KARLSTAD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46256</v>
      </c>
      <c r="F354" t="inlineStr">
        <is>
          <t>VÄRMLANDS LÄN</t>
        </is>
      </c>
      <c r="G354" t="inlineStr">
        <is>
          <t>KARLSTAD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45049</v>
      </c>
      <c r="E355" s="1" t="n">
        <v>46256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46256</v>
      </c>
      <c r="F356" t="inlineStr">
        <is>
          <t>VÄRMLANDS LÄN</t>
        </is>
      </c>
      <c r="G356" t="inlineStr">
        <is>
          <t>KARLSTAD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46256</v>
      </c>
      <c r="F357" t="inlineStr">
        <is>
          <t>VÄRMLANDS LÄN</t>
        </is>
      </c>
      <c r="G357" t="inlineStr">
        <is>
          <t>KARLSTAD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46256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46256</v>
      </c>
      <c r="F359" t="inlineStr">
        <is>
          <t>VÄRMLANDS LÄN</t>
        </is>
      </c>
      <c r="G359" t="inlineStr">
        <is>
          <t>KARLSTAD</t>
        </is>
      </c>
      <c r="H359" t="inlineStr">
        <is>
          <t>Kyrkan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46256</v>
      </c>
      <c r="F360" t="inlineStr">
        <is>
          <t>VÄRMLANDS LÄN</t>
        </is>
      </c>
      <c r="G360" t="inlineStr">
        <is>
          <t>KARLSTAD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46256</v>
      </c>
      <c r="F361" t="inlineStr">
        <is>
          <t>VÄRMLANDS LÄN</t>
        </is>
      </c>
      <c r="G361" t="inlineStr">
        <is>
          <t>KARLSTAD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55250-2022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44887</v>
      </c>
      <c r="E362" s="1" t="n">
        <v>46256</v>
      </c>
      <c r="F362" t="inlineStr">
        <is>
          <t>VÄRMLANDS LÄN</t>
        </is>
      </c>
      <c r="G362" t="inlineStr">
        <is>
          <t>KARLSTAD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46256</v>
      </c>
      <c r="F363" t="inlineStr">
        <is>
          <t>VÄRMLANDS LÄN</t>
        </is>
      </c>
      <c r="G363" t="inlineStr">
        <is>
          <t>KARLSTAD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46256</v>
      </c>
      <c r="F364" t="inlineStr">
        <is>
          <t>VÄRMLANDS LÄN</t>
        </is>
      </c>
      <c r="G364" t="inlineStr">
        <is>
          <t>KARLSTAD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44594</v>
      </c>
      <c r="E365" s="1" t="n">
        <v>46256</v>
      </c>
      <c r="F365" t="inlineStr">
        <is>
          <t>VÄRMLANDS LÄN</t>
        </is>
      </c>
      <c r="G365" t="inlineStr">
        <is>
          <t>KARLSTAD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45474</v>
      </c>
      <c r="E366" s="1" t="n">
        <v>46256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46256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45767</v>
      </c>
      <c r="E368" s="1" t="n">
        <v>46256</v>
      </c>
      <c r="F368" t="inlineStr">
        <is>
          <t>VÄRMLANDS LÄN</t>
        </is>
      </c>
      <c r="G368" t="inlineStr">
        <is>
          <t>KARLSTAD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46256</v>
      </c>
      <c r="F369" t="inlineStr">
        <is>
          <t>VÄRMLANDS LÄN</t>
        </is>
      </c>
      <c r="G369" t="inlineStr">
        <is>
          <t>KARLSTAD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46256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45068</v>
      </c>
      <c r="E371" s="1" t="n">
        <v>46256</v>
      </c>
      <c r="F371" t="inlineStr">
        <is>
          <t>VÄRMLANDS LÄN</t>
        </is>
      </c>
      <c r="G371" t="inlineStr">
        <is>
          <t>KARLSTAD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66322-2021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46256</v>
      </c>
      <c r="F372" t="inlineStr">
        <is>
          <t>VÄRMLANDS LÄN</t>
        </is>
      </c>
      <c r="G372" t="inlineStr">
        <is>
          <t>KARLSTAD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46256</v>
      </c>
      <c r="F373" t="inlineStr">
        <is>
          <t>VÄRMLANDS LÄN</t>
        </is>
      </c>
      <c r="G373" t="inlineStr">
        <is>
          <t>KARLSTAD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46256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51086-2021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44461</v>
      </c>
      <c r="E375" s="1" t="n">
        <v>46256</v>
      </c>
      <c r="F375" t="inlineStr">
        <is>
          <t>VÄRMLANDS LÄN</t>
        </is>
      </c>
      <c r="G375" t="inlineStr">
        <is>
          <t>KARLSTAD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44805</v>
      </c>
      <c r="E376" s="1" t="n">
        <v>46256</v>
      </c>
      <c r="F376" t="inlineStr">
        <is>
          <t>VÄRMLANDS LÄN</t>
        </is>
      </c>
      <c r="G376" t="inlineStr">
        <is>
          <t>KARLSTAD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46256</v>
      </c>
      <c r="F377" t="inlineStr">
        <is>
          <t>VÄRMLANDS LÄN</t>
        </is>
      </c>
      <c r="G377" t="inlineStr">
        <is>
          <t>KARLSTAD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45861</v>
      </c>
      <c r="E378" s="1" t="n">
        <v>46256</v>
      </c>
      <c r="F378" t="inlineStr">
        <is>
          <t>VÄRMLANDS LÄN</t>
        </is>
      </c>
      <c r="G378" t="inlineStr">
        <is>
          <t>KARLSTAD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44578</v>
      </c>
      <c r="E379" s="1" t="n">
        <v>46256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46256</v>
      </c>
      <c r="F380" t="inlineStr">
        <is>
          <t>VÄRMLANDS LÄN</t>
        </is>
      </c>
      <c r="G380" t="inlineStr">
        <is>
          <t>KARLSTAD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46256</v>
      </c>
      <c r="F381" t="inlineStr">
        <is>
          <t>VÄRMLANDS LÄN</t>
        </is>
      </c>
      <c r="G381" t="inlineStr">
        <is>
          <t>KARLSTAD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46256</v>
      </c>
      <c r="F382" t="inlineStr">
        <is>
          <t>VÄRMLANDS LÄN</t>
        </is>
      </c>
      <c r="G382" t="inlineStr">
        <is>
          <t>KARLSTAD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46256</v>
      </c>
      <c r="F383" t="inlineStr">
        <is>
          <t>VÄRMLANDS LÄN</t>
        </is>
      </c>
      <c r="G383" t="inlineStr">
        <is>
          <t>KARLSTAD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46256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46256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46051</v>
      </c>
      <c r="E386" s="1" t="n">
        <v>46256</v>
      </c>
      <c r="F386" t="inlineStr">
        <is>
          <t>VÄRMLANDS LÄN</t>
        </is>
      </c>
      <c r="G386" t="inlineStr">
        <is>
          <t>KARLSTAD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46256</v>
      </c>
      <c r="F387" t="inlineStr">
        <is>
          <t>VÄRMLANDS LÄN</t>
        </is>
      </c>
      <c r="G387" t="inlineStr">
        <is>
          <t>KARLSTAD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46256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46256</v>
      </c>
      <c r="F389" t="inlineStr">
        <is>
          <t>VÄRMLANDS LÄN</t>
        </is>
      </c>
      <c r="G389" t="inlineStr">
        <is>
          <t>KARLSTAD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37932-2025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45881</v>
      </c>
      <c r="E390" s="1" t="n">
        <v>46256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46256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46256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46256</v>
      </c>
      <c r="F393" t="inlineStr">
        <is>
          <t>VÄRMLANDS LÄN</t>
        </is>
      </c>
      <c r="G393" t="inlineStr">
        <is>
          <t>KARLSTAD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47055-2021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44446</v>
      </c>
      <c r="E394" s="1" t="n">
        <v>46256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46256</v>
      </c>
      <c r="F395" t="inlineStr">
        <is>
          <t>VÄRMLANDS LÄN</t>
        </is>
      </c>
      <c r="G395" t="inlineStr">
        <is>
          <t>KARLSTAD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46256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44952</v>
      </c>
      <c r="E397" s="1" t="n">
        <v>46256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46256</v>
      </c>
      <c r="F398" t="inlineStr">
        <is>
          <t>VÄRMLANDS LÄN</t>
        </is>
      </c>
      <c r="G398" t="inlineStr">
        <is>
          <t>KARLSTAD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46256</v>
      </c>
      <c r="F399" t="inlineStr">
        <is>
          <t>VÄRMLANDS LÄN</t>
        </is>
      </c>
      <c r="G399" t="inlineStr">
        <is>
          <t>KARLSTAD</t>
        </is>
      </c>
      <c r="I399" t="n">
        <v>21.7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46256</v>
      </c>
      <c r="F400" t="inlineStr">
        <is>
          <t>VÄRMLANDS LÄN</t>
        </is>
      </c>
      <c r="G400" t="inlineStr">
        <is>
          <t>KARLSTAD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46256</v>
      </c>
      <c r="F401" t="inlineStr">
        <is>
          <t>VÄRMLANDS LÄN</t>
        </is>
      </c>
      <c r="G401" t="inlineStr">
        <is>
          <t>KARLSTAD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46256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46256</v>
      </c>
      <c r="F403" t="inlineStr">
        <is>
          <t>VÄRMLANDS LÄN</t>
        </is>
      </c>
      <c r="G403" t="inlineStr">
        <is>
          <t>KARLSTAD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46256</v>
      </c>
      <c r="F404" t="inlineStr">
        <is>
          <t>VÄRMLANDS LÄN</t>
        </is>
      </c>
      <c r="G404" t="inlineStr">
        <is>
          <t>KARLSTAD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46256</v>
      </c>
      <c r="F405" t="inlineStr">
        <is>
          <t>VÄRMLANDS LÄN</t>
        </is>
      </c>
      <c r="G405" t="inlineStr">
        <is>
          <t>KARLSTAD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46256</v>
      </c>
      <c r="F406" t="inlineStr">
        <is>
          <t>VÄRMLANDS LÄN</t>
        </is>
      </c>
      <c r="G406" t="inlineStr">
        <is>
          <t>KARLSTAD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46256</v>
      </c>
      <c r="F407" t="inlineStr">
        <is>
          <t>VÄRMLANDS LÄN</t>
        </is>
      </c>
      <c r="G407" t="inlineStr">
        <is>
          <t>KARLSTAD</t>
        </is>
      </c>
      <c r="H407" t="inlineStr">
        <is>
          <t>Kommuner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46256</v>
      </c>
      <c r="F408" t="inlineStr">
        <is>
          <t>VÄRMLANDS LÄN</t>
        </is>
      </c>
      <c r="G408" t="inlineStr">
        <is>
          <t>KARLSTAD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46256</v>
      </c>
      <c r="F409" t="inlineStr">
        <is>
          <t>VÄRMLANDS LÄN</t>
        </is>
      </c>
      <c r="G409" t="inlineStr">
        <is>
          <t>KARLSTAD</t>
        </is>
      </c>
      <c r="I409" t="n">
        <v>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46256</v>
      </c>
      <c r="F410" t="inlineStr">
        <is>
          <t>VÄRMLANDS LÄN</t>
        </is>
      </c>
      <c r="G410" t="inlineStr">
        <is>
          <t>KARLSTAD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46256</v>
      </c>
      <c r="F411" t="inlineStr">
        <is>
          <t>VÄRMLANDS LÄN</t>
        </is>
      </c>
      <c r="G411" t="inlineStr">
        <is>
          <t>KARLSTAD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46256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46256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46256</v>
      </c>
      <c r="F414" t="inlineStr">
        <is>
          <t>VÄRMLANDS LÄN</t>
        </is>
      </c>
      <c r="G414" t="inlineStr">
        <is>
          <t>KARLSTAD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46222</v>
      </c>
      <c r="E415" s="1" t="n">
        <v>46256</v>
      </c>
      <c r="F415" t="inlineStr">
        <is>
          <t>VÄRMLANDS LÄN</t>
        </is>
      </c>
      <c r="G415" t="inlineStr">
        <is>
          <t>KARLSTAD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44595</v>
      </c>
      <c r="E416" s="1" t="n">
        <v>46256</v>
      </c>
      <c r="F416" t="inlineStr">
        <is>
          <t>VÄRMLANDS LÄN</t>
        </is>
      </c>
      <c r="G416" t="inlineStr">
        <is>
          <t>KARLSTAD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31391-2026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46220</v>
      </c>
      <c r="E417" s="1" t="n">
        <v>46256</v>
      </c>
      <c r="F417" t="inlineStr">
        <is>
          <t>VÄRMLANDS LÄN</t>
        </is>
      </c>
      <c r="G417" t="inlineStr">
        <is>
          <t>KARLSTAD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46256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46256</v>
      </c>
      <c r="F419" t="inlineStr">
        <is>
          <t>VÄRMLANDS LÄN</t>
        </is>
      </c>
      <c r="G419" t="inlineStr">
        <is>
          <t>KARLSTAD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46256</v>
      </c>
      <c r="F420" t="inlineStr">
        <is>
          <t>VÄRMLANDS LÄN</t>
        </is>
      </c>
      <c r="G420" t="inlineStr">
        <is>
          <t>KARLSTAD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46256</v>
      </c>
      <c r="F421" t="inlineStr">
        <is>
          <t>VÄRMLANDS LÄN</t>
        </is>
      </c>
      <c r="G421" t="inlineStr">
        <is>
          <t>KARLSTAD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46222</v>
      </c>
      <c r="E422" s="1" t="n">
        <v>46256</v>
      </c>
      <c r="F422" t="inlineStr">
        <is>
          <t>VÄRMLANDS LÄN</t>
        </is>
      </c>
      <c r="G422" t="inlineStr">
        <is>
          <t>KARLSTAD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44649</v>
      </c>
      <c r="E423" s="1" t="n">
        <v>46256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45196</v>
      </c>
      <c r="E424" s="1" t="n">
        <v>46256</v>
      </c>
      <c r="F424" t="inlineStr">
        <is>
          <t>VÄRMLANDS LÄN</t>
        </is>
      </c>
      <c r="G424" t="inlineStr">
        <is>
          <t>KARLSTAD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46220</v>
      </c>
      <c r="E425" s="1" t="n">
        <v>46256</v>
      </c>
      <c r="F425" t="inlineStr">
        <is>
          <t>VÄRMLANDS LÄN</t>
        </is>
      </c>
      <c r="G425" t="inlineStr">
        <is>
          <t>KARLSTAD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46220</v>
      </c>
      <c r="E426" s="1" t="n">
        <v>46256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46256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46256</v>
      </c>
      <c r="F428" t="inlineStr">
        <is>
          <t>VÄRMLANDS LÄN</t>
        </is>
      </c>
      <c r="G428" t="inlineStr">
        <is>
          <t>KARLSTAD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45630</v>
      </c>
      <c r="E429" s="1" t="n">
        <v>46256</v>
      </c>
      <c r="F429" t="inlineStr">
        <is>
          <t>VÄRMLANDS LÄN</t>
        </is>
      </c>
      <c r="G429" t="inlineStr">
        <is>
          <t>KARLSTAD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46256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46256</v>
      </c>
      <c r="F431" t="inlineStr">
        <is>
          <t>VÄRMLANDS LÄN</t>
        </is>
      </c>
      <c r="G431" t="inlineStr">
        <is>
          <t>KARLSTAD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46256</v>
      </c>
      <c r="F432" t="inlineStr">
        <is>
          <t>VÄRMLANDS LÄN</t>
        </is>
      </c>
      <c r="G432" t="inlineStr">
        <is>
          <t>KARLSTAD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11342-2026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46082</v>
      </c>
      <c r="E433" s="1" t="n">
        <v>46256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46256</v>
      </c>
      <c r="F434" t="inlineStr">
        <is>
          <t>VÄRMLANDS LÄN</t>
        </is>
      </c>
      <c r="G434" t="inlineStr">
        <is>
          <t>KARLSTAD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46256</v>
      </c>
      <c r="F435" t="inlineStr">
        <is>
          <t>VÄRMLANDS LÄN</t>
        </is>
      </c>
      <c r="G435" t="inlineStr">
        <is>
          <t>KARLSTAD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46256</v>
      </c>
      <c r="F436" t="inlineStr">
        <is>
          <t>VÄRMLANDS LÄN</t>
        </is>
      </c>
      <c r="G436" t="inlineStr">
        <is>
          <t>KARLSTAD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45450</v>
      </c>
      <c r="E437" s="1" t="n">
        <v>46256</v>
      </c>
      <c r="F437" t="inlineStr">
        <is>
          <t>VÄRMLANDS LÄN</t>
        </is>
      </c>
      <c r="G437" t="inlineStr">
        <is>
          <t>KARLSTAD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46256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45258</v>
      </c>
      <c r="E439" s="1" t="n">
        <v>46256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46256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12903-2026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46092</v>
      </c>
      <c r="E441" s="1" t="n">
        <v>46256</v>
      </c>
      <c r="F441" t="inlineStr">
        <is>
          <t>VÄRMLANDS LÄN</t>
        </is>
      </c>
      <c r="G441" t="inlineStr">
        <is>
          <t>KARLSTAD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45366</v>
      </c>
      <c r="E442" s="1" t="n">
        <v>46256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46256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46256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44566</v>
      </c>
      <c r="E445" s="1" t="n">
        <v>46256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46256</v>
      </c>
      <c r="F446" t="inlineStr">
        <is>
          <t>VÄRMLANDS LÄN</t>
        </is>
      </c>
      <c r="G446" t="inlineStr">
        <is>
          <t>KARLSTAD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46256</v>
      </c>
      <c r="F447" t="inlineStr">
        <is>
          <t>VÄRMLANDS LÄN</t>
        </is>
      </c>
      <c r="G447" t="inlineStr">
        <is>
          <t>KARLSTAD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46256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46256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46256</v>
      </c>
      <c r="F450" t="inlineStr">
        <is>
          <t>VÄRMLANDS LÄN</t>
        </is>
      </c>
      <c r="G450" t="inlineStr">
        <is>
          <t>KARLSTAD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46256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46256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45757-2022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46256</v>
      </c>
      <c r="F453" t="inlineStr">
        <is>
          <t>VÄRMLANDS LÄN</t>
        </is>
      </c>
      <c r="G453" t="inlineStr">
        <is>
          <t>KARLSTAD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46256</v>
      </c>
      <c r="F454" t="inlineStr">
        <is>
          <t>VÄRMLANDS LÄN</t>
        </is>
      </c>
      <c r="G454" t="inlineStr">
        <is>
          <t>KARLSTAD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14079-2026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46099</v>
      </c>
      <c r="E455" s="1" t="n">
        <v>46256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46256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44708</v>
      </c>
      <c r="E457" s="1" t="n">
        <v>46256</v>
      </c>
      <c r="F457" t="inlineStr">
        <is>
          <t>VÄRMLANDS LÄN</t>
        </is>
      </c>
      <c r="G457" t="inlineStr">
        <is>
          <t>KARLSTAD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44986</v>
      </c>
      <c r="E458" s="1" t="n">
        <v>46256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14890-2026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46104</v>
      </c>
      <c r="E459" s="1" t="n">
        <v>46256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42465-2024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46256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45012</v>
      </c>
      <c r="E461" s="1" t="n">
        <v>46256</v>
      </c>
      <c r="F461" t="inlineStr">
        <is>
          <t>VÄRMLANDS LÄN</t>
        </is>
      </c>
      <c r="G461" t="inlineStr">
        <is>
          <t>KARLSTAD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51663-2023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45222</v>
      </c>
      <c r="E462" s="1" t="n">
        <v>46256</v>
      </c>
      <c r="F462" t="inlineStr">
        <is>
          <t>VÄRMLANDS LÄN</t>
        </is>
      </c>
      <c r="G462" t="inlineStr">
        <is>
          <t>KARLSTAD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69008-2021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46256</v>
      </c>
      <c r="F463" t="inlineStr">
        <is>
          <t>VÄRMLANDS LÄN</t>
        </is>
      </c>
      <c r="G463" t="inlineStr">
        <is>
          <t>KARLSTAD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15772-2026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46107</v>
      </c>
      <c r="E464" s="1" t="n">
        <v>46256</v>
      </c>
      <c r="F464" t="inlineStr">
        <is>
          <t>VÄRMLANDS LÄN</t>
        </is>
      </c>
      <c r="G464" t="inlineStr">
        <is>
          <t>KARLSTAD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46256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46256</v>
      </c>
      <c r="F466" t="inlineStr">
        <is>
          <t>VÄRMLANDS LÄN</t>
        </is>
      </c>
      <c r="G466" t="inlineStr">
        <is>
          <t>KARLSTAD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46256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46256</v>
      </c>
      <c r="F468" t="inlineStr">
        <is>
          <t>VÄRMLANDS LÄN</t>
        </is>
      </c>
      <c r="G468" t="inlineStr">
        <is>
          <t>KARLSTAD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46256</v>
      </c>
      <c r="F469" t="inlineStr">
        <is>
          <t>VÄRMLANDS LÄN</t>
        </is>
      </c>
      <c r="G469" t="inlineStr">
        <is>
          <t>KARLSTAD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45544</v>
      </c>
      <c r="E470" s="1" t="n">
        <v>46256</v>
      </c>
      <c r="F470" t="inlineStr">
        <is>
          <t>VÄRMLANDS LÄN</t>
        </is>
      </c>
      <c r="G470" t="inlineStr">
        <is>
          <t>KARLSTAD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46114</v>
      </c>
      <c r="E471" s="1" t="n">
        <v>46256</v>
      </c>
      <c r="F471" t="inlineStr">
        <is>
          <t>VÄRMLANDS LÄN</t>
        </is>
      </c>
      <c r="G471" t="inlineStr">
        <is>
          <t>KARLSTAD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44902</v>
      </c>
      <c r="E472" s="1" t="n">
        <v>46256</v>
      </c>
      <c r="F472" t="inlineStr">
        <is>
          <t>VÄRMLANDS LÄN</t>
        </is>
      </c>
      <c r="G472" t="inlineStr">
        <is>
          <t>KARLSTAD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46256</v>
      </c>
      <c r="F473" t="inlineStr">
        <is>
          <t>VÄRMLANDS LÄN</t>
        </is>
      </c>
      <c r="G473" t="inlineStr">
        <is>
          <t>KARLSTAD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54669-2024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46256</v>
      </c>
      <c r="F474" t="inlineStr">
        <is>
          <t>VÄRMLANDS LÄN</t>
        </is>
      </c>
      <c r="G474" t="inlineStr">
        <is>
          <t>KARLSTAD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46256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46256</v>
      </c>
      <c r="F476" t="inlineStr">
        <is>
          <t>VÄRMLANDS LÄN</t>
        </is>
      </c>
      <c r="G476" t="inlineStr">
        <is>
          <t>KARLSTAD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45070</v>
      </c>
      <c r="E477" s="1" t="n">
        <v>46256</v>
      </c>
      <c r="F477" t="inlineStr">
        <is>
          <t>VÄRMLANDS LÄN</t>
        </is>
      </c>
      <c r="G477" t="inlineStr">
        <is>
          <t>KARLSTAD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44999</v>
      </c>
      <c r="E478" s="1" t="n">
        <v>46256</v>
      </c>
      <c r="F478" t="inlineStr">
        <is>
          <t>VÄRMLANDS LÄN</t>
        </is>
      </c>
      <c r="G478" t="inlineStr">
        <is>
          <t>KARLSTAD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46256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46256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46256</v>
      </c>
      <c r="F481" t="inlineStr">
        <is>
          <t>VÄRMLANDS LÄN</t>
        </is>
      </c>
      <c r="G481" t="inlineStr">
        <is>
          <t>KARLSTAD</t>
        </is>
      </c>
      <c r="H481" t="inlineStr">
        <is>
          <t>Övriga statliga verk och myndigheter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46256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46256</v>
      </c>
      <c r="F483" t="inlineStr">
        <is>
          <t>VÄRMLANDS LÄN</t>
        </is>
      </c>
      <c r="G483" t="inlineStr">
        <is>
          <t>KARLSTAD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46256</v>
      </c>
      <c r="F484" t="inlineStr">
        <is>
          <t>VÄRMLANDS LÄN</t>
        </is>
      </c>
      <c r="G484" t="inlineStr">
        <is>
          <t>KARLSTAD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46256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50478-2024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45601</v>
      </c>
      <c r="E486" s="1" t="n">
        <v>46256</v>
      </c>
      <c r="F486" t="inlineStr">
        <is>
          <t>VÄRMLANDS LÄN</t>
        </is>
      </c>
      <c r="G486" t="inlineStr">
        <is>
          <t>KARLSTAD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45028</v>
      </c>
      <c r="E487" s="1" t="n">
        <v>46256</v>
      </c>
      <c r="F487" t="inlineStr">
        <is>
          <t>VÄRMLANDS LÄN</t>
        </is>
      </c>
      <c r="G487" t="inlineStr">
        <is>
          <t>KARLSTAD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46256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46256</v>
      </c>
      <c r="F489" t="inlineStr">
        <is>
          <t>VÄRMLANDS LÄN</t>
        </is>
      </c>
      <c r="G489" t="inlineStr">
        <is>
          <t>KARLSTAD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46256</v>
      </c>
      <c r="F490" t="inlineStr">
        <is>
          <t>VÄRMLANDS LÄN</t>
        </is>
      </c>
      <c r="G490" t="inlineStr">
        <is>
          <t>KARLSTAD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46256</v>
      </c>
      <c r="F491" t="inlineStr">
        <is>
          <t>VÄRMLANDS LÄN</t>
        </is>
      </c>
      <c r="G491" t="inlineStr">
        <is>
          <t>KARLSTAD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45258</v>
      </c>
      <c r="E492" s="1" t="n">
        <v>46256</v>
      </c>
      <c r="F492" t="inlineStr">
        <is>
          <t>VÄRMLANDS LÄN</t>
        </is>
      </c>
      <c r="G492" t="inlineStr">
        <is>
          <t>KARLSTAD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44634</v>
      </c>
      <c r="E493" s="1" t="n">
        <v>46256</v>
      </c>
      <c r="F493" t="inlineStr">
        <is>
          <t>VÄRMLANDS LÄN</t>
        </is>
      </c>
      <c r="G493" t="inlineStr">
        <is>
          <t>KARLSTAD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46256</v>
      </c>
      <c r="F494" t="inlineStr">
        <is>
          <t>VÄRMLANDS LÄN</t>
        </is>
      </c>
      <c r="G494" t="inlineStr">
        <is>
          <t>KARLSTAD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46256</v>
      </c>
      <c r="F495" t="inlineStr">
        <is>
          <t>VÄRMLANDS LÄN</t>
        </is>
      </c>
      <c r="G495" t="inlineStr">
        <is>
          <t>KARLSTAD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46256</v>
      </c>
      <c r="F496" t="inlineStr">
        <is>
          <t>VÄRMLANDS LÄN</t>
        </is>
      </c>
      <c r="G496" t="inlineStr">
        <is>
          <t>KARLSTAD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45693</v>
      </c>
      <c r="E497" s="1" t="n">
        <v>46256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45836</v>
      </c>
      <c r="E498" s="1" t="n">
        <v>46256</v>
      </c>
      <c r="F498" t="inlineStr">
        <is>
          <t>VÄRMLANDS LÄN</t>
        </is>
      </c>
      <c r="G498" t="inlineStr">
        <is>
          <t>KARLSTAD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46256</v>
      </c>
      <c r="F499" t="inlineStr">
        <is>
          <t>VÄRMLANDS LÄN</t>
        </is>
      </c>
      <c r="G499" t="inlineStr">
        <is>
          <t>KARLSTAD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45636</v>
      </c>
      <c r="E500" s="1" t="n">
        <v>46256</v>
      </c>
      <c r="F500" t="inlineStr">
        <is>
          <t>VÄRMLANDS LÄN</t>
        </is>
      </c>
      <c r="G500" t="inlineStr">
        <is>
          <t>KARLSTAD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45751</v>
      </c>
      <c r="E501" s="1" t="n">
        <v>46256</v>
      </c>
      <c r="F501" t="inlineStr">
        <is>
          <t>VÄRMLANDS LÄN</t>
        </is>
      </c>
      <c r="G501" t="inlineStr">
        <is>
          <t>KARLSTAD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45803</v>
      </c>
      <c r="E502" s="1" t="n">
        <v>46256</v>
      </c>
      <c r="F502" t="inlineStr">
        <is>
          <t>VÄRMLANDS LÄN</t>
        </is>
      </c>
      <c r="G502" t="inlineStr">
        <is>
          <t>KARLSTAD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46256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46256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45308</v>
      </c>
      <c r="E505" s="1" t="n">
        <v>46256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46256</v>
      </c>
      <c r="F506" t="inlineStr">
        <is>
          <t>VÄRMLANDS LÄN</t>
        </is>
      </c>
      <c r="G506" t="inlineStr">
        <is>
          <t>KARLSTAD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44896</v>
      </c>
      <c r="E507" s="1" t="n">
        <v>46256</v>
      </c>
      <c r="F507" t="inlineStr">
        <is>
          <t>VÄRMLANDS LÄN</t>
        </is>
      </c>
      <c r="G507" t="inlineStr">
        <is>
          <t>KARLSTAD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59892-2024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45641</v>
      </c>
      <c r="E508" s="1" t="n">
        <v>46256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24772-2025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46256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46256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46256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46256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46256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45798</v>
      </c>
      <c r="E514" s="1" t="n">
        <v>46256</v>
      </c>
      <c r="F514" t="inlineStr">
        <is>
          <t>VÄRMLANDS LÄN</t>
        </is>
      </c>
      <c r="G514" t="inlineStr">
        <is>
          <t>KARLSTAD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44593</v>
      </c>
      <c r="E515" s="1" t="n">
        <v>46256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44937</v>
      </c>
      <c r="E516" s="1" t="n">
        <v>46256</v>
      </c>
      <c r="F516" t="inlineStr">
        <is>
          <t>VÄRMLANDS LÄN</t>
        </is>
      </c>
      <c r="G516" t="inlineStr">
        <is>
          <t>KARLSTAD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46256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46256</v>
      </c>
      <c r="F518" t="inlineStr">
        <is>
          <t>VÄRMLANDS LÄN</t>
        </is>
      </c>
      <c r="G518" t="inlineStr">
        <is>
          <t>KARLSTAD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46256</v>
      </c>
      <c r="F519" t="inlineStr">
        <is>
          <t>VÄRMLANDS LÄN</t>
        </is>
      </c>
      <c r="G519" t="inlineStr">
        <is>
          <t>KARLSTAD</t>
        </is>
      </c>
      <c r="H519" t="inlineStr">
        <is>
          <t>Bergvik skog väst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46256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46256</v>
      </c>
      <c r="F521" t="inlineStr">
        <is>
          <t>VÄRMLANDS LÄN</t>
        </is>
      </c>
      <c r="G521" t="inlineStr">
        <is>
          <t>KARLSTAD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46256</v>
      </c>
      <c r="F522" t="inlineStr">
        <is>
          <t>VÄRMLANDS LÄN</t>
        </is>
      </c>
      <c r="G522" t="inlineStr">
        <is>
          <t>KARLSTAD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45904</v>
      </c>
      <c r="E523" s="1" t="n">
        <v>46256</v>
      </c>
      <c r="F523" t="inlineStr">
        <is>
          <t>VÄRMLANDS LÄN</t>
        </is>
      </c>
      <c r="G523" t="inlineStr">
        <is>
          <t>KARLSTAD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46256</v>
      </c>
      <c r="F524" t="inlineStr">
        <is>
          <t>VÄRMLANDS LÄN</t>
        </is>
      </c>
      <c r="G524" t="inlineStr">
        <is>
          <t>KARLSTAD</t>
        </is>
      </c>
      <c r="H524" t="inlineStr">
        <is>
          <t>Övriga Aktiebolag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37487-2025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45877</v>
      </c>
      <c r="E525" s="1" t="n">
        <v>46256</v>
      </c>
      <c r="F525" t="inlineStr">
        <is>
          <t>VÄRMLANDS LÄN</t>
        </is>
      </c>
      <c r="G525" t="inlineStr">
        <is>
          <t>KARLSTAD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46256</v>
      </c>
      <c r="F526" t="inlineStr">
        <is>
          <t>VÄRMLANDS LÄN</t>
        </is>
      </c>
      <c r="G526" t="inlineStr">
        <is>
          <t>KARLSTAD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46256</v>
      </c>
      <c r="F527" t="inlineStr">
        <is>
          <t>VÄRMLANDS LÄN</t>
        </is>
      </c>
      <c r="G527" t="inlineStr">
        <is>
          <t>KARLSTAD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44893</v>
      </c>
      <c r="E528" s="1" t="n">
        <v>46256</v>
      </c>
      <c r="F528" t="inlineStr">
        <is>
          <t>VÄRMLANDS LÄN</t>
        </is>
      </c>
      <c r="G528" t="inlineStr">
        <is>
          <t>KARLSTAD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46256</v>
      </c>
      <c r="F529" t="inlineStr">
        <is>
          <t>VÄRMLANDS LÄN</t>
        </is>
      </c>
      <c r="G529" t="inlineStr">
        <is>
          <t>KARLSTAD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46256</v>
      </c>
      <c r="F530" t="inlineStr">
        <is>
          <t>VÄRMLANDS LÄN</t>
        </is>
      </c>
      <c r="G530" t="inlineStr">
        <is>
          <t>KARLSTAD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46256</v>
      </c>
      <c r="F531" t="inlineStr">
        <is>
          <t>VÄRMLANDS LÄN</t>
        </is>
      </c>
      <c r="G531" t="inlineStr">
        <is>
          <t>KARLSTAD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46256</v>
      </c>
      <c r="F532" t="inlineStr">
        <is>
          <t>VÄRMLANDS LÄN</t>
        </is>
      </c>
      <c r="G532" t="inlineStr">
        <is>
          <t>KARLSTAD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46256</v>
      </c>
      <c r="F533" t="inlineStr">
        <is>
          <t>VÄRMLANDS LÄN</t>
        </is>
      </c>
      <c r="G533" t="inlineStr">
        <is>
          <t>KARLSTAD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46256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46256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46256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46256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20855-2026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46142</v>
      </c>
      <c r="E538" s="1" t="n">
        <v>46256</v>
      </c>
      <c r="F538" t="inlineStr">
        <is>
          <t>VÄRMLANDS LÄN</t>
        </is>
      </c>
      <c r="G538" t="inlineStr">
        <is>
          <t>KARLSTAD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45386</v>
      </c>
      <c r="E539" s="1" t="n">
        <v>46256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46256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46256</v>
      </c>
      <c r="F541" t="inlineStr">
        <is>
          <t>VÄRMLANDS LÄN</t>
        </is>
      </c>
      <c r="G541" t="inlineStr">
        <is>
          <t>KARLSTAD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46256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46256</v>
      </c>
      <c r="F543" t="inlineStr">
        <is>
          <t>VÄRMLANDS LÄN</t>
        </is>
      </c>
      <c r="G543" t="inlineStr">
        <is>
          <t>KARLSTAD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46256</v>
      </c>
      <c r="F544" t="inlineStr">
        <is>
          <t>VÄRMLANDS LÄN</t>
        </is>
      </c>
      <c r="G544" t="inlineStr">
        <is>
          <t>KARLSTAD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46256</v>
      </c>
      <c r="F545" t="inlineStr">
        <is>
          <t>VÄRMLANDS LÄN</t>
        </is>
      </c>
      <c r="G545" t="inlineStr">
        <is>
          <t>KARLSTAD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46256</v>
      </c>
      <c r="F546" t="inlineStr">
        <is>
          <t>VÄRMLANDS LÄN</t>
        </is>
      </c>
      <c r="G546" t="inlineStr">
        <is>
          <t>KARLSTAD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45736</v>
      </c>
      <c r="E547" s="1" t="n">
        <v>46256</v>
      </c>
      <c r="F547" t="inlineStr">
        <is>
          <t>VÄRMLANDS LÄN</t>
        </is>
      </c>
      <c r="G547" t="inlineStr">
        <is>
          <t>KARLSTAD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53305-2023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45229</v>
      </c>
      <c r="E548" s="1" t="n">
        <v>46256</v>
      </c>
      <c r="F548" t="inlineStr">
        <is>
          <t>VÄRMLANDS LÄN</t>
        </is>
      </c>
      <c r="G548" t="inlineStr">
        <is>
          <t>KARLSTAD</t>
        </is>
      </c>
      <c r="H548" t="inlineStr">
        <is>
          <t>Övriga Aktiebolag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16757-2024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45411</v>
      </c>
      <c r="E549" s="1" t="n">
        <v>46256</v>
      </c>
      <c r="F549" t="inlineStr">
        <is>
          <t>VÄRMLANDS LÄN</t>
        </is>
      </c>
      <c r="G549" t="inlineStr">
        <is>
          <t>KARLSTAD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45713</v>
      </c>
      <c r="E550" s="1" t="n">
        <v>46256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45379</v>
      </c>
      <c r="E551" s="1" t="n">
        <v>46256</v>
      </c>
      <c r="F551" t="inlineStr">
        <is>
          <t>VÄRMLANDS LÄN</t>
        </is>
      </c>
      <c r="G551" t="inlineStr">
        <is>
          <t>KARLSTAD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54141-2024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45616</v>
      </c>
      <c r="E552" s="1" t="n">
        <v>46256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46256</v>
      </c>
      <c r="F553" t="inlineStr">
        <is>
          <t>VÄRMLANDS LÄN</t>
        </is>
      </c>
      <c r="G553" t="inlineStr">
        <is>
          <t>KARLSTAD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46256</v>
      </c>
      <c r="F554" t="inlineStr">
        <is>
          <t>VÄRMLANDS LÄN</t>
        </is>
      </c>
      <c r="G554" t="inlineStr">
        <is>
          <t>KARLSTAD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46256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46256</v>
      </c>
      <c r="F556" t="inlineStr">
        <is>
          <t>VÄRMLANDS LÄN</t>
        </is>
      </c>
      <c r="G556" t="inlineStr">
        <is>
          <t>KARLSTAD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45782</v>
      </c>
      <c r="E557" s="1" t="n">
        <v>46256</v>
      </c>
      <c r="F557" t="inlineStr">
        <is>
          <t>VÄRMLANDS LÄN</t>
        </is>
      </c>
      <c r="G557" t="inlineStr">
        <is>
          <t>KARLSTAD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46256</v>
      </c>
      <c r="F558" t="inlineStr">
        <is>
          <t>VÄRMLANDS LÄN</t>
        </is>
      </c>
      <c r="G558" t="inlineStr">
        <is>
          <t>KARLSTAD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46256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46256</v>
      </c>
      <c r="F560" t="inlineStr">
        <is>
          <t>VÄRMLANDS LÄN</t>
        </is>
      </c>
      <c r="G560" t="inlineStr">
        <is>
          <t>KARLSTAD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45937</v>
      </c>
      <c r="E561" s="1" t="n">
        <v>46256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46256</v>
      </c>
      <c r="F562" t="inlineStr">
        <is>
          <t>VÄRMLANDS LÄN</t>
        </is>
      </c>
      <c r="G562" t="inlineStr">
        <is>
          <t>KARLSTAD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46256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46256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39792-2024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46256</v>
      </c>
      <c r="F565" t="inlineStr">
        <is>
          <t>VÄRMLANDS LÄN</t>
        </is>
      </c>
      <c r="G565" t="inlineStr">
        <is>
          <t>KARLSTAD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45466</v>
      </c>
      <c r="E566" s="1" t="n">
        <v>46256</v>
      </c>
      <c r="F566" t="inlineStr">
        <is>
          <t>VÄRMLANDS LÄN</t>
        </is>
      </c>
      <c r="G566" t="inlineStr">
        <is>
          <t>KARLSTAD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46256</v>
      </c>
      <c r="F567" t="inlineStr">
        <is>
          <t>VÄRMLANDS LÄN</t>
        </is>
      </c>
      <c r="G567" t="inlineStr">
        <is>
          <t>KARLSTAD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38298-2022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46256</v>
      </c>
      <c r="F568" t="inlineStr">
        <is>
          <t>VÄRMLANDS LÄN</t>
        </is>
      </c>
      <c r="G568" t="inlineStr">
        <is>
          <t>KARLSTAD</t>
        </is>
      </c>
      <c r="H568" t="inlineStr">
        <is>
          <t>Bergvik skog väst AB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55081-2024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46256</v>
      </c>
      <c r="F569" t="inlineStr">
        <is>
          <t>VÄRMLANDS LÄN</t>
        </is>
      </c>
      <c r="G569" t="inlineStr">
        <is>
          <t>KARLSTAD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45642</v>
      </c>
      <c r="E570" s="1" t="n">
        <v>46256</v>
      </c>
      <c r="F570" t="inlineStr">
        <is>
          <t>VÄRMLANDS LÄN</t>
        </is>
      </c>
      <c r="G570" t="inlineStr">
        <is>
          <t>KARLSTAD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19166-2023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45044</v>
      </c>
      <c r="E571" s="1" t="n">
        <v>46256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4402-2023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45266</v>
      </c>
      <c r="E572" s="1" t="n">
        <v>46256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14.5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435-2024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45337</v>
      </c>
      <c r="E573" s="1" t="n">
        <v>46256</v>
      </c>
      <c r="F573" t="inlineStr">
        <is>
          <t>VÄRMLANDS LÄN</t>
        </is>
      </c>
      <c r="G573" t="inlineStr">
        <is>
          <t>KARLSTAD</t>
        </is>
      </c>
      <c r="I573" t="n">
        <v>101.6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5511-2022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44834</v>
      </c>
      <c r="E574" s="1" t="n">
        <v>46256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928-2022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44606</v>
      </c>
      <c r="E575" s="1" t="n">
        <v>46256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4396-2023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45266</v>
      </c>
      <c r="E576" s="1" t="n">
        <v>46256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2688-2024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45481</v>
      </c>
      <c r="E577" s="1" t="n">
        <v>46256</v>
      </c>
      <c r="F577" t="inlineStr">
        <is>
          <t>VÄRMLANDS LÄN</t>
        </is>
      </c>
      <c r="G577" t="inlineStr">
        <is>
          <t>KARLSTAD</t>
        </is>
      </c>
      <c r="I577" t="n">
        <v>31.6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416-2024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45335</v>
      </c>
      <c r="E578" s="1" t="n">
        <v>46256</v>
      </c>
      <c r="F578" t="inlineStr">
        <is>
          <t>VÄRMLANDS LÄN</t>
        </is>
      </c>
      <c r="G578" t="inlineStr">
        <is>
          <t>KARLSTAD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6972-2022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44901</v>
      </c>
      <c r="E579" s="1" t="n">
        <v>46256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45476</v>
      </c>
      <c r="E580" s="1" t="n">
        <v>46256</v>
      </c>
      <c r="F580" t="inlineStr">
        <is>
          <t>VÄRMLANDS LÄN</t>
        </is>
      </c>
      <c r="G580" t="inlineStr">
        <is>
          <t>KARLSTAD</t>
        </is>
      </c>
      <c r="I580" t="n">
        <v>19.1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3510-2022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44733</v>
      </c>
      <c r="E581" s="1" t="n">
        <v>46256</v>
      </c>
      <c r="F581" t="inlineStr">
        <is>
          <t>VÄRMLANDS LÄN</t>
        </is>
      </c>
      <c r="G581" t="inlineStr">
        <is>
          <t>KARLSTAD</t>
        </is>
      </c>
      <c r="I581" t="n">
        <v>27.7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46256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46256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44596</v>
      </c>
      <c r="E584" s="1" t="n">
        <v>46256</v>
      </c>
      <c r="F584" t="inlineStr">
        <is>
          <t>VÄRMLANDS LÄN</t>
        </is>
      </c>
      <c r="G584" t="inlineStr">
        <is>
          <t>KARLSTAD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3546-2022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44735</v>
      </c>
      <c r="E585" s="1" t="n">
        <v>46256</v>
      </c>
      <c r="F585" t="inlineStr">
        <is>
          <t>VÄRMLANDS LÄN</t>
        </is>
      </c>
      <c r="G585" t="inlineStr">
        <is>
          <t>KARLSTAD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664-2025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45716</v>
      </c>
      <c r="E586" s="1" t="n">
        <v>46256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3060-2025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45964</v>
      </c>
      <c r="E587" s="1" t="n">
        <v>46256</v>
      </c>
      <c r="F587" t="inlineStr">
        <is>
          <t>VÄRMLANDS LÄN</t>
        </is>
      </c>
      <c r="G587" t="inlineStr">
        <is>
          <t>KARLSTAD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100-2026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46036</v>
      </c>
      <c r="E588" s="1" t="n">
        <v>46256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26.6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2026-08-22T01:48:07Z</dcterms:created>
  <dcterms:modified xmlns:dcterms="http://purl.org/dc/terms/" xmlns:xsi="http://www.w3.org/2001/XMLSchema-instance" xsi:type="dcterms:W3CDTF">2026-08-22T01:48:07Z</dcterms:modified>
</cp:coreProperties>
</file>