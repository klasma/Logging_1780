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46319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46319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46319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46319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46319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46319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46319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46319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46319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23629-2026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46319</v>
      </c>
      <c r="F11" t="inlineStr">
        <is>
          <t>VÄRMLANDS LÄN</t>
        </is>
      </c>
      <c r="G11" t="inlineStr">
        <is>
          <t>KARLSTAD</t>
        </is>
      </c>
      <c r="I11" t="n">
        <v>4.7</v>
      </c>
      <c r="J11" t="n">
        <v>1</v>
      </c>
      <c r="K11" t="n">
        <v>3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Fällmossa
Trubbfjädermossa
Trädporella
Lopplummer (aggregat)</t>
        </is>
      </c>
      <c r="W11">
        <f>HYPERLINK("https://klasma.github.io/Logging_1780/artfynd/A 23629-2026 artfynd.xlsx", "A 23629-2026")</f>
        <v/>
      </c>
      <c r="X11">
        <f>HYPERLINK("https://klasma.github.io/Logging_1780/kartor/A 23629-2026 karta.png", "A 23629-2026")</f>
        <v/>
      </c>
      <c r="Y11">
        <f>HYPERLINK("https://klasma.github.io/Logging_1780/kartor_geotiff/A 23629-2026 georefererad karta.tif", "A 23629-2026")</f>
        <v/>
      </c>
      <c r="AA11">
        <f>HYPERLINK("https://klasma.github.io/Logging_1780/klagomål/A 23629-2026 FSC-klagomål.docx", "A 23629-2026")</f>
        <v/>
      </c>
      <c r="AB11">
        <f>HYPERLINK("https://klasma.github.io/Logging_1780/klagomålsmail/A 23629-2026 FSC-klagomål mail.docx", "A 23629-2026")</f>
        <v/>
      </c>
      <c r="AC11">
        <f>HYPERLINK("https://klasma.github.io/Logging_1780/tillsyn/A 23629-2026 tillsynsbegäran.docx", "A 23629-2026")</f>
        <v/>
      </c>
      <c r="AD11">
        <f>HYPERLINK("https://klasma.github.io/Logging_1780/tillsynsmail/A 23629-2026 tillsynsbegäran mail.docx", "A 23629-2026")</f>
        <v/>
      </c>
    </row>
    <row r="12" ht="15" customHeight="1">
      <c r="A12" t="inlineStr">
        <is>
          <t>A 28267-2026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46319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5.1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21</v>
      </c>
      <c r="U12" t="n">
        <v>0</v>
      </c>
      <c r="V12" s="2" t="inlineStr">
        <is>
          <t>Dropptaggsvamp
Motaggsvamp
Vaddporing
Vedskivlav
Mindre märgborre</t>
        </is>
      </c>
      <c r="W12">
        <f>HYPERLINK("https://klasma.github.io/Logging_1780/artfynd/A 28267-2026 artfynd.xlsx", "A 28267-2026")</f>
        <v/>
      </c>
      <c r="X12">
        <f>HYPERLINK("https://klasma.github.io/Logging_1780/kartor/A 28267-2026 karta.png", "A 28267-2026")</f>
        <v/>
      </c>
      <c r="Y12">
        <f>HYPERLINK("https://klasma.github.io/Logging_1780/kartor_geotiff/A 28267-2026 georefererad karta.tif", "A 28267-2026")</f>
        <v/>
      </c>
      <c r="AA12">
        <f>HYPERLINK("https://klasma.github.io/Logging_1780/klagomål/A 28267-2026 FSC-klagomål.docx", "A 28267-2026")</f>
        <v/>
      </c>
      <c r="AB12">
        <f>HYPERLINK("https://klasma.github.io/Logging_1780/klagomålsmail/A 28267-2026 FSC-klagomål mail.docx", "A 28267-2026")</f>
        <v/>
      </c>
      <c r="AC12">
        <f>HYPERLINK("https://klasma.github.io/Logging_1780/tillsyn/A 28267-2026 tillsynsbegäran.docx", "A 28267-2026")</f>
        <v/>
      </c>
      <c r="AD12">
        <f>HYPERLINK("https://klasma.github.io/Logging_1780/tillsynsmail/A 28267-2026 tillsynsbegäran mail.docx", "A 28267-2026")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46319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46319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46319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46319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46319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27982-2026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46319</v>
      </c>
      <c r="F18" t="inlineStr">
        <is>
          <t>VÄRMLANDS LÄN</t>
        </is>
      </c>
      <c r="G18" t="inlineStr">
        <is>
          <t>KARLSTAD</t>
        </is>
      </c>
      <c r="I18" t="n">
        <v>2.1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Gullpudra
Springkorn
Strutbräken</t>
        </is>
      </c>
      <c r="W18">
        <f>HYPERLINK("https://klasma.github.io/Logging_1780/artfynd/A 27982-2026 artfynd.xlsx", "A 27982-2026")</f>
        <v/>
      </c>
      <c r="X18">
        <f>HYPERLINK("https://klasma.github.io/Logging_1780/kartor/A 27982-2026 karta.png", "A 27982-2026")</f>
        <v/>
      </c>
      <c r="Y18">
        <f>HYPERLINK("https://klasma.github.io/Logging_1780/kartor_geotiff/A 27982-2026 georefererad karta.tif", "A 27982-2026")</f>
        <v/>
      </c>
      <c r="AA18">
        <f>HYPERLINK("https://klasma.github.io/Logging_1780/klagomål/A 27982-2026 FSC-klagomål.docx", "A 27982-2026")</f>
        <v/>
      </c>
      <c r="AB18">
        <f>HYPERLINK("https://klasma.github.io/Logging_1780/klagomålsmail/A 27982-2026 FSC-klagomål mail.docx", "A 27982-2026")</f>
        <v/>
      </c>
      <c r="AC18">
        <f>HYPERLINK("https://klasma.github.io/Logging_1780/tillsyn/A 27982-2026 tillsynsbegäran.docx", "A 27982-2026")</f>
        <v/>
      </c>
      <c r="AD18">
        <f>HYPERLINK("https://klasma.github.io/Logging_1780/tillsynsmail/A 27982-2026 tillsynsbegäran mail.docx", "A 27982-2026")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46319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11810-2024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45375</v>
      </c>
      <c r="E20" s="1" t="n">
        <v>46319</v>
      </c>
      <c r="F20" t="inlineStr">
        <is>
          <t>VÄRMLANDS LÄN</t>
        </is>
      </c>
      <c r="G20" t="inlineStr">
        <is>
          <t>KARLSTAD</t>
        </is>
      </c>
      <c r="I20" t="n">
        <v>4.3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Björksplintborre
Stubbspretmossa
Spillkråka</t>
        </is>
      </c>
      <c r="W20">
        <f>HYPERLINK("https://klasma.github.io/Logging_1780/artfynd/A 11810-2024 artfynd.xlsx", "A 11810-2024")</f>
        <v/>
      </c>
      <c r="X20">
        <f>HYPERLINK("https://klasma.github.io/Logging_1780/kartor/A 11810-2024 karta.png", "A 11810-2024")</f>
        <v/>
      </c>
      <c r="Y20">
        <f>HYPERLINK("https://klasma.github.io/Logging_1780/kartor_geotiff/A 11810-2024 georefererad karta.tif", "A 11810-2024")</f>
        <v/>
      </c>
      <c r="AA20">
        <f>HYPERLINK("https://klasma.github.io/Logging_1780/klagomål/A 11810-2024 FSC-klagomål.docx", "A 11810-2024")</f>
        <v/>
      </c>
      <c r="AB20">
        <f>HYPERLINK("https://klasma.github.io/Logging_1780/klagomålsmail/A 11810-2024 FSC-klagomål mail.docx", "A 11810-2024")</f>
        <v/>
      </c>
      <c r="AC20">
        <f>HYPERLINK("https://klasma.github.io/Logging_1780/tillsyn/A 11810-2024 tillsynsbegäran.docx", "A 11810-2024")</f>
        <v/>
      </c>
      <c r="AD20">
        <f>HYPERLINK("https://klasma.github.io/Logging_1780/tillsynsmail/A 11810-2024 tillsynsbegäran mail.docx", "A 11810-2024")</f>
        <v/>
      </c>
      <c r="AE20">
        <f>HYPERLINK("https://klasma.github.io/Logging_1780/fåglar/A 11810-2024 prioriterade fågelarter.docx", "A 11810-2024")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46319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46319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46319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46319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46319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46319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46319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46319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46319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46319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46319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25097-2025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45798</v>
      </c>
      <c r="E32" s="1" t="n">
        <v>46319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Kandelabersvamp
Vågticka</t>
        </is>
      </c>
      <c r="W32">
        <f>HYPERLINK("https://klasma.github.io/Logging_1780/artfynd/A 25097-2025 artfynd.xlsx", "A 25097-2025")</f>
        <v/>
      </c>
      <c r="X32">
        <f>HYPERLINK("https://klasma.github.io/Logging_1780/kartor/A 25097-2025 karta.png", "A 25097-2025")</f>
        <v/>
      </c>
      <c r="Y32">
        <f>HYPERLINK("https://klasma.github.io/Logging_1780/kartor_geotiff/A 25097-2025 georefererad karta.tif", "A 25097-2025")</f>
        <v/>
      </c>
      <c r="AA32">
        <f>HYPERLINK("https://klasma.github.io/Logging_1780/klagomål/A 25097-2025 FSC-klagomål.docx", "A 25097-2025")</f>
        <v/>
      </c>
      <c r="AB32">
        <f>HYPERLINK("https://klasma.github.io/Logging_1780/klagomålsmail/A 25097-2025 FSC-klagomål mail.docx", "A 25097-2025")</f>
        <v/>
      </c>
      <c r="AC32">
        <f>HYPERLINK("https://klasma.github.io/Logging_1780/tillsyn/A 25097-2025 tillsynsbegäran.docx", "A 25097-2025")</f>
        <v/>
      </c>
      <c r="AD32">
        <f>HYPERLINK("https://klasma.github.io/Logging_1780/tillsynsmail/A 25097-2025 tillsynsbegäran mail.docx", "A 25097-2025")</f>
        <v/>
      </c>
    </row>
    <row r="33" ht="15" customHeight="1">
      <c r="A33" t="inlineStr">
        <is>
          <t>A 9499-2024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46319</v>
      </c>
      <c r="F33" t="inlineStr">
        <is>
          <t>VÄRMLANDS LÄN</t>
        </is>
      </c>
      <c r="G33" t="inlineStr">
        <is>
          <t>KARLSTAD</t>
        </is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Grönsiska
Kungsfågel</t>
        </is>
      </c>
      <c r="W33">
        <f>HYPERLINK("https://klasma.github.io/Logging_1780/artfynd/A 9499-2024 artfynd.xlsx", "A 9499-2024")</f>
        <v/>
      </c>
      <c r="X33">
        <f>HYPERLINK("https://klasma.github.io/Logging_1780/kartor/A 9499-2024 karta.png", "A 9499-2024")</f>
        <v/>
      </c>
      <c r="Y33">
        <f>HYPERLINK("https://klasma.github.io/Logging_1780/kartor_geotiff/A 9499-2024 georefererad karta.tif", "A 9499-2024")</f>
        <v/>
      </c>
      <c r="AA33">
        <f>HYPERLINK("https://klasma.github.io/Logging_1780/klagomål/A 9499-2024 FSC-klagomål.docx", "A 9499-2024")</f>
        <v/>
      </c>
      <c r="AB33">
        <f>HYPERLINK("https://klasma.github.io/Logging_1780/klagomålsmail/A 9499-2024 FSC-klagomål mail.docx", "A 9499-2024")</f>
        <v/>
      </c>
      <c r="AC33">
        <f>HYPERLINK("https://klasma.github.io/Logging_1780/tillsyn/A 9499-2024 tillsynsbegäran.docx", "A 9499-2024")</f>
        <v/>
      </c>
      <c r="AD33">
        <f>HYPERLINK("https://klasma.github.io/Logging_1780/tillsynsmail/A 9499-2024 tillsynsbegäran mail.docx", "A 9499-2024")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46319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46319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46319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46319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46319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46319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46319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6260-2023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46319</v>
      </c>
      <c r="F41" t="inlineStr">
        <is>
          <t>VÄRMLANDS LÄN</t>
        </is>
      </c>
      <c r="G41" t="inlineStr">
        <is>
          <t>KARLSTAD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Trädporella</t>
        </is>
      </c>
      <c r="W41">
        <f>HYPERLINK("https://klasma.github.io/Logging_1780/artfynd/A 6260-2023 artfynd.xlsx", "A 6260-2023")</f>
        <v/>
      </c>
      <c r="X41">
        <f>HYPERLINK("https://klasma.github.io/Logging_1780/kartor/A 6260-2023 karta.png", "A 6260-2023")</f>
        <v/>
      </c>
      <c r="Y41">
        <f>HYPERLINK("https://klasma.github.io/Logging_1780/kartor_geotiff/A 6260-2023 georefererad karta.tif", "A 6260-2023")</f>
        <v/>
      </c>
      <c r="AA41">
        <f>HYPERLINK("https://klasma.github.io/Logging_1780/klagomål/A 6260-2023 FSC-klagomål.docx", "A 6260-2023")</f>
        <v/>
      </c>
      <c r="AB41">
        <f>HYPERLINK("https://klasma.github.io/Logging_1780/klagomålsmail/A 6260-2023 FSC-klagomål mail.docx", "A 6260-2023")</f>
        <v/>
      </c>
      <c r="AC41">
        <f>HYPERLINK("https://klasma.github.io/Logging_1780/tillsyn/A 6260-2023 tillsynsbegäran.docx", "A 6260-2023")</f>
        <v/>
      </c>
      <c r="AD41">
        <f>HYPERLINK("https://klasma.github.io/Logging_1780/tillsynsmail/A 6260-2023 tillsynsbegäran mail.docx", "A 6260-2023")</f>
        <v/>
      </c>
    </row>
    <row r="42" ht="15" customHeight="1">
      <c r="A42" t="inlineStr">
        <is>
          <t>A 8944-2025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45713</v>
      </c>
      <c r="E42" s="1" t="n">
        <v>46319</v>
      </c>
      <c r="F42" t="inlineStr">
        <is>
          <t>VÄRMLANDS LÄN</t>
        </is>
      </c>
      <c r="G42" t="inlineStr">
        <is>
          <t>KARLSTAD</t>
        </is>
      </c>
      <c r="I42" t="n">
        <v>12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Lopplummer (aggregat)</t>
        </is>
      </c>
      <c r="W42">
        <f>HYPERLINK("https://klasma.github.io/Logging_1780/artfynd/A 8944-2025 artfynd.xlsx", "A 8944-2025")</f>
        <v/>
      </c>
      <c r="X42">
        <f>HYPERLINK("https://klasma.github.io/Logging_1780/kartor/A 8944-2025 karta.png", "A 8944-2025")</f>
        <v/>
      </c>
      <c r="Y42">
        <f>HYPERLINK("https://klasma.github.io/Logging_1780/kartor_geotiff/A 8944-2025 georefererad karta.tif", "A 8944-2025")</f>
        <v/>
      </c>
      <c r="AA42">
        <f>HYPERLINK("https://klasma.github.io/Logging_1780/klagomål/A 8944-2025 FSC-klagomål.docx", "A 8944-2025")</f>
        <v/>
      </c>
      <c r="AB42">
        <f>HYPERLINK("https://klasma.github.io/Logging_1780/klagomålsmail/A 8944-2025 FSC-klagomål mail.docx", "A 8944-2025")</f>
        <v/>
      </c>
      <c r="AC42">
        <f>HYPERLINK("https://klasma.github.io/Logging_1780/tillsyn/A 8944-2025 tillsynsbegäran.docx", "A 8944-2025")</f>
        <v/>
      </c>
      <c r="AD42">
        <f>HYPERLINK("https://klasma.github.io/Logging_1780/tillsynsmail/A 8944-2025 tillsynsbegäran mail.docx", "A 8944-2025")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46319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9737-2023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44984</v>
      </c>
      <c r="E44" s="1" t="n">
        <v>46319</v>
      </c>
      <c r="F44" t="inlineStr">
        <is>
          <t>VÄRMLANDS LÄN</t>
        </is>
      </c>
      <c r="G44" t="inlineStr">
        <is>
          <t>KARLSTAD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HYPERLINK("https://klasma.github.io/Logging_1780/artfynd/A 9737-2023 artfynd.xlsx", "A 9737-2023")</f>
        <v/>
      </c>
      <c r="X44">
        <f>HYPERLINK("https://klasma.github.io/Logging_1780/kartor/A 9737-2023 karta.png", "A 9737-2023")</f>
        <v/>
      </c>
      <c r="Y44">
        <f>HYPERLINK("https://klasma.github.io/Logging_1780/kartor_geotiff/A 9737-2023 georefererad karta.tif", "A 9737-2023")</f>
        <v/>
      </c>
      <c r="AA44">
        <f>HYPERLINK("https://klasma.github.io/Logging_1780/klagomål/A 9737-2023 FSC-klagomål.docx", "A 9737-2023")</f>
        <v/>
      </c>
      <c r="AB44">
        <f>HYPERLINK("https://klasma.github.io/Logging_1780/klagomålsmail/A 9737-2023 FSC-klagomål mail.docx", "A 9737-2023")</f>
        <v/>
      </c>
      <c r="AC44">
        <f>HYPERLINK("https://klasma.github.io/Logging_1780/tillsyn/A 9737-2023 tillsynsbegäran.docx", "A 9737-2023")</f>
        <v/>
      </c>
      <c r="AD44">
        <f>HYPERLINK("https://klasma.github.io/Logging_1780/tillsynsmail/A 9737-2023 tillsynsbegäran mail.docx", "A 9737-2023")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46319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56238-2025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46319</v>
      </c>
      <c r="F46" t="inlineStr">
        <is>
          <t>VÄRMLANDS LÄN</t>
        </is>
      </c>
      <c r="G46" t="inlineStr">
        <is>
          <t>KARLSTAD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HYPERLINK("https://klasma.github.io/Logging_1780/artfynd/A 56238-2025 artfynd.xlsx", "A 56238-2025")</f>
        <v/>
      </c>
      <c r="X46">
        <f>HYPERLINK("https://klasma.github.io/Logging_1780/kartor/A 56238-2025 karta.png", "A 56238-2025")</f>
        <v/>
      </c>
      <c r="Y46">
        <f>HYPERLINK("https://klasma.github.io/Logging_1780/kartor_geotiff/A 56238-2025 georefererad karta.tif", "A 56238-2025")</f>
        <v/>
      </c>
      <c r="AA46">
        <f>HYPERLINK("https://klasma.github.io/Logging_1780/klagomål/A 56238-2025 FSC-klagomål.docx", "A 56238-2025")</f>
        <v/>
      </c>
      <c r="AB46">
        <f>HYPERLINK("https://klasma.github.io/Logging_1780/klagomålsmail/A 56238-2025 FSC-klagomål mail.docx", "A 56238-2025")</f>
        <v/>
      </c>
      <c r="AC46">
        <f>HYPERLINK("https://klasma.github.io/Logging_1780/tillsyn/A 56238-2025 tillsynsbegäran.docx", "A 56238-2025")</f>
        <v/>
      </c>
      <c r="AD46">
        <f>HYPERLINK("https://klasma.github.io/Logging_1780/tillsynsmail/A 56238-2025 tillsynsbegäran mail.docx", "A 56238-2025")</f>
        <v/>
      </c>
    </row>
    <row r="47" ht="15" customHeight="1">
      <c r="A47" t="inlineStr">
        <is>
          <t>A 56241-2025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46319</v>
      </c>
      <c r="F47" t="inlineStr">
        <is>
          <t>VÄRMLANDS LÄN</t>
        </is>
      </c>
      <c r="G47" t="inlineStr">
        <is>
          <t>KARLSTAD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HYPERLINK("https://klasma.github.io/Logging_1780/artfynd/A 56241-2025 artfynd.xlsx", "A 56241-2025")</f>
        <v/>
      </c>
      <c r="X47">
        <f>HYPERLINK("https://klasma.github.io/Logging_1780/kartor/A 56241-2025 karta.png", "A 56241-2025")</f>
        <v/>
      </c>
      <c r="Y47">
        <f>HYPERLINK("https://klasma.github.io/Logging_1780/kartor_geotiff/A 56241-2025 georefererad karta.tif", "A 56241-2025")</f>
        <v/>
      </c>
      <c r="AA47">
        <f>HYPERLINK("https://klasma.github.io/Logging_1780/klagomål/A 56241-2025 FSC-klagomål.docx", "A 56241-2025")</f>
        <v/>
      </c>
      <c r="AB47">
        <f>HYPERLINK("https://klasma.github.io/Logging_1780/klagomålsmail/A 56241-2025 FSC-klagomål mail.docx", "A 56241-2025")</f>
        <v/>
      </c>
      <c r="AC47">
        <f>HYPERLINK("https://klasma.github.io/Logging_1780/tillsyn/A 56241-2025 tillsynsbegäran.docx", "A 56241-2025")</f>
        <v/>
      </c>
      <c r="AD47">
        <f>HYPERLINK("https://klasma.github.io/Logging_1780/tillsynsmail/A 56241-2025 tillsynsbegäran mail.docx", "A 56241-2025")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46319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5131-2026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46049</v>
      </c>
      <c r="E49" s="1" t="n">
        <v>46319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HYPERLINK("https://klasma.github.io/Logging_1780/artfynd/A 5131-2026 artfynd.xlsx", "A 5131-2026")</f>
        <v/>
      </c>
      <c r="X49">
        <f>HYPERLINK("https://klasma.github.io/Logging_1780/kartor/A 5131-2026 karta.png", "A 5131-2026")</f>
        <v/>
      </c>
      <c r="Y49">
        <f>HYPERLINK("https://klasma.github.io/Logging_1780/kartor_geotiff/A 5131-2026 georefererad karta.tif", "A 5131-2026")</f>
        <v/>
      </c>
      <c r="AA49">
        <f>HYPERLINK("https://klasma.github.io/Logging_1780/klagomål/A 5131-2026 FSC-klagomål.docx", "A 5131-2026")</f>
        <v/>
      </c>
      <c r="AB49">
        <f>HYPERLINK("https://klasma.github.io/Logging_1780/klagomålsmail/A 5131-2026 FSC-klagomål mail.docx", "A 5131-2026")</f>
        <v/>
      </c>
      <c r="AC49">
        <f>HYPERLINK("https://klasma.github.io/Logging_1780/tillsyn/A 5131-2026 tillsynsbegäran.docx", "A 5131-2026")</f>
        <v/>
      </c>
      <c r="AD49">
        <f>HYPERLINK("https://klasma.github.io/Logging_1780/tillsynsmail/A 5131-2026 tillsynsbegäran mail.docx", "A 5131-2026")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46319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HYPERLINK("https://klasma.github.io/Logging_1780/artfynd/A 51895-2024 artfynd.xlsx", "A 51895-2024")</f>
        <v/>
      </c>
      <c r="X50">
        <f>HYPERLINK("https://klasma.github.io/Logging_1780/kartor/A 51895-2024 karta.png", "A 51895-2024")</f>
        <v/>
      </c>
      <c r="Y50">
        <f>HYPERLINK("https://klasma.github.io/Logging_1780/kartor_geotiff/A 51895-2024 georefererad karta.tif", "A 51895-2024")</f>
        <v/>
      </c>
      <c r="AA50">
        <f>HYPERLINK("https://klasma.github.io/Logging_1780/klagomål/A 51895-2024 FSC-klagomål.docx", "A 51895-2024")</f>
        <v/>
      </c>
      <c r="AB50">
        <f>HYPERLINK("https://klasma.github.io/Logging_1780/klagomålsmail/A 51895-2024 FSC-klagomål mail.docx", "A 51895-2024")</f>
        <v/>
      </c>
      <c r="AC50">
        <f>HYPERLINK("https://klasma.github.io/Logging_1780/tillsyn/A 51895-2024 tillsynsbegäran.docx", "A 51895-2024")</f>
        <v/>
      </c>
      <c r="AD50">
        <f>HYPERLINK("https://klasma.github.io/Logging_1780/tillsynsmail/A 51895-2024 tillsynsbegäran mail.docx", "A 51895-2024")</f>
        <v/>
      </c>
    </row>
    <row r="51" ht="15" customHeight="1">
      <c r="A51" t="inlineStr">
        <is>
          <t>A 32531-2025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46319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Trana</t>
        </is>
      </c>
      <c r="W51">
        <f>HYPERLINK("https://klasma.github.io/Logging_1780/artfynd/A 32531-2025 artfynd.xlsx", "A 32531-2025")</f>
        <v/>
      </c>
      <c r="X51">
        <f>HYPERLINK("https://klasma.github.io/Logging_1780/kartor/A 32531-2025 karta.png", "A 32531-2025")</f>
        <v/>
      </c>
      <c r="Y51">
        <f>HYPERLINK("https://klasma.github.io/Logging_1780/kartor_geotiff/A 32531-2025 georefererad karta.tif", "A 32531-2025")</f>
        <v/>
      </c>
      <c r="AA51">
        <f>HYPERLINK("https://klasma.github.io/Logging_1780/klagomål/A 32531-2025 FSC-klagomål.docx", "A 32531-2025")</f>
        <v/>
      </c>
      <c r="AB51">
        <f>HYPERLINK("https://klasma.github.io/Logging_1780/klagomålsmail/A 32531-2025 FSC-klagomål mail.docx", "A 32531-2025")</f>
        <v/>
      </c>
      <c r="AC51">
        <f>HYPERLINK("https://klasma.github.io/Logging_1780/tillsyn/A 32531-2025 tillsynsbegäran.docx", "A 32531-2025")</f>
        <v/>
      </c>
      <c r="AD51">
        <f>HYPERLINK("https://klasma.github.io/Logging_1780/tillsynsmail/A 32531-2025 tillsynsbegäran mail.docx", "A 32531-2025")</f>
        <v/>
      </c>
      <c r="AE51">
        <f>HYPERLINK("https://klasma.github.io/Logging_1780/fåglar/A 32531-2025 prioriterade fågelarter.docx", "A 32531-2025")</f>
        <v/>
      </c>
    </row>
    <row r="52" ht="15" customHeight="1">
      <c r="A52" t="inlineStr">
        <is>
          <t>A 13259-2026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46093</v>
      </c>
      <c r="E52" s="1" t="n">
        <v>46319</v>
      </c>
      <c r="F52" t="inlineStr">
        <is>
          <t>VÄRMLANDS LÄN</t>
        </is>
      </c>
      <c r="G52" t="inlineStr">
        <is>
          <t>KARLSTAD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HYPERLINK("https://klasma.github.io/Logging_1780/artfynd/A 13259-2026 artfynd.xlsx", "A 13259-2026")</f>
        <v/>
      </c>
      <c r="X52">
        <f>HYPERLINK("https://klasma.github.io/Logging_1780/kartor/A 13259-2026 karta.png", "A 13259-2026")</f>
        <v/>
      </c>
      <c r="Y52">
        <f>HYPERLINK("https://klasma.github.io/Logging_1780/kartor_geotiff/A 13259-2026 georefererad karta.tif", "A 13259-2026")</f>
        <v/>
      </c>
      <c r="AA52">
        <f>HYPERLINK("https://klasma.github.io/Logging_1780/klagomål/A 13259-2026 FSC-klagomål.docx", "A 13259-2026")</f>
        <v/>
      </c>
      <c r="AB52">
        <f>HYPERLINK("https://klasma.github.io/Logging_1780/klagomålsmail/A 13259-2026 FSC-klagomål mail.docx", "A 13259-2026")</f>
        <v/>
      </c>
      <c r="AC52">
        <f>HYPERLINK("https://klasma.github.io/Logging_1780/tillsyn/A 13259-2026 tillsynsbegäran.docx", "A 13259-2026")</f>
        <v/>
      </c>
      <c r="AD52">
        <f>HYPERLINK("https://klasma.github.io/Logging_1780/tillsynsmail/A 13259-2026 tillsynsbegäran mail.docx", "A 13259-2026")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46319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46319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46319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10461-2024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46319</v>
      </c>
      <c r="F56" t="inlineStr">
        <is>
          <t>VÄRMLANDS LÄN</t>
        </is>
      </c>
      <c r="G56" t="inlineStr">
        <is>
          <t>KARLSTAD</t>
        </is>
      </c>
      <c r="H56" t="inlineStr">
        <is>
          <t>Övriga statliga verk och myndigheter</t>
        </is>
      </c>
      <c r="I56" t="n">
        <v>17.8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Strandlummer</t>
        </is>
      </c>
      <c r="W56">
        <f>HYPERLINK("https://klasma.github.io/Logging_1780/artfynd/A 10461-2024 artfynd.xlsx", "A 10461-2024")</f>
        <v/>
      </c>
      <c r="X56">
        <f>HYPERLINK("https://klasma.github.io/Logging_1780/kartor/A 10461-2024 karta.png", "A 10461-2024")</f>
        <v/>
      </c>
      <c r="Y56">
        <f>HYPERLINK("https://klasma.github.io/Logging_1780/kartor_geotiff/A 10461-2024 georefererad karta.tif", "A 10461-2024")</f>
        <v/>
      </c>
      <c r="AA56">
        <f>HYPERLINK("https://klasma.github.io/Logging_1780/klagomål/A 10461-2024 FSC-klagomål.docx", "A 10461-2024")</f>
        <v/>
      </c>
      <c r="AB56">
        <f>HYPERLINK("https://klasma.github.io/Logging_1780/klagomålsmail/A 10461-2024 FSC-klagomål mail.docx", "A 10461-2024")</f>
        <v/>
      </c>
      <c r="AC56">
        <f>HYPERLINK("https://klasma.github.io/Logging_1780/tillsyn/A 10461-2024 tillsynsbegäran.docx", "A 10461-2024")</f>
        <v/>
      </c>
      <c r="AD56">
        <f>HYPERLINK("https://klasma.github.io/Logging_1780/tillsynsmail/A 10461-2024 tillsynsbegäran mail.docx", "A 10461-2024")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46319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46319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46319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46319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46319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46319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46319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46319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36422-2022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44804</v>
      </c>
      <c r="E65" s="1" t="n">
        <v>46319</v>
      </c>
      <c r="F65" t="inlineStr">
        <is>
          <t>VÄRMLANDS LÄN</t>
        </is>
      </c>
      <c r="G65" t="inlineStr">
        <is>
          <t>KARLSTAD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46319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46319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44593</v>
      </c>
      <c r="E68" s="1" t="n">
        <v>46319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70254-2021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44536</v>
      </c>
      <c r="E69" s="1" t="n">
        <v>46319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46319</v>
      </c>
      <c r="F70" t="inlineStr">
        <is>
          <t>VÄRMLANDS LÄN</t>
        </is>
      </c>
      <c r="G70" t="inlineStr">
        <is>
          <t>KARLSTAD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46319</v>
      </c>
      <c r="F71" t="inlineStr">
        <is>
          <t>VÄRMLANDS LÄN</t>
        </is>
      </c>
      <c r="G71" t="inlineStr">
        <is>
          <t>KARLSTAD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46319</v>
      </c>
      <c r="F72" t="inlineStr">
        <is>
          <t>VÄRMLANDS LÄN</t>
        </is>
      </c>
      <c r="G72" t="inlineStr">
        <is>
          <t>KARLSTAD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46319</v>
      </c>
      <c r="F73" t="inlineStr">
        <is>
          <t>VÄRMLANDS LÄN</t>
        </is>
      </c>
      <c r="G73" t="inlineStr">
        <is>
          <t>KARLSTAD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46319</v>
      </c>
      <c r="F74" t="inlineStr">
        <is>
          <t>VÄRMLANDS LÄN</t>
        </is>
      </c>
      <c r="G74" t="inlineStr">
        <is>
          <t>KARLSTAD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46319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44599</v>
      </c>
      <c r="E76" s="1" t="n">
        <v>46319</v>
      </c>
      <c r="F76" t="inlineStr">
        <is>
          <t>VÄRMLANDS LÄN</t>
        </is>
      </c>
      <c r="G76" t="inlineStr">
        <is>
          <t>KARLSTAD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46319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46319</v>
      </c>
      <c r="F78" t="inlineStr">
        <is>
          <t>VÄRMLANDS LÄN</t>
        </is>
      </c>
      <c r="G78" t="inlineStr">
        <is>
          <t>KARLSTAD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61099-2021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46319</v>
      </c>
      <c r="F79" t="inlineStr">
        <is>
          <t>VÄRMLANDS LÄN</t>
        </is>
      </c>
      <c r="G79" t="inlineStr">
        <is>
          <t>KARLSTAD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46319</v>
      </c>
      <c r="F80" t="inlineStr">
        <is>
          <t>VÄRMLANDS LÄN</t>
        </is>
      </c>
      <c r="G80" t="inlineStr">
        <is>
          <t>KARLSTAD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46319</v>
      </c>
      <c r="F81" t="inlineStr">
        <is>
          <t>VÄRMLANDS LÄN</t>
        </is>
      </c>
      <c r="G81" t="inlineStr">
        <is>
          <t>KARLSTAD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46319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46319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46319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46319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46319</v>
      </c>
      <c r="F86" t="inlineStr">
        <is>
          <t>VÄRMLANDS LÄN</t>
        </is>
      </c>
      <c r="G86" t="inlineStr">
        <is>
          <t>KARLSTAD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44687</v>
      </c>
      <c r="E87" s="1" t="n">
        <v>46319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44656</v>
      </c>
      <c r="E88" s="1" t="n">
        <v>46319</v>
      </c>
      <c r="F88" t="inlineStr">
        <is>
          <t>VÄRMLANDS LÄN</t>
        </is>
      </c>
      <c r="G88" t="inlineStr">
        <is>
          <t>KARLSTAD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46319</v>
      </c>
      <c r="F89" t="inlineStr">
        <is>
          <t>VÄRMLANDS LÄN</t>
        </is>
      </c>
      <c r="G89" t="inlineStr">
        <is>
          <t>KARLSTAD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46319</v>
      </c>
      <c r="F90" t="inlineStr">
        <is>
          <t>VÄRMLANDS LÄN</t>
        </is>
      </c>
      <c r="G90" t="inlineStr">
        <is>
          <t>KARLSTAD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46319</v>
      </c>
      <c r="F91" t="inlineStr">
        <is>
          <t>VÄRMLANDS LÄN</t>
        </is>
      </c>
      <c r="G91" t="inlineStr">
        <is>
          <t>KARLSTAD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46319</v>
      </c>
      <c r="F92" t="inlineStr">
        <is>
          <t>VÄRMLANDS LÄN</t>
        </is>
      </c>
      <c r="G92" t="inlineStr">
        <is>
          <t>KARLSTAD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61514-2021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46319</v>
      </c>
      <c r="F93" t="inlineStr">
        <is>
          <t>VÄRMLANDS LÄN</t>
        </is>
      </c>
      <c r="G93" t="inlineStr">
        <is>
          <t>KARLSTAD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70921-2021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46319</v>
      </c>
      <c r="F94" t="inlineStr">
        <is>
          <t>VÄRMLANDS LÄN</t>
        </is>
      </c>
      <c r="G94" t="inlineStr">
        <is>
          <t>KARLSTAD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70123-2021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46319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46319</v>
      </c>
      <c r="F96" t="inlineStr">
        <is>
          <t>VÄRMLANDS LÄN</t>
        </is>
      </c>
      <c r="G96" t="inlineStr">
        <is>
          <t>KARLSTAD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46319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46319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46319</v>
      </c>
      <c r="F99" t="inlineStr">
        <is>
          <t>VÄRMLANDS LÄN</t>
        </is>
      </c>
      <c r="G99" t="inlineStr">
        <is>
          <t>KARLSTAD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44825</v>
      </c>
      <c r="E100" s="1" t="n">
        <v>46319</v>
      </c>
      <c r="F100" t="inlineStr">
        <is>
          <t>VÄRMLANDS LÄN</t>
        </is>
      </c>
      <c r="G100" t="inlineStr">
        <is>
          <t>KARLSTAD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46319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8483-2022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44613</v>
      </c>
      <c r="E102" s="1" t="n">
        <v>46319</v>
      </c>
      <c r="F102" t="inlineStr">
        <is>
          <t>VÄRMLANDS LÄN</t>
        </is>
      </c>
      <c r="G102" t="inlineStr">
        <is>
          <t>KARLSTAD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44593</v>
      </c>
      <c r="E103" s="1" t="n">
        <v>46319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46319</v>
      </c>
      <c r="F104" t="inlineStr">
        <is>
          <t>VÄRMLANDS LÄN</t>
        </is>
      </c>
      <c r="G104" t="inlineStr">
        <is>
          <t>KARLSTAD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46319</v>
      </c>
      <c r="F105" t="inlineStr">
        <is>
          <t>VÄRMLANDS LÄN</t>
        </is>
      </c>
      <c r="G105" t="inlineStr">
        <is>
          <t>KARLSTAD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46319</v>
      </c>
      <c r="F106" t="inlineStr">
        <is>
          <t>VÄRMLANDS LÄN</t>
        </is>
      </c>
      <c r="G106" t="inlineStr">
        <is>
          <t>KARLSTAD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46319</v>
      </c>
      <c r="F107" t="inlineStr">
        <is>
          <t>VÄRMLANDS LÄN</t>
        </is>
      </c>
      <c r="G107" t="inlineStr">
        <is>
          <t>KARLSTAD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73004-2021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44547</v>
      </c>
      <c r="E108" s="1" t="n">
        <v>46319</v>
      </c>
      <c r="F108" t="inlineStr">
        <is>
          <t>VÄRMLANDS LÄN</t>
        </is>
      </c>
      <c r="G108" t="inlineStr">
        <is>
          <t>KARLSTAD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44788</v>
      </c>
      <c r="E109" s="1" t="n">
        <v>46319</v>
      </c>
      <c r="F109" t="inlineStr">
        <is>
          <t>VÄRMLANDS LÄN</t>
        </is>
      </c>
      <c r="G109" t="inlineStr">
        <is>
          <t>KARLSTAD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45572</v>
      </c>
      <c r="E110" s="1" t="n">
        <v>46319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46319</v>
      </c>
      <c r="F111" t="inlineStr">
        <is>
          <t>VÄRMLANDS LÄN</t>
        </is>
      </c>
      <c r="G111" t="inlineStr">
        <is>
          <t>KARLSTAD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46319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27888-2025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46319</v>
      </c>
      <c r="F113" t="inlineStr">
        <is>
          <t>VÄRMLANDS LÄN</t>
        </is>
      </c>
      <c r="G113" t="inlineStr">
        <is>
          <t>KARLSTAD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46319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46319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46319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44622</v>
      </c>
      <c r="E117" s="1" t="n">
        <v>46319</v>
      </c>
      <c r="F117" t="inlineStr">
        <is>
          <t>VÄRMLANDS LÄN</t>
        </is>
      </c>
      <c r="G117" t="inlineStr">
        <is>
          <t>KARLSTAD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44763</v>
      </c>
      <c r="E118" s="1" t="n">
        <v>46319</v>
      </c>
      <c r="F118" t="inlineStr">
        <is>
          <t>VÄRMLANDS LÄN</t>
        </is>
      </c>
      <c r="G118" t="inlineStr">
        <is>
          <t>KARLSTAD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46319</v>
      </c>
      <c r="F119" t="inlineStr">
        <is>
          <t>VÄRMLANDS LÄN</t>
        </is>
      </c>
      <c r="G119" t="inlineStr">
        <is>
          <t>KARLSTAD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46319</v>
      </c>
      <c r="F120" t="inlineStr">
        <is>
          <t>VÄRMLANDS LÄN</t>
        </is>
      </c>
      <c r="G120" t="inlineStr">
        <is>
          <t>KARLSTAD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46319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46319</v>
      </c>
      <c r="F122" t="inlineStr">
        <is>
          <t>VÄRMLANDS LÄN</t>
        </is>
      </c>
      <c r="G122" t="inlineStr">
        <is>
          <t>KARLSTAD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46319</v>
      </c>
      <c r="F123" t="inlineStr">
        <is>
          <t>VÄRMLANDS LÄN</t>
        </is>
      </c>
      <c r="G123" t="inlineStr">
        <is>
          <t>KARLSTAD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46319</v>
      </c>
      <c r="F124" t="inlineStr">
        <is>
          <t>VÄRMLANDS LÄN</t>
        </is>
      </c>
      <c r="G124" t="inlineStr">
        <is>
          <t>KARLSTAD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46319</v>
      </c>
      <c r="F125" t="inlineStr">
        <is>
          <t>VÄRMLANDS LÄN</t>
        </is>
      </c>
      <c r="G125" t="inlineStr">
        <is>
          <t>KARLSTAD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44654</v>
      </c>
      <c r="E126" s="1" t="n">
        <v>46319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46319</v>
      </c>
      <c r="F127" t="inlineStr">
        <is>
          <t>VÄRMLANDS LÄN</t>
        </is>
      </c>
      <c r="G127" t="inlineStr">
        <is>
          <t>KARLSTAD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70127-2021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46319</v>
      </c>
      <c r="F128" t="inlineStr">
        <is>
          <t>VÄRMLANDS LÄN</t>
        </is>
      </c>
      <c r="G128" t="inlineStr">
        <is>
          <t>KARLSTAD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44746</v>
      </c>
      <c r="E129" s="1" t="n">
        <v>46319</v>
      </c>
      <c r="F129" t="inlineStr">
        <is>
          <t>VÄRMLANDS LÄN</t>
        </is>
      </c>
      <c r="G129" t="inlineStr">
        <is>
          <t>KARLSTAD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46319</v>
      </c>
      <c r="F130" t="inlineStr">
        <is>
          <t>VÄRMLANDS LÄN</t>
        </is>
      </c>
      <c r="G130" t="inlineStr">
        <is>
          <t>KARLSTAD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45051</v>
      </c>
      <c r="E131" s="1" t="n">
        <v>46319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46319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46319</v>
      </c>
      <c r="F133" t="inlineStr">
        <is>
          <t>VÄRMLANDS LÄN</t>
        </is>
      </c>
      <c r="G133" t="inlineStr">
        <is>
          <t>KARLSTAD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43400-2025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45911</v>
      </c>
      <c r="E134" s="1" t="n">
        <v>46319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46319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44913</v>
      </c>
      <c r="E136" s="1" t="n">
        <v>46319</v>
      </c>
      <c r="F136" t="inlineStr">
        <is>
          <t>VÄRMLANDS LÄN</t>
        </is>
      </c>
      <c r="G136" t="inlineStr">
        <is>
          <t>KARLSTAD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45520</v>
      </c>
      <c r="E137" s="1" t="n">
        <v>46319</v>
      </c>
      <c r="F137" t="inlineStr">
        <is>
          <t>VÄRMLANDS LÄN</t>
        </is>
      </c>
      <c r="G137" t="inlineStr">
        <is>
          <t>KARLSTAD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45149</v>
      </c>
      <c r="E138" s="1" t="n">
        <v>46319</v>
      </c>
      <c r="F138" t="inlineStr">
        <is>
          <t>VÄRMLANDS LÄN</t>
        </is>
      </c>
      <c r="G138" t="inlineStr">
        <is>
          <t>KARLSTAD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46319</v>
      </c>
      <c r="F139" t="inlineStr">
        <is>
          <t>VÄRMLANDS LÄN</t>
        </is>
      </c>
      <c r="G139" t="inlineStr">
        <is>
          <t>KARLSTAD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46319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45861</v>
      </c>
      <c r="E141" s="1" t="n">
        <v>46319</v>
      </c>
      <c r="F141" t="inlineStr">
        <is>
          <t>VÄRMLANDS LÄN</t>
        </is>
      </c>
      <c r="G141" t="inlineStr">
        <is>
          <t>KARLSTAD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46319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46319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46319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46319</v>
      </c>
      <c r="F145" t="inlineStr">
        <is>
          <t>VÄRMLANDS LÄN</t>
        </is>
      </c>
      <c r="G145" t="inlineStr">
        <is>
          <t>KARLSTAD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46319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46319</v>
      </c>
      <c r="F147" t="inlineStr">
        <is>
          <t>VÄRMLANDS LÄN</t>
        </is>
      </c>
      <c r="G147" t="inlineStr">
        <is>
          <t>KARLSTAD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69008-2021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46319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46319</v>
      </c>
      <c r="F149" t="inlineStr">
        <is>
          <t>VÄRMLANDS LÄN</t>
        </is>
      </c>
      <c r="G149" t="inlineStr">
        <is>
          <t>KARLSTAD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46319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46319</v>
      </c>
      <c r="F151" t="inlineStr">
        <is>
          <t>VÄRMLANDS LÄN</t>
        </is>
      </c>
      <c r="G151" t="inlineStr">
        <is>
          <t>KARLSTAD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72772-2021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44547</v>
      </c>
      <c r="E152" s="1" t="n">
        <v>46319</v>
      </c>
      <c r="F152" t="inlineStr">
        <is>
          <t>VÄRMLANDS LÄN</t>
        </is>
      </c>
      <c r="G152" t="inlineStr">
        <is>
          <t>KARLSTAD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45641</v>
      </c>
      <c r="E153" s="1" t="n">
        <v>46319</v>
      </c>
      <c r="F153" t="inlineStr">
        <is>
          <t>VÄRMLANDS LÄN</t>
        </is>
      </c>
      <c r="G153" t="inlineStr">
        <is>
          <t>KARLSTAD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56327-2023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45243</v>
      </c>
      <c r="E154" s="1" t="n">
        <v>46319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46319</v>
      </c>
      <c r="F155" t="inlineStr">
        <is>
          <t>VÄRMLANDS LÄN</t>
        </is>
      </c>
      <c r="G155" t="inlineStr">
        <is>
          <t>KARLSTAD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46319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46319</v>
      </c>
      <c r="F157" t="inlineStr">
        <is>
          <t>VÄRMLANDS LÄN</t>
        </is>
      </c>
      <c r="G157" t="inlineStr">
        <is>
          <t>KARLSTAD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46319</v>
      </c>
      <c r="F158" t="inlineStr">
        <is>
          <t>VÄRMLANDS LÄN</t>
        </is>
      </c>
      <c r="G158" t="inlineStr">
        <is>
          <t>KARLSTAD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46319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46319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46319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46319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46319</v>
      </c>
      <c r="F163" t="inlineStr">
        <is>
          <t>VÄRMLANDS LÄN</t>
        </is>
      </c>
      <c r="G163" t="inlineStr">
        <is>
          <t>KARLSTAD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46319</v>
      </c>
      <c r="F164" t="inlineStr">
        <is>
          <t>VÄRMLANDS LÄN</t>
        </is>
      </c>
      <c r="G164" t="inlineStr">
        <is>
          <t>KARLSTAD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46319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46319</v>
      </c>
      <c r="F166" t="inlineStr">
        <is>
          <t>VÄRMLANDS LÄN</t>
        </is>
      </c>
      <c r="G166" t="inlineStr">
        <is>
          <t>KARLSTAD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46319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34321-2024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45524</v>
      </c>
      <c r="E168" s="1" t="n">
        <v>46319</v>
      </c>
      <c r="F168" t="inlineStr">
        <is>
          <t>VÄRMLANDS LÄN</t>
        </is>
      </c>
      <c r="G168" t="inlineStr">
        <is>
          <t>KARLSTAD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46319</v>
      </c>
      <c r="F169" t="inlineStr">
        <is>
          <t>VÄRMLANDS LÄN</t>
        </is>
      </c>
      <c r="G169" t="inlineStr">
        <is>
          <t>KARLSTAD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45944</v>
      </c>
      <c r="E170" s="1" t="n">
        <v>46319</v>
      </c>
      <c r="F170" t="inlineStr">
        <is>
          <t>VÄRMLANDS LÄN</t>
        </is>
      </c>
      <c r="G170" t="inlineStr">
        <is>
          <t>KARLSTAD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46319</v>
      </c>
      <c r="F171" t="inlineStr">
        <is>
          <t>VÄRMLANDS LÄN</t>
        </is>
      </c>
      <c r="G171" t="inlineStr">
        <is>
          <t>KARLSTAD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46319</v>
      </c>
      <c r="F172" t="inlineStr">
        <is>
          <t>VÄRMLANDS LÄN</t>
        </is>
      </c>
      <c r="G172" t="inlineStr">
        <is>
          <t>KARLSTAD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46319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45007</v>
      </c>
      <c r="E174" s="1" t="n">
        <v>46319</v>
      </c>
      <c r="F174" t="inlineStr">
        <is>
          <t>VÄRMLANDS LÄN</t>
        </is>
      </c>
      <c r="G174" t="inlineStr">
        <is>
          <t>KARLSTAD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46319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45382</v>
      </c>
      <c r="E176" s="1" t="n">
        <v>46319</v>
      </c>
      <c r="F176" t="inlineStr">
        <is>
          <t>VÄRMLANDS LÄN</t>
        </is>
      </c>
      <c r="G176" t="inlineStr">
        <is>
          <t>KARLSTAD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46319</v>
      </c>
      <c r="F177" t="inlineStr">
        <is>
          <t>VÄRMLANDS LÄN</t>
        </is>
      </c>
      <c r="G177" t="inlineStr">
        <is>
          <t>KARLSTAD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46319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53305-2023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45229</v>
      </c>
      <c r="E179" s="1" t="n">
        <v>46319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46319</v>
      </c>
      <c r="F180" t="inlineStr">
        <is>
          <t>VÄRMLANDS LÄN</t>
        </is>
      </c>
      <c r="G180" t="inlineStr">
        <is>
          <t>KARLSTAD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46319</v>
      </c>
      <c r="F181" t="inlineStr">
        <is>
          <t>VÄRMLANDS LÄN</t>
        </is>
      </c>
      <c r="G181" t="inlineStr">
        <is>
          <t>KARLSTAD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46319</v>
      </c>
      <c r="F182" t="inlineStr">
        <is>
          <t>VÄRMLANDS LÄN</t>
        </is>
      </c>
      <c r="G182" t="inlineStr">
        <is>
          <t>KARLSTAD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46319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46319</v>
      </c>
      <c r="F184" t="inlineStr">
        <is>
          <t>VÄRMLANDS LÄN</t>
        </is>
      </c>
      <c r="G184" t="inlineStr">
        <is>
          <t>KARLSTAD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46319</v>
      </c>
      <c r="F185" t="inlineStr">
        <is>
          <t>VÄRMLANDS LÄN</t>
        </is>
      </c>
      <c r="G185" t="inlineStr">
        <is>
          <t>KARLSTAD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46319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46319</v>
      </c>
      <c r="F187" t="inlineStr">
        <is>
          <t>VÄRMLANDS LÄN</t>
        </is>
      </c>
      <c r="G187" t="inlineStr">
        <is>
          <t>KARLSTAD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46319</v>
      </c>
      <c r="F188" t="inlineStr">
        <is>
          <t>VÄRMLANDS LÄN</t>
        </is>
      </c>
      <c r="G188" t="inlineStr">
        <is>
          <t>KARLSTAD</t>
        </is>
      </c>
      <c r="H188" t="inlineStr">
        <is>
          <t>Bergvik skog väst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46319</v>
      </c>
      <c r="F189" t="inlineStr">
        <is>
          <t>VÄRMLANDS LÄN</t>
        </is>
      </c>
      <c r="G189" t="inlineStr">
        <is>
          <t>KARLSTAD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46319</v>
      </c>
      <c r="F190" t="inlineStr">
        <is>
          <t>VÄRMLANDS LÄN</t>
        </is>
      </c>
      <c r="G190" t="inlineStr">
        <is>
          <t>KARLSTAD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46319</v>
      </c>
      <c r="F191" t="inlineStr">
        <is>
          <t>VÄRMLANDS LÄN</t>
        </is>
      </c>
      <c r="G191" t="inlineStr">
        <is>
          <t>KARLSTAD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46319</v>
      </c>
      <c r="F192" t="inlineStr">
        <is>
          <t>VÄRMLANDS LÄN</t>
        </is>
      </c>
      <c r="G192" t="inlineStr">
        <is>
          <t>KARLSTAD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46319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46319</v>
      </c>
      <c r="F194" t="inlineStr">
        <is>
          <t>VÄRMLANDS LÄN</t>
        </is>
      </c>
      <c r="G194" t="inlineStr">
        <is>
          <t>KARLSTAD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45366</v>
      </c>
      <c r="E195" s="1" t="n">
        <v>46319</v>
      </c>
      <c r="F195" t="inlineStr">
        <is>
          <t>VÄRMLANDS LÄN</t>
        </is>
      </c>
      <c r="G195" t="inlineStr">
        <is>
          <t>KARLSTAD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46319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46319</v>
      </c>
      <c r="F197" t="inlineStr">
        <is>
          <t>VÄRMLANDS LÄN</t>
        </is>
      </c>
      <c r="G197" t="inlineStr">
        <is>
          <t>KARLSTAD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46319</v>
      </c>
      <c r="F198" t="inlineStr">
        <is>
          <t>VÄRMLANDS LÄN</t>
        </is>
      </c>
      <c r="G198" t="inlineStr">
        <is>
          <t>KARLSTAD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46319</v>
      </c>
      <c r="F199" t="inlineStr">
        <is>
          <t>VÄRMLANDS LÄN</t>
        </is>
      </c>
      <c r="G199" t="inlineStr">
        <is>
          <t>KARLSTAD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46319</v>
      </c>
      <c r="F200" t="inlineStr">
        <is>
          <t>VÄRMLANDS LÄN</t>
        </is>
      </c>
      <c r="G200" t="inlineStr">
        <is>
          <t>KARLSTAD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46319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46319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46319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46319</v>
      </c>
      <c r="F204" t="inlineStr">
        <is>
          <t>VÄRMLANDS LÄN</t>
        </is>
      </c>
      <c r="G204" t="inlineStr">
        <is>
          <t>KARLSTAD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46319</v>
      </c>
      <c r="F205" t="inlineStr">
        <is>
          <t>VÄRMLANDS LÄN</t>
        </is>
      </c>
      <c r="G205" t="inlineStr">
        <is>
          <t>KARLSTAD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46319</v>
      </c>
      <c r="F206" t="inlineStr">
        <is>
          <t>VÄRMLANDS LÄN</t>
        </is>
      </c>
      <c r="G206" t="inlineStr">
        <is>
          <t>KARLSTAD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46319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46319</v>
      </c>
      <c r="F208" t="inlineStr">
        <is>
          <t>VÄRMLANDS LÄN</t>
        </is>
      </c>
      <c r="G208" t="inlineStr">
        <is>
          <t>KARLSTAD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46319</v>
      </c>
      <c r="F209" t="inlineStr">
        <is>
          <t>VÄRMLANDS LÄN</t>
        </is>
      </c>
      <c r="G209" t="inlineStr">
        <is>
          <t>KARLSTAD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46319</v>
      </c>
      <c r="F210" t="inlineStr">
        <is>
          <t>VÄRMLANDS LÄN</t>
        </is>
      </c>
      <c r="G210" t="inlineStr">
        <is>
          <t>KARLSTAD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44805</v>
      </c>
      <c r="E211" s="1" t="n">
        <v>46319</v>
      </c>
      <c r="F211" t="inlineStr">
        <is>
          <t>VÄRMLANDS LÄN</t>
        </is>
      </c>
      <c r="G211" t="inlineStr">
        <is>
          <t>KARLSTAD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46319</v>
      </c>
      <c r="F212" t="inlineStr">
        <is>
          <t>VÄRMLANDS LÄN</t>
        </is>
      </c>
      <c r="G212" t="inlineStr">
        <is>
          <t>KARLSTAD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46319</v>
      </c>
      <c r="F213" t="inlineStr">
        <is>
          <t>VÄRMLANDS LÄN</t>
        </is>
      </c>
      <c r="G213" t="inlineStr">
        <is>
          <t>KARLSTAD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46319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46319</v>
      </c>
      <c r="F215" t="inlineStr">
        <is>
          <t>VÄRMLANDS LÄN</t>
        </is>
      </c>
      <c r="G215" t="inlineStr">
        <is>
          <t>KARLSTAD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46319</v>
      </c>
      <c r="F216" t="inlineStr">
        <is>
          <t>VÄRMLANDS LÄN</t>
        </is>
      </c>
      <c r="G216" t="inlineStr">
        <is>
          <t>KARLSTAD</t>
        </is>
      </c>
      <c r="H216" t="inlineStr">
        <is>
          <t>Naturvårdsverket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46319</v>
      </c>
      <c r="F217" t="inlineStr">
        <is>
          <t>VÄRMLANDS LÄN</t>
        </is>
      </c>
      <c r="G217" t="inlineStr">
        <is>
          <t>KARLSTAD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46319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  <c r="Z218">
        <f>HYPERLINK("https://klasma.github.io/Logging_1780/knärot/A 57466-2025 karta knärot.png", "A 57466-2025")</f>
        <v/>
      </c>
      <c r="AA218">
        <f>HYPERLINK("https://klasma.github.io/Logging_1780/klagomål/A 57466-2025 FSC-klagomål.docx", "A 57466-2025")</f>
        <v/>
      </c>
      <c r="AB218">
        <f>HYPERLINK("https://klasma.github.io/Logging_1780/klagomålsmail/A 57466-2025 FSC-klagomål mail.docx", "A 57466-2025")</f>
        <v/>
      </c>
      <c r="AC218">
        <f>HYPERLINK("https://klasma.github.io/Logging_1780/tillsyn/A 57466-2025 tillsynsbegäran.docx", "A 57466-2025")</f>
        <v/>
      </c>
      <c r="AD218">
        <f>HYPERLINK("https://klasma.github.io/Logging_1780/tillsynsmail/A 57466-2025 tillsynsbegäran mail.docx", "A 57466-2025")</f>
        <v/>
      </c>
    </row>
    <row r="219" ht="15" customHeight="1">
      <c r="A219" t="inlineStr">
        <is>
          <t>A 59055-2024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46319</v>
      </c>
      <c r="F219" t="inlineStr">
        <is>
          <t>VÄRMLANDS LÄN</t>
        </is>
      </c>
      <c r="G219" t="inlineStr">
        <is>
          <t>KARLSTAD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46319</v>
      </c>
      <c r="F220" t="inlineStr">
        <is>
          <t>VÄRMLANDS LÄN</t>
        </is>
      </c>
      <c r="G220" t="inlineStr">
        <is>
          <t>KARLSTAD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45704</v>
      </c>
      <c r="E221" s="1" t="n">
        <v>46319</v>
      </c>
      <c r="F221" t="inlineStr">
        <is>
          <t>VÄRMLANDS LÄN</t>
        </is>
      </c>
      <c r="G221" t="inlineStr">
        <is>
          <t>KARLSTAD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46319</v>
      </c>
      <c r="F222" t="inlineStr">
        <is>
          <t>VÄRMLANDS LÄN</t>
        </is>
      </c>
      <c r="G222" t="inlineStr">
        <is>
          <t>KARLSTAD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46319</v>
      </c>
      <c r="F223" t="inlineStr">
        <is>
          <t>VÄRMLANDS LÄN</t>
        </is>
      </c>
      <c r="G223" t="inlineStr">
        <is>
          <t>KARLSTAD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46319</v>
      </c>
      <c r="F224" t="inlineStr">
        <is>
          <t>VÄRMLANDS LÄN</t>
        </is>
      </c>
      <c r="G224" t="inlineStr">
        <is>
          <t>KARLSTAD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46204</v>
      </c>
      <c r="E225" s="1" t="n">
        <v>46319</v>
      </c>
      <c r="F225" t="inlineStr">
        <is>
          <t>VÄRMLANDS LÄN</t>
        </is>
      </c>
      <c r="G225" t="inlineStr">
        <is>
          <t>KARLSTAD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46319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46319</v>
      </c>
      <c r="F227" t="inlineStr">
        <is>
          <t>VÄRMLANDS LÄN</t>
        </is>
      </c>
      <c r="G227" t="inlineStr">
        <is>
          <t>KARLSTAD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45946</v>
      </c>
      <c r="E228" s="1" t="n">
        <v>46319</v>
      </c>
      <c r="F228" t="inlineStr">
        <is>
          <t>VÄRMLANDS LÄN</t>
        </is>
      </c>
      <c r="G228" t="inlineStr">
        <is>
          <t>KARLSTAD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46319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46319</v>
      </c>
      <c r="F230" t="inlineStr">
        <is>
          <t>VÄRMLANDS LÄN</t>
        </is>
      </c>
      <c r="G230" t="inlineStr">
        <is>
          <t>KARLSTAD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45641</v>
      </c>
      <c r="E231" s="1" t="n">
        <v>46319</v>
      </c>
      <c r="F231" t="inlineStr">
        <is>
          <t>VÄRMLANDS LÄN</t>
        </is>
      </c>
      <c r="G231" t="inlineStr">
        <is>
          <t>KARLSTAD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46319</v>
      </c>
      <c r="F232" t="inlineStr">
        <is>
          <t>VÄRMLANDS LÄN</t>
        </is>
      </c>
      <c r="G232" t="inlineStr">
        <is>
          <t>KARLSTAD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46319</v>
      </c>
      <c r="F233" t="inlineStr">
        <is>
          <t>VÄRMLANDS LÄN</t>
        </is>
      </c>
      <c r="G233" t="inlineStr">
        <is>
          <t>KARLSTAD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46319</v>
      </c>
      <c r="F234" t="inlineStr">
        <is>
          <t>VÄRMLANDS LÄN</t>
        </is>
      </c>
      <c r="G234" t="inlineStr">
        <is>
          <t>KARLSTAD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45734</v>
      </c>
      <c r="E235" s="1" t="n">
        <v>46319</v>
      </c>
      <c r="F235" t="inlineStr">
        <is>
          <t>VÄRMLANDS LÄN</t>
        </is>
      </c>
      <c r="G235" t="inlineStr">
        <is>
          <t>KARLSTAD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46319</v>
      </c>
      <c r="F236" t="inlineStr">
        <is>
          <t>VÄRMLANDS LÄN</t>
        </is>
      </c>
      <c r="G236" t="inlineStr">
        <is>
          <t>KARLSTAD</t>
        </is>
      </c>
      <c r="H236" t="inlineStr">
        <is>
          <t>Bergvik skog väst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46319</v>
      </c>
      <c r="F237" t="inlineStr">
        <is>
          <t>VÄRMLANDS LÄN</t>
        </is>
      </c>
      <c r="G237" t="inlineStr">
        <is>
          <t>KARLSTAD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45995</v>
      </c>
      <c r="E238" s="1" t="n">
        <v>46319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45767</v>
      </c>
      <c r="E239" s="1" t="n">
        <v>46319</v>
      </c>
      <c r="F239" t="inlineStr">
        <is>
          <t>VÄRMLANDS LÄN</t>
        </is>
      </c>
      <c r="G239" t="inlineStr">
        <is>
          <t>KARLSTAD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46319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46319</v>
      </c>
      <c r="F241" t="inlineStr">
        <is>
          <t>VÄRMLANDS LÄN</t>
        </is>
      </c>
      <c r="G241" t="inlineStr">
        <is>
          <t>KARLSTAD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46319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46319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46319</v>
      </c>
      <c r="F244" t="inlineStr">
        <is>
          <t>VÄRMLANDS LÄN</t>
        </is>
      </c>
      <c r="G244" t="inlineStr">
        <is>
          <t>KARLSTAD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46222</v>
      </c>
      <c r="E245" s="1" t="n">
        <v>46319</v>
      </c>
      <c r="F245" t="inlineStr">
        <is>
          <t>VÄRMLANDS LÄN</t>
        </is>
      </c>
      <c r="G245" t="inlineStr">
        <is>
          <t>KARLSTAD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46222</v>
      </c>
      <c r="E246" s="1" t="n">
        <v>46319</v>
      </c>
      <c r="F246" t="inlineStr">
        <is>
          <t>VÄRMLANDS LÄN</t>
        </is>
      </c>
      <c r="G246" t="inlineStr">
        <is>
          <t>KARLSTAD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46222</v>
      </c>
      <c r="E247" s="1" t="n">
        <v>46319</v>
      </c>
      <c r="F247" t="inlineStr">
        <is>
          <t>VÄRMLANDS LÄN</t>
        </is>
      </c>
      <c r="G247" t="inlineStr">
        <is>
          <t>KARLSTAD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31391-2026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46220</v>
      </c>
      <c r="E248" s="1" t="n">
        <v>46319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46319</v>
      </c>
      <c r="F249" t="inlineStr">
        <is>
          <t>VÄRMLANDS LÄN</t>
        </is>
      </c>
      <c r="G249" t="inlineStr">
        <is>
          <t>KARLSTAD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46319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46220</v>
      </c>
      <c r="E251" s="1" t="n">
        <v>46319</v>
      </c>
      <c r="F251" t="inlineStr">
        <is>
          <t>VÄRMLANDS LÄN</t>
        </is>
      </c>
      <c r="G251" t="inlineStr">
        <is>
          <t>KARLSTAD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31430-2026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46220</v>
      </c>
      <c r="E252" s="1" t="n">
        <v>46319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46319</v>
      </c>
      <c r="F253" t="inlineStr">
        <is>
          <t>VÄRMLANDS LÄN</t>
        </is>
      </c>
      <c r="G253" t="inlineStr">
        <is>
          <t>KARLSTAD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46222</v>
      </c>
      <c r="E254" s="1" t="n">
        <v>46319</v>
      </c>
      <c r="F254" t="inlineStr">
        <is>
          <t>VÄRMLANDS LÄN</t>
        </is>
      </c>
      <c r="G254" t="inlineStr">
        <is>
          <t>KARLSTAD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46319</v>
      </c>
      <c r="F255" t="inlineStr">
        <is>
          <t>VÄRMLANDS LÄN</t>
        </is>
      </c>
      <c r="G255" t="inlineStr">
        <is>
          <t>KARLSTAD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46222</v>
      </c>
      <c r="E256" s="1" t="n">
        <v>46319</v>
      </c>
      <c r="F256" t="inlineStr">
        <is>
          <t>VÄRMLANDS LÄN</t>
        </is>
      </c>
      <c r="G256" t="inlineStr">
        <is>
          <t>KARLSTAD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61673-2025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46002</v>
      </c>
      <c r="E257" s="1" t="n">
        <v>46319</v>
      </c>
      <c r="F257" t="inlineStr">
        <is>
          <t>VÄRMLANDS LÄN</t>
        </is>
      </c>
      <c r="G257" t="inlineStr">
        <is>
          <t>KARLSTAD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46319</v>
      </c>
      <c r="F258" t="inlineStr">
        <is>
          <t>VÄRMLANDS LÄN</t>
        </is>
      </c>
      <c r="G258" t="inlineStr">
        <is>
          <t>KARLSTAD</t>
        </is>
      </c>
      <c r="H258" t="inlineStr">
        <is>
          <t>Övriga statliga verk och myndigheter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46319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46319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46319</v>
      </c>
      <c r="F261" t="inlineStr">
        <is>
          <t>VÄRMLANDS LÄN</t>
        </is>
      </c>
      <c r="G261" t="inlineStr">
        <is>
          <t>KARLSTAD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45782</v>
      </c>
      <c r="E262" s="1" t="n">
        <v>46319</v>
      </c>
      <c r="F262" t="inlineStr">
        <is>
          <t>VÄRMLANDS LÄN</t>
        </is>
      </c>
      <c r="G262" t="inlineStr">
        <is>
          <t>KARLSTAD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46319</v>
      </c>
      <c r="F263" t="inlineStr">
        <is>
          <t>VÄRMLANDS LÄN</t>
        </is>
      </c>
      <c r="G263" t="inlineStr">
        <is>
          <t>KARLSTAD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46319</v>
      </c>
      <c r="F264" t="inlineStr">
        <is>
          <t>VÄRMLANDS LÄN</t>
        </is>
      </c>
      <c r="G264" t="inlineStr">
        <is>
          <t>KARLSTAD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46319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46319</v>
      </c>
      <c r="F266" t="inlineStr">
        <is>
          <t>VÄRMLANDS LÄN</t>
        </is>
      </c>
      <c r="G266" t="inlineStr">
        <is>
          <t>KARLSTAD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46319</v>
      </c>
      <c r="F267" t="inlineStr">
        <is>
          <t>VÄRMLANDS LÄN</t>
        </is>
      </c>
      <c r="G267" t="inlineStr">
        <is>
          <t>KARLSTAD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46319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46319</v>
      </c>
      <c r="F269" t="inlineStr">
        <is>
          <t>VÄRMLANDS LÄN</t>
        </is>
      </c>
      <c r="G269" t="inlineStr">
        <is>
          <t>KARLSTAD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46319</v>
      </c>
      <c r="F270" t="inlineStr">
        <is>
          <t>VÄRMLANDS LÄN</t>
        </is>
      </c>
      <c r="G270" t="inlineStr">
        <is>
          <t>KARLSTAD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46319</v>
      </c>
      <c r="F271" t="inlineStr">
        <is>
          <t>VÄRMLANDS LÄN</t>
        </is>
      </c>
      <c r="G271" t="inlineStr">
        <is>
          <t>KARLSTAD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46319</v>
      </c>
      <c r="F272" t="inlineStr">
        <is>
          <t>VÄRMLANDS LÄN</t>
        </is>
      </c>
      <c r="G272" t="inlineStr">
        <is>
          <t>KARLSTAD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46319</v>
      </c>
      <c r="F273" t="inlineStr">
        <is>
          <t>VÄRMLANDS LÄN</t>
        </is>
      </c>
      <c r="G273" t="inlineStr">
        <is>
          <t>KARLSTAD</t>
        </is>
      </c>
      <c r="H273" t="inlineStr">
        <is>
          <t>Naturvårdsverket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45466</v>
      </c>
      <c r="E274" s="1" t="n">
        <v>46319</v>
      </c>
      <c r="F274" t="inlineStr">
        <is>
          <t>VÄRMLANDS LÄN</t>
        </is>
      </c>
      <c r="G274" t="inlineStr">
        <is>
          <t>KARLSTAD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46281</v>
      </c>
      <c r="E275" s="1" t="n">
        <v>46319</v>
      </c>
      <c r="F275" t="inlineStr">
        <is>
          <t>VÄRMLANDS LÄN</t>
        </is>
      </c>
      <c r="G275" t="inlineStr">
        <is>
          <t>KARLSTAD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46319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46319</v>
      </c>
      <c r="F277" t="inlineStr">
        <is>
          <t>VÄRMLANDS LÄN</t>
        </is>
      </c>
      <c r="G277" t="inlineStr">
        <is>
          <t>KARLSTAD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46319</v>
      </c>
      <c r="F278" t="inlineStr">
        <is>
          <t>VÄRMLANDS LÄN</t>
        </is>
      </c>
      <c r="G278" t="inlineStr">
        <is>
          <t>KARLSTAD</t>
        </is>
      </c>
      <c r="H278" t="inlineStr">
        <is>
          <t>Kyrkan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46319</v>
      </c>
      <c r="F279" t="inlineStr">
        <is>
          <t>VÄRMLANDS LÄN</t>
        </is>
      </c>
      <c r="G279" t="inlineStr">
        <is>
          <t>KARLSTAD</t>
        </is>
      </c>
      <c r="H279" t="inlineStr">
        <is>
          <t>Kyrkan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46319</v>
      </c>
      <c r="F280" t="inlineStr">
        <is>
          <t>VÄRMLANDS LÄN</t>
        </is>
      </c>
      <c r="G280" t="inlineStr">
        <is>
          <t>KARLSTAD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44812</v>
      </c>
      <c r="E281" s="1" t="n">
        <v>46319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24.3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46319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46319</v>
      </c>
      <c r="F283" t="inlineStr">
        <is>
          <t>VÄRMLANDS LÄN</t>
        </is>
      </c>
      <c r="G283" t="inlineStr">
        <is>
          <t>KARLSTAD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46319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46319</v>
      </c>
      <c r="F285" t="inlineStr">
        <is>
          <t>VÄRMLANDS LÄN</t>
        </is>
      </c>
      <c r="G285" t="inlineStr">
        <is>
          <t>KARLSTAD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46319</v>
      </c>
      <c r="F286" t="inlineStr">
        <is>
          <t>VÄRMLANDS LÄN</t>
        </is>
      </c>
      <c r="G286" t="inlineStr">
        <is>
          <t>KARLSTAD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19166-2023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45044</v>
      </c>
      <c r="E287" s="1" t="n">
        <v>46319</v>
      </c>
      <c r="F287" t="inlineStr">
        <is>
          <t>VÄRMLANDS LÄN</t>
        </is>
      </c>
      <c r="G287" t="inlineStr">
        <is>
          <t>KARLSTAD</t>
        </is>
      </c>
      <c r="H287" t="inlineStr">
        <is>
          <t>Övriga statliga verk och myndigheter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46319</v>
      </c>
      <c r="F288" t="inlineStr">
        <is>
          <t>VÄRMLANDS LÄN</t>
        </is>
      </c>
      <c r="G288" t="inlineStr">
        <is>
          <t>KARLSTAD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46319</v>
      </c>
      <c r="F289" t="inlineStr">
        <is>
          <t>VÄRMLANDS LÄN</t>
        </is>
      </c>
      <c r="G289" t="inlineStr">
        <is>
          <t>KARLSTAD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46319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46319</v>
      </c>
      <c r="F291" t="inlineStr">
        <is>
          <t>VÄRMLANDS LÄN</t>
        </is>
      </c>
      <c r="G291" t="inlineStr">
        <is>
          <t>KARLSTAD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46319</v>
      </c>
      <c r="F292" t="inlineStr">
        <is>
          <t>VÄRMLANDS LÄN</t>
        </is>
      </c>
      <c r="G292" t="inlineStr">
        <is>
          <t>KARLSTAD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41514-2024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45560</v>
      </c>
      <c r="E293" s="1" t="n">
        <v>46319</v>
      </c>
      <c r="F293" t="inlineStr">
        <is>
          <t>VÄRMLANDS LÄN</t>
        </is>
      </c>
      <c r="G293" t="inlineStr">
        <is>
          <t>KARLSTAD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46319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46319</v>
      </c>
      <c r="F295" t="inlineStr">
        <is>
          <t>VÄRMLANDS LÄN</t>
        </is>
      </c>
      <c r="G295" t="inlineStr">
        <is>
          <t>KARLSTAD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45002</v>
      </c>
      <c r="E296" s="1" t="n">
        <v>46319</v>
      </c>
      <c r="F296" t="inlineStr">
        <is>
          <t>VÄRMLANDS LÄN</t>
        </is>
      </c>
      <c r="G296" t="inlineStr">
        <is>
          <t>KARLSTAD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46319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46319</v>
      </c>
      <c r="F298" t="inlineStr">
        <is>
          <t>VÄRMLANDS LÄN</t>
        </is>
      </c>
      <c r="G298" t="inlineStr">
        <is>
          <t>KARLSTAD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46319</v>
      </c>
      <c r="F299" t="inlineStr">
        <is>
          <t>VÄRMLANDS LÄN</t>
        </is>
      </c>
      <c r="G299" t="inlineStr">
        <is>
          <t>KARLSTAD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46319</v>
      </c>
      <c r="F300" t="inlineStr">
        <is>
          <t>VÄRMLANDS LÄN</t>
        </is>
      </c>
      <c r="G300" t="inlineStr">
        <is>
          <t>KARLSTAD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46319</v>
      </c>
      <c r="F301" t="inlineStr">
        <is>
          <t>VÄRMLANDS LÄN</t>
        </is>
      </c>
      <c r="G301" t="inlineStr">
        <is>
          <t>KARLSTAD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46319</v>
      </c>
      <c r="F302" t="inlineStr">
        <is>
          <t>VÄRMLANDS LÄN</t>
        </is>
      </c>
      <c r="G302" t="inlineStr">
        <is>
          <t>KARLSTAD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46319</v>
      </c>
      <c r="F303" t="inlineStr">
        <is>
          <t>VÄRMLANDS LÄN</t>
        </is>
      </c>
      <c r="G303" t="inlineStr">
        <is>
          <t>KARLSTAD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46319</v>
      </c>
      <c r="F304" t="inlineStr">
        <is>
          <t>VÄRMLANDS LÄN</t>
        </is>
      </c>
      <c r="G304" t="inlineStr">
        <is>
          <t>KARLSTAD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45533</v>
      </c>
      <c r="E305" s="1" t="n">
        <v>46319</v>
      </c>
      <c r="F305" t="inlineStr">
        <is>
          <t>VÄRMLANDS LÄN</t>
        </is>
      </c>
      <c r="G305" t="inlineStr">
        <is>
          <t>KARLSTAD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46319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46319</v>
      </c>
      <c r="F307" t="inlineStr">
        <is>
          <t>VÄRMLANDS LÄN</t>
        </is>
      </c>
      <c r="G307" t="inlineStr">
        <is>
          <t>KARLSTAD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44846</v>
      </c>
      <c r="E308" s="1" t="n">
        <v>46319</v>
      </c>
      <c r="F308" t="inlineStr">
        <is>
          <t>VÄRMLANDS LÄN</t>
        </is>
      </c>
      <c r="G308" t="inlineStr">
        <is>
          <t>KARLSTAD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46319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45822</v>
      </c>
      <c r="E310" s="1" t="n">
        <v>46319</v>
      </c>
      <c r="F310" t="inlineStr">
        <is>
          <t>VÄRMLANDS LÄN</t>
        </is>
      </c>
      <c r="G310" t="inlineStr">
        <is>
          <t>KARLSTAD</t>
        </is>
      </c>
      <c r="I310" t="n">
        <v>23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46319</v>
      </c>
      <c r="F311" t="inlineStr">
        <is>
          <t>VÄRMLANDS LÄN</t>
        </is>
      </c>
      <c r="G311" t="inlineStr">
        <is>
          <t>KARLSTAD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11342-2026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46082</v>
      </c>
      <c r="E312" s="1" t="n">
        <v>46319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46296</v>
      </c>
      <c r="E313" s="1" t="n">
        <v>46319</v>
      </c>
      <c r="F313" t="inlineStr">
        <is>
          <t>VÄRMLANDS LÄN</t>
        </is>
      </c>
      <c r="G313" t="inlineStr">
        <is>
          <t>KARLSTAD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46319</v>
      </c>
      <c r="F314" t="inlineStr">
        <is>
          <t>VÄRMLANDS LÄN</t>
        </is>
      </c>
      <c r="G314" t="inlineStr">
        <is>
          <t>KARLSTAD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46319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46319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31833-2025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46319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46319</v>
      </c>
      <c r="F318" t="inlineStr">
        <is>
          <t>VÄRMLANDS LÄN</t>
        </is>
      </c>
      <c r="G318" t="inlineStr">
        <is>
          <t>KARLSTAD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46319</v>
      </c>
      <c r="F319" t="inlineStr">
        <is>
          <t>VÄRMLANDS LÄN</t>
        </is>
      </c>
      <c r="G319" t="inlineStr">
        <is>
          <t>KARLSTAD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46319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12903-2026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46092</v>
      </c>
      <c r="E321" s="1" t="n">
        <v>46319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46319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46319</v>
      </c>
      <c r="F323" t="inlineStr">
        <is>
          <t>VÄRMLANDS LÄN</t>
        </is>
      </c>
      <c r="G323" t="inlineStr">
        <is>
          <t>KARLSTAD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46319</v>
      </c>
      <c r="F324" t="inlineStr">
        <is>
          <t>VÄRMLANDS LÄN</t>
        </is>
      </c>
      <c r="G324" t="inlineStr">
        <is>
          <t>KARLSTAD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14079-2026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46099</v>
      </c>
      <c r="E325" s="1" t="n">
        <v>46319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46319</v>
      </c>
      <c r="F326" t="inlineStr">
        <is>
          <t>VÄRMLANDS LÄN</t>
        </is>
      </c>
      <c r="G326" t="inlineStr">
        <is>
          <t>KARLSTAD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46319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46319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14890-2026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46104</v>
      </c>
      <c r="E329" s="1" t="n">
        <v>46319</v>
      </c>
      <c r="F329" t="inlineStr">
        <is>
          <t>VÄRMLANDS LÄN</t>
        </is>
      </c>
      <c r="G329" t="inlineStr">
        <is>
          <t>KARLSTAD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45560</v>
      </c>
      <c r="E330" s="1" t="n">
        <v>46319</v>
      </c>
      <c r="F330" t="inlineStr">
        <is>
          <t>VÄRMLANDS LÄN</t>
        </is>
      </c>
      <c r="G330" t="inlineStr">
        <is>
          <t>KARLSTAD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34788-2026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46258</v>
      </c>
      <c r="E331" s="1" t="n">
        <v>46319</v>
      </c>
      <c r="F331" t="inlineStr">
        <is>
          <t>VÄRMLANDS LÄN</t>
        </is>
      </c>
      <c r="G331" t="inlineStr">
        <is>
          <t>KARLSTAD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46319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15772-2026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46107</v>
      </c>
      <c r="E333" s="1" t="n">
        <v>46319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34722-2026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46258</v>
      </c>
      <c r="E334" s="1" t="n">
        <v>46319</v>
      </c>
      <c r="F334" t="inlineStr">
        <is>
          <t>VÄRMLANDS LÄN</t>
        </is>
      </c>
      <c r="G334" t="inlineStr">
        <is>
          <t>KARLSTAD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46114</v>
      </c>
      <c r="E335" s="1" t="n">
        <v>46319</v>
      </c>
      <c r="F335" t="inlineStr">
        <is>
          <t>VÄRMLANDS LÄN</t>
        </is>
      </c>
      <c r="G335" t="inlineStr">
        <is>
          <t>KARLSTAD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46125</v>
      </c>
      <c r="E336" s="1" t="n">
        <v>46319</v>
      </c>
      <c r="F336" t="inlineStr">
        <is>
          <t>VÄRMLANDS LÄN</t>
        </is>
      </c>
      <c r="G336" t="inlineStr">
        <is>
          <t>KARLSTAD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46319</v>
      </c>
      <c r="F337" t="inlineStr">
        <is>
          <t>VÄRMLANDS LÄN</t>
        </is>
      </c>
      <c r="G337" t="inlineStr">
        <is>
          <t>KARLSTAD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46319</v>
      </c>
      <c r="F338" t="inlineStr">
        <is>
          <t>VÄRMLANDS LÄN</t>
        </is>
      </c>
      <c r="G338" t="inlineStr">
        <is>
          <t>KARLSTAD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46319</v>
      </c>
      <c r="F339" t="inlineStr">
        <is>
          <t>VÄRMLANDS LÄN</t>
        </is>
      </c>
      <c r="G339" t="inlineStr">
        <is>
          <t>KARLSTAD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46319</v>
      </c>
      <c r="F340" t="inlineStr">
        <is>
          <t>VÄRMLANDS LÄN</t>
        </is>
      </c>
      <c r="G340" t="inlineStr">
        <is>
          <t>KARLSTAD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46319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46319</v>
      </c>
      <c r="F342" t="inlineStr">
        <is>
          <t>VÄRMLANDS LÄN</t>
        </is>
      </c>
      <c r="G342" t="inlineStr">
        <is>
          <t>KARLSTAD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37932-2025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45881</v>
      </c>
      <c r="E343" s="1" t="n">
        <v>46319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46319</v>
      </c>
      <c r="F344" t="inlineStr">
        <is>
          <t>VÄRMLANDS LÄN</t>
        </is>
      </c>
      <c r="G344" t="inlineStr">
        <is>
          <t>KARLSTAD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46319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46319</v>
      </c>
      <c r="F346" t="inlineStr">
        <is>
          <t>VÄRMLANDS LÄN</t>
        </is>
      </c>
      <c r="G346" t="inlineStr">
        <is>
          <t>KARLSTAD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46319</v>
      </c>
      <c r="F347" t="inlineStr">
        <is>
          <t>VÄRMLANDS LÄN</t>
        </is>
      </c>
      <c r="G347" t="inlineStr">
        <is>
          <t>KARLSTAD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46319</v>
      </c>
      <c r="F348" t="inlineStr">
        <is>
          <t>VÄRMLANDS LÄN</t>
        </is>
      </c>
      <c r="G348" t="inlineStr">
        <is>
          <t>KARLSTAD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46319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46319</v>
      </c>
      <c r="F350" t="inlineStr">
        <is>
          <t>VÄRMLANDS LÄN</t>
        </is>
      </c>
      <c r="G350" t="inlineStr">
        <is>
          <t>KARLSTAD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46319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46319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45877</v>
      </c>
      <c r="E353" s="1" t="n">
        <v>46319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46319</v>
      </c>
      <c r="F354" t="inlineStr">
        <is>
          <t>VÄRMLANDS LÄN</t>
        </is>
      </c>
      <c r="G354" t="inlineStr">
        <is>
          <t>KARLSTAD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46319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46319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46319</v>
      </c>
      <c r="F357" t="inlineStr">
        <is>
          <t>VÄRMLANDS LÄN</t>
        </is>
      </c>
      <c r="G357" t="inlineStr">
        <is>
          <t>KARLSTAD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46319</v>
      </c>
      <c r="F358" t="inlineStr">
        <is>
          <t>VÄRMLANDS LÄN</t>
        </is>
      </c>
      <c r="G358" t="inlineStr">
        <is>
          <t>KARLSTAD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46314</v>
      </c>
      <c r="E359" s="1" t="n">
        <v>46319</v>
      </c>
      <c r="F359" t="inlineStr">
        <is>
          <t>VÄRMLANDS LÄN</t>
        </is>
      </c>
      <c r="G359" t="inlineStr">
        <is>
          <t>KARLSTAD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46314</v>
      </c>
      <c r="E360" s="1" t="n">
        <v>46319</v>
      </c>
      <c r="F360" t="inlineStr">
        <is>
          <t>VÄRMLANDS LÄN</t>
        </is>
      </c>
      <c r="G360" t="inlineStr">
        <is>
          <t>KARLSTAD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73753-2021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46319</v>
      </c>
      <c r="F361" t="inlineStr">
        <is>
          <t>VÄRMLANDS LÄN</t>
        </is>
      </c>
      <c r="G361" t="inlineStr">
        <is>
          <t>KARLSTAD</t>
        </is>
      </c>
      <c r="H361" t="inlineStr">
        <is>
          <t>Kyrkan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46319</v>
      </c>
      <c r="F362" t="inlineStr">
        <is>
          <t>VÄRMLANDS LÄN</t>
        </is>
      </c>
      <c r="G362" t="inlineStr">
        <is>
          <t>KARLSTAD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46319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45799</v>
      </c>
      <c r="E364" s="1" t="n">
        <v>46319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46319</v>
      </c>
      <c r="F365" t="inlineStr">
        <is>
          <t>VÄRMLANDS LÄN</t>
        </is>
      </c>
      <c r="G365" t="inlineStr">
        <is>
          <t>KARLSTAD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46270</v>
      </c>
      <c r="E366" s="1" t="n">
        <v>46319</v>
      </c>
      <c r="F366" t="inlineStr">
        <is>
          <t>VÄRMLANDS LÄN</t>
        </is>
      </c>
      <c r="G366" t="inlineStr">
        <is>
          <t>KARLSTAD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46319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46319</v>
      </c>
      <c r="F368" t="inlineStr">
        <is>
          <t>VÄRMLANDS LÄN</t>
        </is>
      </c>
      <c r="G368" t="inlineStr">
        <is>
          <t>KARLSTAD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46319</v>
      </c>
      <c r="F369" t="inlineStr">
        <is>
          <t>VÄRMLANDS LÄN</t>
        </is>
      </c>
      <c r="G369" t="inlineStr">
        <is>
          <t>KARLSTAD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46314</v>
      </c>
      <c r="E370" s="1" t="n">
        <v>46319</v>
      </c>
      <c r="F370" t="inlineStr">
        <is>
          <t>VÄRMLANDS LÄN</t>
        </is>
      </c>
      <c r="G370" t="inlineStr">
        <is>
          <t>KARLSTAD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45379</v>
      </c>
      <c r="E371" s="1" t="n">
        <v>46319</v>
      </c>
      <c r="F371" t="inlineStr">
        <is>
          <t>VÄRMLANDS LÄN</t>
        </is>
      </c>
      <c r="G371" t="inlineStr">
        <is>
          <t>KARLSTAD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46270</v>
      </c>
      <c r="E372" s="1" t="n">
        <v>46319</v>
      </c>
      <c r="F372" t="inlineStr">
        <is>
          <t>VÄRMLANDS LÄN</t>
        </is>
      </c>
      <c r="G372" t="inlineStr">
        <is>
          <t>KARLSTAD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45880</v>
      </c>
      <c r="E373" s="1" t="n">
        <v>46319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46319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55250-2022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44887</v>
      </c>
      <c r="E375" s="1" t="n">
        <v>46319</v>
      </c>
      <c r="F375" t="inlineStr">
        <is>
          <t>VÄRMLANDS LÄN</t>
        </is>
      </c>
      <c r="G375" t="inlineStr">
        <is>
          <t>KARLSTAD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46319</v>
      </c>
      <c r="F376" t="inlineStr">
        <is>
          <t>VÄRMLANDS LÄN</t>
        </is>
      </c>
      <c r="G376" t="inlineStr">
        <is>
          <t>KARLSTAD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46272</v>
      </c>
      <c r="E377" s="1" t="n">
        <v>46319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46319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45320</v>
      </c>
      <c r="E379" s="1" t="n">
        <v>46319</v>
      </c>
      <c r="F379" t="inlineStr">
        <is>
          <t>VÄRMLANDS LÄN</t>
        </is>
      </c>
      <c r="G379" t="inlineStr">
        <is>
          <t>KARLSTAD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45308</v>
      </c>
      <c r="E380" s="1" t="n">
        <v>46319</v>
      </c>
      <c r="F380" t="inlineStr">
        <is>
          <t>VÄRMLANDS LÄN</t>
        </is>
      </c>
      <c r="G380" t="inlineStr">
        <is>
          <t>KARLSTAD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46319</v>
      </c>
      <c r="F381" t="inlineStr">
        <is>
          <t>VÄRMLANDS LÄN</t>
        </is>
      </c>
      <c r="G381" t="inlineStr">
        <is>
          <t>KARLSTAD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44629</v>
      </c>
      <c r="E382" s="1" t="n">
        <v>46319</v>
      </c>
      <c r="F382" t="inlineStr">
        <is>
          <t>VÄRMLANDS LÄN</t>
        </is>
      </c>
      <c r="G382" t="inlineStr">
        <is>
          <t>KARLSTAD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46316</v>
      </c>
      <c r="E383" s="1" t="n">
        <v>46319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45877</v>
      </c>
      <c r="E384" s="1" t="n">
        <v>46319</v>
      </c>
      <c r="F384" t="inlineStr">
        <is>
          <t>VÄRMLANDS LÄN</t>
        </is>
      </c>
      <c r="G384" t="inlineStr">
        <is>
          <t>KARLSTAD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44103-2026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46318</v>
      </c>
      <c r="E385" s="1" t="n">
        <v>46319</v>
      </c>
      <c r="F385" t="inlineStr">
        <is>
          <t>VÄRMLANDS LÄN</t>
        </is>
      </c>
      <c r="G385" t="inlineStr">
        <is>
          <t>KARLSTAD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45836</v>
      </c>
      <c r="E386" s="1" t="n">
        <v>46319</v>
      </c>
      <c r="F386" t="inlineStr">
        <is>
          <t>VÄRMLANDS LÄN</t>
        </is>
      </c>
      <c r="G386" t="inlineStr">
        <is>
          <t>KARLSTAD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46318</v>
      </c>
      <c r="E387" s="1" t="n">
        <v>46319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44672</v>
      </c>
      <c r="E388" s="1" t="n">
        <v>46319</v>
      </c>
      <c r="F388" t="inlineStr">
        <is>
          <t>VÄRMLANDS LÄN</t>
        </is>
      </c>
      <c r="G388" t="inlineStr">
        <is>
          <t>KARLSTAD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44902</v>
      </c>
      <c r="E389" s="1" t="n">
        <v>46319</v>
      </c>
      <c r="F389" t="inlineStr">
        <is>
          <t>VÄRMLANDS LÄN</t>
        </is>
      </c>
      <c r="G389" t="inlineStr">
        <is>
          <t>KARLSTAD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46319</v>
      </c>
      <c r="F390" t="inlineStr">
        <is>
          <t>VÄRMLANDS LÄN</t>
        </is>
      </c>
      <c r="G390" t="inlineStr">
        <is>
          <t>KARLSTAD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46319</v>
      </c>
      <c r="F391" t="inlineStr">
        <is>
          <t>VÄRMLANDS LÄN</t>
        </is>
      </c>
      <c r="G391" t="inlineStr">
        <is>
          <t>KARLSTAD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46319</v>
      </c>
      <c r="F392" t="inlineStr">
        <is>
          <t>VÄRMLANDS LÄN</t>
        </is>
      </c>
      <c r="G392" t="inlineStr">
        <is>
          <t>KARLSTAD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46319</v>
      </c>
      <c r="F393" t="inlineStr">
        <is>
          <t>VÄRMLANDS LÄN</t>
        </is>
      </c>
      <c r="G393" t="inlineStr">
        <is>
          <t>KARLSTAD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46319</v>
      </c>
      <c r="F394" t="inlineStr">
        <is>
          <t>VÄRMLANDS LÄN</t>
        </is>
      </c>
      <c r="G394" t="inlineStr">
        <is>
          <t>KARLSTAD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46319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55346-2023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46319</v>
      </c>
      <c r="F396" t="inlineStr">
        <is>
          <t>VÄRMLANDS LÄN</t>
        </is>
      </c>
      <c r="G396" t="inlineStr">
        <is>
          <t>KARLSTAD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46319</v>
      </c>
      <c r="F397" t="inlineStr">
        <is>
          <t>VÄRMLANDS LÄN</t>
        </is>
      </c>
      <c r="G397" t="inlineStr">
        <is>
          <t>KARLSTAD</t>
        </is>
      </c>
      <c r="H397" t="inlineStr">
        <is>
          <t>Kyrkan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45524</v>
      </c>
      <c r="E398" s="1" t="n">
        <v>46319</v>
      </c>
      <c r="F398" t="inlineStr">
        <is>
          <t>VÄRMLANDS LÄN</t>
        </is>
      </c>
      <c r="G398" t="inlineStr">
        <is>
          <t>KARLSTAD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45049</v>
      </c>
      <c r="E399" s="1" t="n">
        <v>46319</v>
      </c>
      <c r="F399" t="inlineStr">
        <is>
          <t>VÄRMLANDS LÄN</t>
        </is>
      </c>
      <c r="G399" t="inlineStr">
        <is>
          <t>KARLSTAD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45095</v>
      </c>
      <c r="E400" s="1" t="n">
        <v>46319</v>
      </c>
      <c r="F400" t="inlineStr">
        <is>
          <t>VÄRMLANDS LÄN</t>
        </is>
      </c>
      <c r="G400" t="inlineStr">
        <is>
          <t>KARLSTAD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46319</v>
      </c>
      <c r="F401" t="inlineStr">
        <is>
          <t>VÄRMLANDS LÄN</t>
        </is>
      </c>
      <c r="G401" t="inlineStr">
        <is>
          <t>KARLSTAD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46319</v>
      </c>
      <c r="F402" t="inlineStr">
        <is>
          <t>VÄRMLANDS LÄN</t>
        </is>
      </c>
      <c r="G402" t="inlineStr">
        <is>
          <t>KARLSTAD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45630</v>
      </c>
      <c r="E403" s="1" t="n">
        <v>46319</v>
      </c>
      <c r="F403" t="inlineStr">
        <is>
          <t>VÄRMLANDS LÄN</t>
        </is>
      </c>
      <c r="G403" t="inlineStr">
        <is>
          <t>KARLSTAD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44666</v>
      </c>
      <c r="E404" s="1" t="n">
        <v>46319</v>
      </c>
      <c r="F404" t="inlineStr">
        <is>
          <t>VÄRMLANDS LÄN</t>
        </is>
      </c>
      <c r="G404" t="inlineStr">
        <is>
          <t>KARLSTAD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46319</v>
      </c>
      <c r="F405" t="inlineStr">
        <is>
          <t>VÄRMLANDS LÄN</t>
        </is>
      </c>
      <c r="G405" t="inlineStr">
        <is>
          <t>KARLSTAD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46319</v>
      </c>
      <c r="F406" t="inlineStr">
        <is>
          <t>VÄRMLANDS LÄN</t>
        </is>
      </c>
      <c r="G406" t="inlineStr">
        <is>
          <t>KARLSTAD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45273</v>
      </c>
      <c r="E407" s="1" t="n">
        <v>46319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46319</v>
      </c>
      <c r="F408" t="inlineStr">
        <is>
          <t>VÄRMLANDS LÄN</t>
        </is>
      </c>
      <c r="G408" t="inlineStr">
        <is>
          <t>KARLSTAD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46319</v>
      </c>
      <c r="F409" t="inlineStr">
        <is>
          <t>VÄRMLANDS LÄN</t>
        </is>
      </c>
      <c r="G409" t="inlineStr">
        <is>
          <t>KARLSTAD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46319</v>
      </c>
      <c r="F410" t="inlineStr">
        <is>
          <t>VÄRMLANDS LÄN</t>
        </is>
      </c>
      <c r="G410" t="inlineStr">
        <is>
          <t>KARLSTAD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45623</v>
      </c>
      <c r="E411" s="1" t="n">
        <v>46319</v>
      </c>
      <c r="F411" t="inlineStr">
        <is>
          <t>VÄRMLANDS LÄN</t>
        </is>
      </c>
      <c r="G411" t="inlineStr">
        <is>
          <t>KARLSTAD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45618</v>
      </c>
      <c r="E412" s="1" t="n">
        <v>46319</v>
      </c>
      <c r="F412" t="inlineStr">
        <is>
          <t>VÄRMLANDS LÄN</t>
        </is>
      </c>
      <c r="G412" t="inlineStr">
        <is>
          <t>KARLSTAD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46319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32875-2023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45112</v>
      </c>
      <c r="E414" s="1" t="n">
        <v>46319</v>
      </c>
      <c r="F414" t="inlineStr">
        <is>
          <t>VÄRMLANDS LÄN</t>
        </is>
      </c>
      <c r="G414" t="inlineStr">
        <is>
          <t>KARLSTAD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46319</v>
      </c>
      <c r="F415" t="inlineStr">
        <is>
          <t>VÄRMLANDS LÄN</t>
        </is>
      </c>
      <c r="G415" t="inlineStr">
        <is>
          <t>KARLSTAD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46319</v>
      </c>
      <c r="F416" t="inlineStr">
        <is>
          <t>VÄRMLANDS LÄN</t>
        </is>
      </c>
      <c r="G416" t="inlineStr">
        <is>
          <t>KARLSTAD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45601</v>
      </c>
      <c r="E417" s="1" t="n">
        <v>46319</v>
      </c>
      <c r="F417" t="inlineStr">
        <is>
          <t>VÄRMLANDS LÄN</t>
        </is>
      </c>
      <c r="G417" t="inlineStr">
        <is>
          <t>KARLSTAD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46319</v>
      </c>
      <c r="F418" t="inlineStr">
        <is>
          <t>VÄRMLANDS LÄN</t>
        </is>
      </c>
      <c r="G418" t="inlineStr">
        <is>
          <t>KARLSTAD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44999</v>
      </c>
      <c r="E419" s="1" t="n">
        <v>46319</v>
      </c>
      <c r="F419" t="inlineStr">
        <is>
          <t>VÄRMLANDS LÄN</t>
        </is>
      </c>
      <c r="G419" t="inlineStr">
        <is>
          <t>KARLSTAD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46319</v>
      </c>
      <c r="F420" t="inlineStr">
        <is>
          <t>VÄRMLANDS LÄN</t>
        </is>
      </c>
      <c r="G420" t="inlineStr">
        <is>
          <t>KARLSTAD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46319</v>
      </c>
      <c r="F421" t="inlineStr">
        <is>
          <t>VÄRMLANDS LÄN</t>
        </is>
      </c>
      <c r="G421" t="inlineStr">
        <is>
          <t>KARLSTAD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46319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58653-2024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45635</v>
      </c>
      <c r="E423" s="1" t="n">
        <v>46319</v>
      </c>
      <c r="F423" t="inlineStr">
        <is>
          <t>VÄRMLANDS LÄN</t>
        </is>
      </c>
      <c r="G423" t="inlineStr">
        <is>
          <t>KARLSTAD</t>
        </is>
      </c>
      <c r="I423" t="n">
        <v>18.5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46319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45736</v>
      </c>
      <c r="E425" s="1" t="n">
        <v>46319</v>
      </c>
      <c r="F425" t="inlineStr">
        <is>
          <t>VÄRMLANDS LÄN</t>
        </is>
      </c>
      <c r="G425" t="inlineStr">
        <is>
          <t>KARLSTAD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45174</v>
      </c>
      <c r="E426" s="1" t="n">
        <v>46319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46319</v>
      </c>
      <c r="F427" t="inlineStr">
        <is>
          <t>VÄRMLANDS LÄN</t>
        </is>
      </c>
      <c r="G427" t="inlineStr">
        <is>
          <t>KARLSTAD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45707</v>
      </c>
      <c r="E428" s="1" t="n">
        <v>46319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45679</v>
      </c>
      <c r="E429" s="1" t="n">
        <v>46319</v>
      </c>
      <c r="F429" t="inlineStr">
        <is>
          <t>VÄRMLANDS LÄN</t>
        </is>
      </c>
      <c r="G429" t="inlineStr">
        <is>
          <t>KARLSTAD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46319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66642-2021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46319</v>
      </c>
      <c r="F431" t="inlineStr">
        <is>
          <t>VÄRMLANDS LÄN</t>
        </is>
      </c>
      <c r="G431" t="inlineStr">
        <is>
          <t>KARLSTAD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45711</v>
      </c>
      <c r="E432" s="1" t="n">
        <v>46319</v>
      </c>
      <c r="F432" t="inlineStr">
        <is>
          <t>VÄRMLANDS LÄN</t>
        </is>
      </c>
      <c r="G432" t="inlineStr">
        <is>
          <t>KARLSTAD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45039</v>
      </c>
      <c r="E433" s="1" t="n">
        <v>46319</v>
      </c>
      <c r="F433" t="inlineStr">
        <is>
          <t>VÄRMLANDS LÄN</t>
        </is>
      </c>
      <c r="G433" t="inlineStr">
        <is>
          <t>KARLSTAD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66322-2021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44518</v>
      </c>
      <c r="E434" s="1" t="n">
        <v>46319</v>
      </c>
      <c r="F434" t="inlineStr">
        <is>
          <t>VÄRMLANDS LÄN</t>
        </is>
      </c>
      <c r="G434" t="inlineStr">
        <is>
          <t>KARLSTAD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46319</v>
      </c>
      <c r="F435" t="inlineStr">
        <is>
          <t>VÄRMLANDS LÄN</t>
        </is>
      </c>
      <c r="G435" t="inlineStr">
        <is>
          <t>KARLSTAD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45698</v>
      </c>
      <c r="E436" s="1" t="n">
        <v>46319</v>
      </c>
      <c r="F436" t="inlineStr">
        <is>
          <t>VÄRMLANDS LÄN</t>
        </is>
      </c>
      <c r="G436" t="inlineStr">
        <is>
          <t>KARLSTAD</t>
        </is>
      </c>
      <c r="I436" t="n">
        <v>20.6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46319</v>
      </c>
      <c r="F437" t="inlineStr">
        <is>
          <t>VÄRMLANDS LÄN</t>
        </is>
      </c>
      <c r="G437" t="inlineStr">
        <is>
          <t>KARLSTAD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45070</v>
      </c>
      <c r="E438" s="1" t="n">
        <v>46319</v>
      </c>
      <c r="F438" t="inlineStr">
        <is>
          <t>VÄRMLANDS LÄN</t>
        </is>
      </c>
      <c r="G438" t="inlineStr">
        <is>
          <t>KARLSTAD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44566</v>
      </c>
      <c r="E439" s="1" t="n">
        <v>46319</v>
      </c>
      <c r="F439" t="inlineStr">
        <is>
          <t>VÄRMLANDS LÄN</t>
        </is>
      </c>
      <c r="G439" t="inlineStr">
        <is>
          <t>KARLSTAD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45729</v>
      </c>
      <c r="E440" s="1" t="n">
        <v>46319</v>
      </c>
      <c r="F440" t="inlineStr">
        <is>
          <t>VÄRMLANDS LÄN</t>
        </is>
      </c>
      <c r="G440" t="inlineStr">
        <is>
          <t>KARLSTAD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41960-2023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45177</v>
      </c>
      <c r="E441" s="1" t="n">
        <v>46319</v>
      </c>
      <c r="F441" t="inlineStr">
        <is>
          <t>VÄRMLANDS LÄN</t>
        </is>
      </c>
      <c r="G441" t="inlineStr">
        <is>
          <t>KARLSTAD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44578</v>
      </c>
      <c r="E442" s="1" t="n">
        <v>46319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47349-2022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44852</v>
      </c>
      <c r="E443" s="1" t="n">
        <v>46319</v>
      </c>
      <c r="F443" t="inlineStr">
        <is>
          <t>VÄRMLANDS LÄN</t>
        </is>
      </c>
      <c r="G443" t="inlineStr">
        <is>
          <t>KARLSTAD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45721</v>
      </c>
      <c r="E444" s="1" t="n">
        <v>46319</v>
      </c>
      <c r="F444" t="inlineStr">
        <is>
          <t>VÄRMLANDS LÄN</t>
        </is>
      </c>
      <c r="G444" t="inlineStr">
        <is>
          <t>KARLSTAD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53038-2022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46319</v>
      </c>
      <c r="F445" t="inlineStr">
        <is>
          <t>VÄRMLANDS LÄN</t>
        </is>
      </c>
      <c r="G445" t="inlineStr">
        <is>
          <t>KARLSTAD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45028</v>
      </c>
      <c r="E446" s="1" t="n">
        <v>46319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45095</v>
      </c>
      <c r="E447" s="1" t="n">
        <v>46319</v>
      </c>
      <c r="F447" t="inlineStr">
        <is>
          <t>VÄRMLANDS LÄN</t>
        </is>
      </c>
      <c r="G447" t="inlineStr">
        <is>
          <t>KARLSTAD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46319</v>
      </c>
      <c r="F448" t="inlineStr">
        <is>
          <t>VÄRMLANDS LÄN</t>
        </is>
      </c>
      <c r="G448" t="inlineStr">
        <is>
          <t>KARLSTAD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46319</v>
      </c>
      <c r="F449" t="inlineStr">
        <is>
          <t>VÄRMLANDS LÄN</t>
        </is>
      </c>
      <c r="G449" t="inlineStr">
        <is>
          <t>KARLSTAD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46319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45382</v>
      </c>
      <c r="E451" s="1" t="n">
        <v>46319</v>
      </c>
      <c r="F451" t="inlineStr">
        <is>
          <t>VÄRMLANDS LÄN</t>
        </is>
      </c>
      <c r="G451" t="inlineStr">
        <is>
          <t>KARLSTAD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9405-2025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45715</v>
      </c>
      <c r="E452" s="1" t="n">
        <v>46319</v>
      </c>
      <c r="F452" t="inlineStr">
        <is>
          <t>VÄRMLANDS LÄN</t>
        </is>
      </c>
      <c r="G452" t="inlineStr">
        <is>
          <t>KARLSTAD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46319</v>
      </c>
      <c r="F453" t="inlineStr">
        <is>
          <t>VÄRMLANDS LÄN</t>
        </is>
      </c>
      <c r="G453" t="inlineStr">
        <is>
          <t>KARLSTAD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45093</v>
      </c>
      <c r="E454" s="1" t="n">
        <v>46319</v>
      </c>
      <c r="F454" t="inlineStr">
        <is>
          <t>VÄRMLANDS LÄN</t>
        </is>
      </c>
      <c r="G454" t="inlineStr">
        <is>
          <t>KARLSTAD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46319</v>
      </c>
      <c r="F455" t="inlineStr">
        <is>
          <t>VÄRMLANDS LÄN</t>
        </is>
      </c>
      <c r="G455" t="inlineStr">
        <is>
          <t>KARLSTAD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45393</v>
      </c>
      <c r="E456" s="1" t="n">
        <v>46319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33564-2023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46319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46319</v>
      </c>
      <c r="F458" t="inlineStr">
        <is>
          <t>VÄRMLANDS LÄN</t>
        </is>
      </c>
      <c r="G458" t="inlineStr">
        <is>
          <t>KARLSTAD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46319</v>
      </c>
      <c r="F459" t="inlineStr">
        <is>
          <t>VÄRMLANDS LÄN</t>
        </is>
      </c>
      <c r="G459" t="inlineStr">
        <is>
          <t>KARLSTAD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45020</v>
      </c>
      <c r="E460" s="1" t="n">
        <v>46319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46319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46319</v>
      </c>
      <c r="F462" t="inlineStr">
        <is>
          <t>VÄRMLANDS LÄN</t>
        </is>
      </c>
      <c r="G462" t="inlineStr">
        <is>
          <t>KARLSTAD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46319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68011-2021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46319</v>
      </c>
      <c r="F464" t="inlineStr">
        <is>
          <t>VÄRMLANDS LÄN</t>
        </is>
      </c>
      <c r="G464" t="inlineStr">
        <is>
          <t>KARLSTAD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45615</v>
      </c>
      <c r="E465" s="1" t="n">
        <v>46319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45565</v>
      </c>
      <c r="E466" s="1" t="n">
        <v>46319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45457</v>
      </c>
      <c r="E467" s="1" t="n">
        <v>46319</v>
      </c>
      <c r="F467" t="inlineStr">
        <is>
          <t>VÄRMLANDS LÄN</t>
        </is>
      </c>
      <c r="G467" t="inlineStr">
        <is>
          <t>KARLSTAD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46319</v>
      </c>
      <c r="F468" t="inlineStr">
        <is>
          <t>VÄRMLANDS LÄN</t>
        </is>
      </c>
      <c r="G468" t="inlineStr">
        <is>
          <t>KARLSTAD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45306</v>
      </c>
      <c r="E469" s="1" t="n">
        <v>46319</v>
      </c>
      <c r="F469" t="inlineStr">
        <is>
          <t>VÄRMLANDS LÄN</t>
        </is>
      </c>
      <c r="G469" t="inlineStr">
        <is>
          <t>KARLSTAD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46319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62225-2021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44503</v>
      </c>
      <c r="E471" s="1" t="n">
        <v>46319</v>
      </c>
      <c r="F471" t="inlineStr">
        <is>
          <t>VÄRMLANDS LÄN</t>
        </is>
      </c>
      <c r="G471" t="inlineStr">
        <is>
          <t>KARLSTAD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16757-2024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45411</v>
      </c>
      <c r="E472" s="1" t="n">
        <v>46319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44986</v>
      </c>
      <c r="E473" s="1" t="n">
        <v>46319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46319</v>
      </c>
      <c r="F474" t="inlineStr">
        <is>
          <t>VÄRMLANDS LÄN</t>
        </is>
      </c>
      <c r="G474" t="inlineStr">
        <is>
          <t>KARLSTAD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44589</v>
      </c>
      <c r="E475" s="1" t="n">
        <v>46319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54141-2024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45616</v>
      </c>
      <c r="E476" s="1" t="n">
        <v>46319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57146-2024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46319</v>
      </c>
      <c r="F477" t="inlineStr">
        <is>
          <t>VÄRMLANDS LÄN</t>
        </is>
      </c>
      <c r="G477" t="inlineStr">
        <is>
          <t>KARLSTAD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13745-2022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44649</v>
      </c>
      <c r="E478" s="1" t="n">
        <v>46319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45729</v>
      </c>
      <c r="E479" s="1" t="n">
        <v>46319</v>
      </c>
      <c r="F479" t="inlineStr">
        <is>
          <t>VÄRMLANDS LÄN</t>
        </is>
      </c>
      <c r="G479" t="inlineStr">
        <is>
          <t>KARLSTAD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46319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44566</v>
      </c>
      <c r="E481" s="1" t="n">
        <v>46319</v>
      </c>
      <c r="F481" t="inlineStr">
        <is>
          <t>VÄRMLANDS LÄN</t>
        </is>
      </c>
      <c r="G481" t="inlineStr">
        <is>
          <t>KARLSTAD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50236-2024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45600</v>
      </c>
      <c r="E482" s="1" t="n">
        <v>46319</v>
      </c>
      <c r="F482" t="inlineStr">
        <is>
          <t>VÄRMLANDS LÄN</t>
        </is>
      </c>
      <c r="G482" t="inlineStr">
        <is>
          <t>KARLSTAD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46319</v>
      </c>
      <c r="F483" t="inlineStr">
        <is>
          <t>VÄRMLANDS LÄN</t>
        </is>
      </c>
      <c r="G483" t="inlineStr">
        <is>
          <t>KARLSTAD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46319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46319</v>
      </c>
      <c r="F485" t="inlineStr">
        <is>
          <t>VÄRMLANDS LÄN</t>
        </is>
      </c>
      <c r="G485" t="inlineStr">
        <is>
          <t>KARLSTAD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45672</v>
      </c>
      <c r="E486" s="1" t="n">
        <v>46319</v>
      </c>
      <c r="F486" t="inlineStr">
        <is>
          <t>VÄRMLANDS LÄN</t>
        </is>
      </c>
      <c r="G486" t="inlineStr">
        <is>
          <t>KARLSTAD</t>
        </is>
      </c>
      <c r="H486" t="inlineStr">
        <is>
          <t>Övriga statliga verk och myndigheter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45371</v>
      </c>
      <c r="E487" s="1" t="n">
        <v>46319</v>
      </c>
      <c r="F487" t="inlineStr">
        <is>
          <t>VÄRMLANDS LÄN</t>
        </is>
      </c>
      <c r="G487" t="inlineStr">
        <is>
          <t>KARLSTAD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45371</v>
      </c>
      <c r="E488" s="1" t="n">
        <v>46319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41563-2023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45175</v>
      </c>
      <c r="E489" s="1" t="n">
        <v>46319</v>
      </c>
      <c r="F489" t="inlineStr">
        <is>
          <t>VÄRMLANDS LÄN</t>
        </is>
      </c>
      <c r="G489" t="inlineStr">
        <is>
          <t>KARLSTAD</t>
        </is>
      </c>
      <c r="H489" t="inlineStr">
        <is>
          <t>Övriga Aktiebolag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46319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44594</v>
      </c>
      <c r="E491" s="1" t="n">
        <v>46319</v>
      </c>
      <c r="F491" t="inlineStr">
        <is>
          <t>VÄRMLANDS LÄN</t>
        </is>
      </c>
      <c r="G491" t="inlineStr">
        <is>
          <t>KARLSTAD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44818</v>
      </c>
      <c r="E492" s="1" t="n">
        <v>46319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46319</v>
      </c>
      <c r="F493" t="inlineStr">
        <is>
          <t>VÄRMLANDS LÄN</t>
        </is>
      </c>
      <c r="G493" t="inlineStr">
        <is>
          <t>KARLSTAD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46319</v>
      </c>
      <c r="F494" t="inlineStr">
        <is>
          <t>VÄRMLANDS LÄN</t>
        </is>
      </c>
      <c r="G494" t="inlineStr">
        <is>
          <t>KARLSTAD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44600</v>
      </c>
      <c r="E495" s="1" t="n">
        <v>46319</v>
      </c>
      <c r="F495" t="inlineStr">
        <is>
          <t>VÄRMLANDS LÄN</t>
        </is>
      </c>
      <c r="G495" t="inlineStr">
        <is>
          <t>KARLSTAD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46319</v>
      </c>
      <c r="F496" t="inlineStr">
        <is>
          <t>VÄRMLANDS LÄN</t>
        </is>
      </c>
      <c r="G496" t="inlineStr">
        <is>
          <t>KARLSTAD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11700-2022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46319</v>
      </c>
      <c r="F497" t="inlineStr">
        <is>
          <t>VÄRMLANDS LÄN</t>
        </is>
      </c>
      <c r="G497" t="inlineStr">
        <is>
          <t>KARLSTAD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46319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46319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45148</v>
      </c>
      <c r="E500" s="1" t="n">
        <v>46319</v>
      </c>
      <c r="F500" t="inlineStr">
        <is>
          <t>VÄRMLANDS LÄN</t>
        </is>
      </c>
      <c r="G500" t="inlineStr">
        <is>
          <t>KARLSTAD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46319</v>
      </c>
      <c r="F501" t="inlineStr">
        <is>
          <t>VÄRMLANDS LÄN</t>
        </is>
      </c>
      <c r="G501" t="inlineStr">
        <is>
          <t>KARLSTAD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46319</v>
      </c>
      <c r="F502" t="inlineStr">
        <is>
          <t>VÄRMLANDS LÄN</t>
        </is>
      </c>
      <c r="G502" t="inlineStr">
        <is>
          <t>KARLSTAD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46319</v>
      </c>
      <c r="F503" t="inlineStr">
        <is>
          <t>VÄRMLANDS LÄN</t>
        </is>
      </c>
      <c r="G503" t="inlineStr">
        <is>
          <t>KARLSTAD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46319</v>
      </c>
      <c r="F504" t="inlineStr">
        <is>
          <t>VÄRMLANDS LÄN</t>
        </is>
      </c>
      <c r="G504" t="inlineStr">
        <is>
          <t>KARLSTAD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55764-2022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44888</v>
      </c>
      <c r="E505" s="1" t="n">
        <v>46319</v>
      </c>
      <c r="F505" t="inlineStr">
        <is>
          <t>VÄRMLANDS LÄN</t>
        </is>
      </c>
      <c r="G505" t="inlineStr">
        <is>
          <t>KARLSTAD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  <c r="Z505">
        <f>HYPERLINK("https://klasma.github.io/Logging_1780/knärot/A 55764-2022 karta knärot.png", "A 55764-2022")</f>
        <v/>
      </c>
      <c r="AA505">
        <f>HYPERLINK("https://klasma.github.io/Logging_1780/klagomål/A 55764-2022 FSC-klagomål.docx", "A 55764-2022")</f>
        <v/>
      </c>
      <c r="AB505">
        <f>HYPERLINK("https://klasma.github.io/Logging_1780/klagomålsmail/A 55764-2022 FSC-klagomål mail.docx", "A 55764-2022")</f>
        <v/>
      </c>
      <c r="AC505">
        <f>HYPERLINK("https://klasma.github.io/Logging_1780/tillsyn/A 55764-2022 tillsynsbegäran.docx", "A 55764-2022")</f>
        <v/>
      </c>
      <c r="AD505">
        <f>HYPERLINK("https://klasma.github.io/Logging_1780/tillsynsmail/A 55764-2022 tillsynsbegäran mail.docx", "A 55764-2022")</f>
        <v/>
      </c>
    </row>
    <row r="506" ht="15" customHeight="1">
      <c r="A506" t="inlineStr">
        <is>
          <t>A 61009-2023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46319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46319</v>
      </c>
      <c r="F507" t="inlineStr">
        <is>
          <t>VÄRMLANDS LÄN</t>
        </is>
      </c>
      <c r="G507" t="inlineStr">
        <is>
          <t>KARLSTAD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45175</v>
      </c>
      <c r="E508" s="1" t="n">
        <v>46319</v>
      </c>
      <c r="F508" t="inlineStr">
        <is>
          <t>VÄRMLANDS LÄN</t>
        </is>
      </c>
      <c r="G508" t="inlineStr">
        <is>
          <t>KARLSTAD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45688</v>
      </c>
      <c r="E509" s="1" t="n">
        <v>46319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46319</v>
      </c>
      <c r="F510" t="inlineStr">
        <is>
          <t>VÄRMLANDS LÄN</t>
        </is>
      </c>
      <c r="G510" t="inlineStr">
        <is>
          <t>KARLSTAD</t>
        </is>
      </c>
      <c r="I510" t="n">
        <v>22.7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44715</v>
      </c>
      <c r="E511" s="1" t="n">
        <v>46319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46319</v>
      </c>
      <c r="F512" t="inlineStr">
        <is>
          <t>VÄRMLANDS LÄN</t>
        </is>
      </c>
      <c r="G512" t="inlineStr">
        <is>
          <t>KARLSTAD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45322</v>
      </c>
      <c r="E513" s="1" t="n">
        <v>46319</v>
      </c>
      <c r="F513" t="inlineStr">
        <is>
          <t>VÄRMLANDS LÄN</t>
        </is>
      </c>
      <c r="G513" t="inlineStr">
        <is>
          <t>KARLSTAD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45252</v>
      </c>
      <c r="E514" s="1" t="n">
        <v>46319</v>
      </c>
      <c r="F514" t="inlineStr">
        <is>
          <t>VÄRMLANDS LÄN</t>
        </is>
      </c>
      <c r="G514" t="inlineStr">
        <is>
          <t>KARLSTAD</t>
        </is>
      </c>
      <c r="I514" t="n">
        <v>21.7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46319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45713</v>
      </c>
      <c r="E516" s="1" t="n">
        <v>46319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45218</v>
      </c>
      <c r="E517" s="1" t="n">
        <v>46319</v>
      </c>
      <c r="F517" t="inlineStr">
        <is>
          <t>VÄRMLANDS LÄN</t>
        </is>
      </c>
      <c r="G517" t="inlineStr">
        <is>
          <t>KARLSTAD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46319</v>
      </c>
      <c r="F518" t="inlineStr">
        <is>
          <t>VÄRMLANDS LÄN</t>
        </is>
      </c>
      <c r="G518" t="inlineStr">
        <is>
          <t>KARLSTAD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45320</v>
      </c>
      <c r="E519" s="1" t="n">
        <v>46319</v>
      </c>
      <c r="F519" t="inlineStr">
        <is>
          <t>VÄRMLANDS LÄN</t>
        </is>
      </c>
      <c r="G519" t="inlineStr">
        <is>
          <t>KARLSTAD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46319</v>
      </c>
      <c r="F520" t="inlineStr">
        <is>
          <t>VÄRMLANDS LÄN</t>
        </is>
      </c>
      <c r="G520" t="inlineStr">
        <is>
          <t>KARLSTAD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45299</v>
      </c>
      <c r="E521" s="1" t="n">
        <v>46319</v>
      </c>
      <c r="F521" t="inlineStr">
        <is>
          <t>VÄRMLANDS LÄN</t>
        </is>
      </c>
      <c r="G521" t="inlineStr">
        <is>
          <t>KARLSTAD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45755</v>
      </c>
      <c r="E522" s="1" t="n">
        <v>46319</v>
      </c>
      <c r="F522" t="inlineStr">
        <is>
          <t>VÄRMLANDS LÄN</t>
        </is>
      </c>
      <c r="G522" t="inlineStr">
        <is>
          <t>KARLSTAD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45258</v>
      </c>
      <c r="E523" s="1" t="n">
        <v>46319</v>
      </c>
      <c r="F523" t="inlineStr">
        <is>
          <t>VÄRMLANDS LÄN</t>
        </is>
      </c>
      <c r="G523" t="inlineStr">
        <is>
          <t>KARLSTAD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45219</v>
      </c>
      <c r="E524" s="1" t="n">
        <v>46319</v>
      </c>
      <c r="F524" t="inlineStr">
        <is>
          <t>VÄRMLANDS LÄN</t>
        </is>
      </c>
      <c r="G524" t="inlineStr">
        <is>
          <t>KARLSTAD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46319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44888</v>
      </c>
      <c r="E526" s="1" t="n">
        <v>46319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45302</v>
      </c>
      <c r="E527" s="1" t="n">
        <v>46319</v>
      </c>
      <c r="F527" t="inlineStr">
        <is>
          <t>VÄRMLANDS LÄN</t>
        </is>
      </c>
      <c r="G527" t="inlineStr">
        <is>
          <t>KARLSTAD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46319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45487</v>
      </c>
      <c r="E529" s="1" t="n">
        <v>46319</v>
      </c>
      <c r="F529" t="inlineStr">
        <is>
          <t>VÄRMLANDS LÄN</t>
        </is>
      </c>
      <c r="G529" t="inlineStr">
        <is>
          <t>KARLSTAD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45693</v>
      </c>
      <c r="E530" s="1" t="n">
        <v>46319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72072-2021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44544</v>
      </c>
      <c r="E531" s="1" t="n">
        <v>46319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45520</v>
      </c>
      <c r="E532" s="1" t="n">
        <v>46319</v>
      </c>
      <c r="F532" t="inlineStr">
        <is>
          <t>VÄRMLANDS LÄN</t>
        </is>
      </c>
      <c r="G532" t="inlineStr">
        <is>
          <t>KARLSTAD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59295-2022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46319</v>
      </c>
      <c r="F533" t="inlineStr">
        <is>
          <t>VÄRMLANDS LÄN</t>
        </is>
      </c>
      <c r="G533" t="inlineStr">
        <is>
          <t>KARLSTAD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46319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45581</v>
      </c>
      <c r="E535" s="1" t="n">
        <v>46319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46319</v>
      </c>
      <c r="F536" t="inlineStr">
        <is>
          <t>VÄRMLANDS LÄN</t>
        </is>
      </c>
      <c r="G536" t="inlineStr">
        <is>
          <t>KARLSTAD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46319</v>
      </c>
      <c r="F537" t="inlineStr">
        <is>
          <t>VÄRMLANDS LÄN</t>
        </is>
      </c>
      <c r="G537" t="inlineStr">
        <is>
          <t>KARLSTAD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45261</v>
      </c>
      <c r="E538" s="1" t="n">
        <v>46319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46319</v>
      </c>
      <c r="F539" t="inlineStr">
        <is>
          <t>VÄRMLANDS LÄN</t>
        </is>
      </c>
      <c r="G539" t="inlineStr">
        <is>
          <t>KARLSTAD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46319</v>
      </c>
      <c r="F540" t="inlineStr">
        <is>
          <t>VÄRMLANDS LÄN</t>
        </is>
      </c>
      <c r="G540" t="inlineStr">
        <is>
          <t>KARLSTAD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46319</v>
      </c>
      <c r="F541" t="inlineStr">
        <is>
          <t>VÄRMLANDS LÄN</t>
        </is>
      </c>
      <c r="G541" t="inlineStr">
        <is>
          <t>KARLSTAD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46319</v>
      </c>
      <c r="F542" t="inlineStr">
        <is>
          <t>VÄRMLANDS LÄN</t>
        </is>
      </c>
      <c r="G542" t="inlineStr">
        <is>
          <t>KARLSTAD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44593</v>
      </c>
      <c r="E543" s="1" t="n">
        <v>46319</v>
      </c>
      <c r="F543" t="inlineStr">
        <is>
          <t>VÄRMLANDS LÄN</t>
        </is>
      </c>
      <c r="G543" t="inlineStr">
        <is>
          <t>KARLSTAD</t>
        </is>
      </c>
      <c r="H543" t="inlineStr">
        <is>
          <t>Kommuner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928-2022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44606</v>
      </c>
      <c r="E544" s="1" t="n">
        <v>46319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3510-2022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44733</v>
      </c>
      <c r="E545" s="1" t="n">
        <v>46319</v>
      </c>
      <c r="F545" t="inlineStr">
        <is>
          <t>VÄRMLANDS LÄN</t>
        </is>
      </c>
      <c r="G545" t="inlineStr">
        <is>
          <t>KARLSTAD</t>
        </is>
      </c>
      <c r="I545" t="n">
        <v>27.7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686-2022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44596</v>
      </c>
      <c r="E546" s="1" t="n">
        <v>46319</v>
      </c>
      <c r="F546" t="inlineStr">
        <is>
          <t>VÄRMLANDS LÄN</t>
        </is>
      </c>
      <c r="G546" t="inlineStr">
        <is>
          <t>KARLSTAD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3546-2022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44735</v>
      </c>
      <c r="E547" s="1" t="n">
        <v>46319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4402-2023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46319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45337</v>
      </c>
      <c r="E549" s="1" t="n">
        <v>46319</v>
      </c>
      <c r="F549" t="inlineStr">
        <is>
          <t>VÄRMLANDS LÄN</t>
        </is>
      </c>
      <c r="G549" t="inlineStr">
        <is>
          <t>KARLSTAD</t>
        </is>
      </c>
      <c r="I549" t="n">
        <v>101.6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5511-2022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44834</v>
      </c>
      <c r="E550" s="1" t="n">
        <v>46319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4396-2023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46319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2688-2024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45481</v>
      </c>
      <c r="E552" s="1" t="n">
        <v>46319</v>
      </c>
      <c r="F552" t="inlineStr">
        <is>
          <t>VÄRMLANDS LÄN</t>
        </is>
      </c>
      <c r="G552" t="inlineStr">
        <is>
          <t>KARLSTAD</t>
        </is>
      </c>
      <c r="I552" t="n">
        <v>31.6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416-2024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45335</v>
      </c>
      <c r="E553" s="1" t="n">
        <v>46319</v>
      </c>
      <c r="F553" t="inlineStr">
        <is>
          <t>VÄRMLANDS LÄN</t>
        </is>
      </c>
      <c r="G553" t="inlineStr">
        <is>
          <t>KARLSTAD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6972-2022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44901</v>
      </c>
      <c r="E554" s="1" t="n">
        <v>46319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46319</v>
      </c>
      <c r="F555" t="inlineStr">
        <is>
          <t>VÄRMLANDS LÄN</t>
        </is>
      </c>
      <c r="G555" t="inlineStr">
        <is>
          <t>KARLSTAD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4126-2022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44763</v>
      </c>
      <c r="E556" s="1" t="n">
        <v>46319</v>
      </c>
      <c r="F556" t="inlineStr">
        <is>
          <t>VÄRMLANDS LÄN</t>
        </is>
      </c>
      <c r="G556" t="inlineStr">
        <is>
          <t>KARLSTAD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1875-2023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45076</v>
      </c>
      <c r="E557" s="1" t="n">
        <v>46319</v>
      </c>
      <c r="F557" t="inlineStr">
        <is>
          <t>VÄRMLANDS LÄN</t>
        </is>
      </c>
      <c r="G557" t="inlineStr">
        <is>
          <t>KARLSTAD</t>
        </is>
      </c>
      <c r="H557" t="inlineStr">
        <is>
          <t>Kommuner</t>
        </is>
      </c>
      <c r="I557" t="n">
        <v>163.7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46319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46319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46319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2026-10-24T02:00:38Z</dcterms:created>
  <dcterms:modified xmlns:dcterms="http://purl.org/dc/terms/" xmlns:xsi="http://www.w3.org/2001/XMLSchema-instance" xsi:type="dcterms:W3CDTF">2026-10-24T02:00:39Z</dcterms:modified>
</cp:coreProperties>
</file>