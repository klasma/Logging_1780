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46304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46304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46304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46304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46304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46304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46304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46304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46304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46304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46304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46304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46304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46304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12633-2025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46304</v>
      </c>
      <c r="F16" t="inlineStr">
        <is>
          <t>VÄRMLANDS LÄN</t>
        </is>
      </c>
      <c r="G16" t="inlineStr">
        <is>
          <t>KARLSTAD</t>
        </is>
      </c>
      <c r="H16" t="inlineStr">
        <is>
          <t>Bergvik skog väst AB</t>
        </is>
      </c>
      <c r="I16" t="n">
        <v>9.1</v>
      </c>
      <c r="J16" t="n">
        <v>3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Grön sköldmossa
Plattlummer
Stubbspretmossa
Mattlummer</t>
        </is>
      </c>
      <c r="W16">
        <f>HYPERLINK("https://klasma.github.io/Logging_1780/artfynd/A 12633-2025 artfynd.xlsx", "A 12633-2025")</f>
        <v/>
      </c>
      <c r="X16">
        <f>HYPERLINK("https://klasma.github.io/Logging_1780/kartor/A 12633-2025 karta.png", "A 12633-2025")</f>
        <v/>
      </c>
      <c r="Y16">
        <f>HYPERLINK("https://klasma.github.io/Logging_1780/kartor_geotiff/A 12633-2025 georefererad karta.tif", "A 12633-2025")</f>
        <v/>
      </c>
      <c r="AA16">
        <f>HYPERLINK("https://klasma.github.io/Logging_1780/klagomål/A 12633-2025 FSC-klagomål.docx", "A 12633-2025")</f>
        <v/>
      </c>
      <c r="AB16">
        <f>HYPERLINK("https://klasma.github.io/Logging_1780/klagomålsmail/A 12633-2025 FSC-klagomål mail.docx", "A 12633-2025")</f>
        <v/>
      </c>
      <c r="AC16">
        <f>HYPERLINK("https://klasma.github.io/Logging_1780/tillsyn/A 12633-2025 tillsynsbegäran.docx", "A 12633-2025")</f>
        <v/>
      </c>
      <c r="AD16">
        <f>HYPERLINK("https://klasma.github.io/Logging_1780/tillsynsmail/A 12633-2025 tillsynsbegäran mail.docx", "A 12633-2025")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46304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46304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11810-2024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45375</v>
      </c>
      <c r="E19" s="1" t="n">
        <v>46304</v>
      </c>
      <c r="F19" t="inlineStr">
        <is>
          <t>VÄRMLANDS LÄN</t>
        </is>
      </c>
      <c r="G19" t="inlineStr">
        <is>
          <t>KARLSTAD</t>
        </is>
      </c>
      <c r="I19" t="n">
        <v>4.3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Björksplintborre
Stubbspretmossa
Spillkråka</t>
        </is>
      </c>
      <c r="W19">
        <f>HYPERLINK("https://klasma.github.io/Logging_1780/artfynd/A 11810-2024 artfynd.xlsx", "A 11810-2024")</f>
        <v/>
      </c>
      <c r="X19">
        <f>HYPERLINK("https://klasma.github.io/Logging_1780/kartor/A 11810-2024 karta.png", "A 11810-2024")</f>
        <v/>
      </c>
      <c r="Y19">
        <f>HYPERLINK("https://klasma.github.io/Logging_1780/kartor_geotiff/A 11810-2024 georefererad karta.tif", "A 11810-2024")</f>
        <v/>
      </c>
      <c r="AA19">
        <f>HYPERLINK("https://klasma.github.io/Logging_1780/klagomål/A 11810-2024 FSC-klagomål.docx", "A 11810-2024")</f>
        <v/>
      </c>
      <c r="AB19">
        <f>HYPERLINK("https://klasma.github.io/Logging_1780/klagomålsmail/A 11810-2024 FSC-klagomål mail.docx", "A 11810-2024")</f>
        <v/>
      </c>
      <c r="AC19">
        <f>HYPERLINK("https://klasma.github.io/Logging_1780/tillsyn/A 11810-2024 tillsynsbegäran.docx", "A 11810-2024")</f>
        <v/>
      </c>
      <c r="AD19">
        <f>HYPERLINK("https://klasma.github.io/Logging_1780/tillsynsmail/A 11810-2024 tillsynsbegäran mail.docx", "A 11810-2024")</f>
        <v/>
      </c>
      <c r="AE19">
        <f>HYPERLINK("https://klasma.github.io/Logging_1780/fåglar/A 11810-2024 prioriterade fågelarter.docx", "A 11810-2024")</f>
        <v/>
      </c>
    </row>
    <row r="20" ht="15" customHeight="1">
      <c r="A20" t="inlineStr">
        <is>
          <t>A 57467-2025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45980</v>
      </c>
      <c r="E20" s="1" t="n">
        <v>46304</v>
      </c>
      <c r="F20" t="inlineStr">
        <is>
          <t>VÄRMLANDS LÄN</t>
        </is>
      </c>
      <c r="G20" t="inlineStr">
        <is>
          <t>KARLSTAD</t>
        </is>
      </c>
      <c r="I20" t="n">
        <v>2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Ullticka
Vedtrappmossa
Vedticka</t>
        </is>
      </c>
      <c r="W20">
        <f>HYPERLINK("https://klasma.github.io/Logging_1780/artfynd/A 57467-2025 artfynd.xlsx", "A 57467-2025")</f>
        <v/>
      </c>
      <c r="X20">
        <f>HYPERLINK("https://klasma.github.io/Logging_1780/kartor/A 57467-2025 karta.png", "A 57467-2025")</f>
        <v/>
      </c>
      <c r="Y20">
        <f>HYPERLINK("https://klasma.github.io/Logging_1780/kartor_geotiff/A 57467-2025 georefererad karta.tif", "A 57467-2025")</f>
        <v/>
      </c>
      <c r="AA20">
        <f>HYPERLINK("https://klasma.github.io/Logging_1780/klagomål/A 57467-2025 FSC-klagomål.docx", "A 57467-2025")</f>
        <v/>
      </c>
      <c r="AB20">
        <f>HYPERLINK("https://klasma.github.io/Logging_1780/klagomålsmail/A 57467-2025 FSC-klagomål mail.docx", "A 57467-2025")</f>
        <v/>
      </c>
      <c r="AC20">
        <f>HYPERLINK("https://klasma.github.io/Logging_1780/tillsyn/A 57467-2025 tillsynsbegäran.docx", "A 57467-2025")</f>
        <v/>
      </c>
      <c r="AD20">
        <f>HYPERLINK("https://klasma.github.io/Logging_1780/tillsynsmail/A 57467-2025 tillsynsbegäran mail.docx", "A 57467-2025")</f>
        <v/>
      </c>
    </row>
    <row r="21" ht="15" customHeight="1">
      <c r="A21" t="inlineStr">
        <is>
          <t>A 41534-2023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46304</v>
      </c>
      <c r="F21" t="inlineStr">
        <is>
          <t>VÄRMLANDS LÄN</t>
        </is>
      </c>
      <c r="G21" t="inlineStr">
        <is>
          <t>KARLSTAD</t>
        </is>
      </c>
      <c r="H21" t="inlineStr">
        <is>
          <t>Övriga Aktiebolag</t>
        </is>
      </c>
      <c r="I21" t="n">
        <v>1.3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Motaggsvamp
Tjäder
Tofsmes</t>
        </is>
      </c>
      <c r="W21">
        <f>HYPERLINK("https://klasma.github.io/Logging_1780/artfynd/A 41534-2023 artfynd.xlsx", "A 41534-2023")</f>
        <v/>
      </c>
      <c r="X21">
        <f>HYPERLINK("https://klasma.github.io/Logging_1780/kartor/A 41534-2023 karta.png", "A 41534-2023")</f>
        <v/>
      </c>
      <c r="Y21">
        <f>HYPERLINK("https://klasma.github.io/Logging_1780/kartor_geotiff/A 41534-2023 georefererad karta.tif", "A 41534-2023")</f>
        <v/>
      </c>
      <c r="AA21">
        <f>HYPERLINK("https://klasma.github.io/Logging_1780/klagomål/A 41534-2023 FSC-klagomål.docx", "A 41534-2023")</f>
        <v/>
      </c>
      <c r="AB21">
        <f>HYPERLINK("https://klasma.github.io/Logging_1780/klagomålsmail/A 41534-2023 FSC-klagomål mail.docx", "A 41534-2023")</f>
        <v/>
      </c>
      <c r="AC21">
        <f>HYPERLINK("https://klasma.github.io/Logging_1780/tillsyn/A 41534-2023 tillsynsbegäran.docx", "A 41534-2023")</f>
        <v/>
      </c>
      <c r="AD21">
        <f>HYPERLINK("https://klasma.github.io/Logging_1780/tillsynsmail/A 41534-2023 tillsynsbegäran mail.docx", "A 41534-2023")</f>
        <v/>
      </c>
      <c r="AE21">
        <f>HYPERLINK("https://klasma.github.io/Logging_1780/fåglar/A 41534-2023 prioriterade fågelarter.docx", "A 41534-2023")</f>
        <v/>
      </c>
    </row>
    <row r="22" ht="15" customHeight="1">
      <c r="A22" t="inlineStr">
        <is>
          <t>A 47986-2025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46304</v>
      </c>
      <c r="F22" t="inlineStr">
        <is>
          <t>VÄRMLANDS LÄN</t>
        </is>
      </c>
      <c r="G22" t="inlineStr">
        <is>
          <t>KARLSTAD</t>
        </is>
      </c>
      <c r="I22" t="n">
        <v>2.2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Gropticka
Kandelabersvamp
Motaggsvamp</t>
        </is>
      </c>
      <c r="W22">
        <f>HYPERLINK("https://klasma.github.io/Logging_1780/artfynd/A 47986-2025 artfynd.xlsx", "A 47986-2025")</f>
        <v/>
      </c>
      <c r="X22">
        <f>HYPERLINK("https://klasma.github.io/Logging_1780/kartor/A 47986-2025 karta.png", "A 47986-2025")</f>
        <v/>
      </c>
      <c r="Y22">
        <f>HYPERLINK("https://klasma.github.io/Logging_1780/kartor_geotiff/A 47986-2025 georefererad karta.tif", "A 47986-2025")</f>
        <v/>
      </c>
      <c r="AA22">
        <f>HYPERLINK("https://klasma.github.io/Logging_1780/klagomål/A 47986-2025 FSC-klagomål.docx", "A 47986-2025")</f>
        <v/>
      </c>
      <c r="AB22">
        <f>HYPERLINK("https://klasma.github.io/Logging_1780/klagomålsmail/A 47986-2025 FSC-klagomål mail.docx", "A 47986-2025")</f>
        <v/>
      </c>
      <c r="AC22">
        <f>HYPERLINK("https://klasma.github.io/Logging_1780/tillsyn/A 47986-2025 tillsynsbegäran.docx", "A 47986-2025")</f>
        <v/>
      </c>
      <c r="AD22">
        <f>HYPERLINK("https://klasma.github.io/Logging_1780/tillsynsmail/A 47986-2025 tillsynsbegäran mail.docx", "A 47986-2025")</f>
        <v/>
      </c>
    </row>
    <row r="23" ht="15" customHeight="1">
      <c r="A23" t="inlineStr">
        <is>
          <t>A 63593-2025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46013</v>
      </c>
      <c r="E23" s="1" t="n">
        <v>46304</v>
      </c>
      <c r="F23" t="inlineStr">
        <is>
          <t>VÄRMLANDS LÄN</t>
        </is>
      </c>
      <c r="G23" t="inlineStr">
        <is>
          <t>KARLSTAD</t>
        </is>
      </c>
      <c r="I23" t="n">
        <v>0.6</v>
      </c>
      <c r="J23" t="n">
        <v>3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0</v>
      </c>
      <c r="V23" s="2" t="inlineStr">
        <is>
          <t>Pilgrimsfalk
Tofsvipa
Fjällvråk</t>
        </is>
      </c>
      <c r="W23">
        <f>HYPERLINK("https://klasma.github.io/Logging_1780/artfynd/A 63593-2025 artfynd.xlsx", "A 63593-2025")</f>
        <v/>
      </c>
      <c r="X23">
        <f>HYPERLINK("https://klasma.github.io/Logging_1780/kartor/A 63593-2025 karta.png", "A 63593-2025")</f>
        <v/>
      </c>
      <c r="Y23">
        <f>HYPERLINK("https://klasma.github.io/Logging_1780/kartor_geotiff/A 63593-2025 georefererad karta.tif", "A 63593-2025")</f>
        <v/>
      </c>
      <c r="AA23">
        <f>HYPERLINK("https://klasma.github.io/Logging_1780/klagomål/A 63593-2025 FSC-klagomål.docx", "A 63593-2025")</f>
        <v/>
      </c>
      <c r="AB23">
        <f>HYPERLINK("https://klasma.github.io/Logging_1780/klagomålsmail/A 63593-2025 FSC-klagomål mail.docx", "A 63593-2025")</f>
        <v/>
      </c>
      <c r="AC23">
        <f>HYPERLINK("https://klasma.github.io/Logging_1780/tillsyn/A 63593-2025 tillsynsbegäran.docx", "A 63593-2025")</f>
        <v/>
      </c>
      <c r="AD23">
        <f>HYPERLINK("https://klasma.github.io/Logging_1780/tillsynsmail/A 63593-2025 tillsynsbegäran mail.docx", "A 63593-2025")</f>
        <v/>
      </c>
      <c r="AE23">
        <f>HYPERLINK("https://klasma.github.io/Logging_1780/fåglar/A 63593-2025 prioriterade fågelarter.docx", "A 63593-2025")</f>
        <v/>
      </c>
    </row>
    <row r="24" ht="15" customHeight="1">
      <c r="A24" t="inlineStr">
        <is>
          <t>A 14815-2023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46304</v>
      </c>
      <c r="F24" t="inlineStr">
        <is>
          <t>VÄRMLANDS LÄN</t>
        </is>
      </c>
      <c r="G24" t="inlineStr">
        <is>
          <t>KARLSTAD</t>
        </is>
      </c>
      <c r="H24" t="inlineStr">
        <is>
          <t>Kommuner</t>
        </is>
      </c>
      <c r="I24" t="n">
        <v>5.4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Vaddporing
Rödgul trumpetsvamp
Vågbandad barkbock</t>
        </is>
      </c>
      <c r="W24">
        <f>HYPERLINK("https://klasma.github.io/Logging_1780/artfynd/A 14815-2023 artfynd.xlsx", "A 14815-2023")</f>
        <v/>
      </c>
      <c r="X24">
        <f>HYPERLINK("https://klasma.github.io/Logging_1780/kartor/A 14815-2023 karta.png", "A 14815-2023")</f>
        <v/>
      </c>
      <c r="Y24">
        <f>HYPERLINK("https://klasma.github.io/Logging_1780/kartor_geotiff/A 14815-2023 georefererad karta.tif", "A 14815-2023")</f>
        <v/>
      </c>
      <c r="AA24">
        <f>HYPERLINK("https://klasma.github.io/Logging_1780/klagomål/A 14815-2023 FSC-klagomål.docx", "A 14815-2023")</f>
        <v/>
      </c>
      <c r="AB24">
        <f>HYPERLINK("https://klasma.github.io/Logging_1780/klagomålsmail/A 14815-2023 FSC-klagomål mail.docx", "A 14815-2023")</f>
        <v/>
      </c>
      <c r="AC24">
        <f>HYPERLINK("https://klasma.github.io/Logging_1780/tillsyn/A 14815-2023 tillsynsbegäran.docx", "A 14815-2023")</f>
        <v/>
      </c>
      <c r="AD24">
        <f>HYPERLINK("https://klasma.github.io/Logging_1780/tillsynsmail/A 14815-2023 tillsynsbegäran mail.docx", "A 14815-2023")</f>
        <v/>
      </c>
    </row>
    <row r="25" ht="15" customHeight="1">
      <c r="A25" t="inlineStr">
        <is>
          <t>A 27982-2026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46304</v>
      </c>
      <c r="F25" t="inlineStr">
        <is>
          <t>VÄRMLANDS LÄN</t>
        </is>
      </c>
      <c r="G25" t="inlineStr">
        <is>
          <t>KARLSTAD</t>
        </is>
      </c>
      <c r="I25" t="n">
        <v>2.1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Springkorn
Strutbräken</t>
        </is>
      </c>
      <c r="W25">
        <f>HYPERLINK("https://klasma.github.io/Logging_1780/artfynd/A 27982-2026 artfynd.xlsx", "A 27982-2026")</f>
        <v/>
      </c>
      <c r="X25">
        <f>HYPERLINK("https://klasma.github.io/Logging_1780/kartor/A 27982-2026 karta.png", "A 27982-2026")</f>
        <v/>
      </c>
      <c r="Y25">
        <f>HYPERLINK("https://klasma.github.io/Logging_1780/kartor_geotiff/A 27982-2026 georefererad karta.tif", "A 27982-2026")</f>
        <v/>
      </c>
      <c r="AA25">
        <f>HYPERLINK("https://klasma.github.io/Logging_1780/klagomål/A 27982-2026 FSC-klagomål.docx", "A 27982-2026")</f>
        <v/>
      </c>
      <c r="AB25">
        <f>HYPERLINK("https://klasma.github.io/Logging_1780/klagomålsmail/A 27982-2026 FSC-klagomål mail.docx", "A 27982-2026")</f>
        <v/>
      </c>
      <c r="AC25">
        <f>HYPERLINK("https://klasma.github.io/Logging_1780/tillsyn/A 27982-2026 tillsynsbegäran.docx", "A 27982-2026")</f>
        <v/>
      </c>
      <c r="AD25">
        <f>HYPERLINK("https://klasma.github.io/Logging_1780/tillsynsmail/A 27982-2026 tillsynsbegäran mail.docx", "A 27982-2026")</f>
        <v/>
      </c>
    </row>
    <row r="26" ht="15" customHeight="1">
      <c r="A26" t="inlineStr">
        <is>
          <t>S 2300-2024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45463</v>
      </c>
      <c r="E26" s="1" t="n">
        <v>46304</v>
      </c>
      <c r="F26" t="inlineStr">
        <is>
          <t>VÄRMLANDS LÄN</t>
        </is>
      </c>
      <c r="G26" t="inlineStr">
        <is>
          <t>KARLSTAD</t>
        </is>
      </c>
      <c r="I26" t="n">
        <v>87.7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1</v>
      </c>
      <c r="V26" s="2" t="inlineStr">
        <is>
          <t>Skogsklocka
Bårdlav
Nattviol</t>
        </is>
      </c>
      <c r="W26">
        <f>HYPERLINK("https://klasma.github.io/Logging_1780/artfynd/S 2300-2024 artfynd.xlsx", "S 2300-2024")</f>
        <v/>
      </c>
      <c r="X26">
        <f>HYPERLINK("https://klasma.github.io/Logging_1780/kartor/S 2300-2024 karta.png", "S 2300-2024")</f>
        <v/>
      </c>
      <c r="Y26">
        <f>HYPERLINK("https://klasma.github.io/Logging_1780/kartor_geotiff/S 2300-2024 georefererad karta.tif", "S 2300-2024")</f>
        <v/>
      </c>
      <c r="AA26">
        <f>HYPERLINK("https://klasma.github.io/Logging_1780/klagomål/S 2300-2024 FSC-klagomål.docx", "S 2300-2024")</f>
        <v/>
      </c>
      <c r="AB26">
        <f>HYPERLINK("https://klasma.github.io/Logging_1780/klagomålsmail/S 2300-2024 FSC-klagomål mail.docx", "S 2300-2024")</f>
        <v/>
      </c>
      <c r="AC26">
        <f>HYPERLINK("https://klasma.github.io/Logging_1780/tillsyn/S 2300-2024 tillsynsbegäran.docx", "S 2300-2024")</f>
        <v/>
      </c>
      <c r="AD26">
        <f>HYPERLINK("https://klasma.github.io/Logging_1780/tillsynsmail/S 2300-2024 tillsynsbegäran mail.docx", "S 2300-2024")</f>
        <v/>
      </c>
    </row>
    <row r="27" ht="15" customHeight="1">
      <c r="A27" t="inlineStr">
        <is>
          <t>A 13548-2022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44648</v>
      </c>
      <c r="E27" s="1" t="n">
        <v>46304</v>
      </c>
      <c r="F27" t="inlineStr">
        <is>
          <t>VÄRMLANDS LÄN</t>
        </is>
      </c>
      <c r="G27" t="inlineStr">
        <is>
          <t>KARLSTAD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Tjäder</t>
        </is>
      </c>
      <c r="W27">
        <f>HYPERLINK("https://klasma.github.io/Logging_1780/artfynd/A 13548-2022 artfynd.xlsx", "A 13548-2022")</f>
        <v/>
      </c>
      <c r="X27">
        <f>HYPERLINK("https://klasma.github.io/Logging_1780/kartor/A 13548-2022 karta.png", "A 13548-2022")</f>
        <v/>
      </c>
      <c r="Y27">
        <f>HYPERLINK("https://klasma.github.io/Logging_1780/kartor_geotiff/A 13548-2022 georefererad karta.tif", "A 13548-2022")</f>
        <v/>
      </c>
      <c r="AA27">
        <f>HYPERLINK("https://klasma.github.io/Logging_1780/klagomål/A 13548-2022 FSC-klagomål.docx", "A 13548-2022")</f>
        <v/>
      </c>
      <c r="AB27">
        <f>HYPERLINK("https://klasma.github.io/Logging_1780/klagomålsmail/A 13548-2022 FSC-klagomål mail.docx", "A 13548-2022")</f>
        <v/>
      </c>
      <c r="AC27">
        <f>HYPERLINK("https://klasma.github.io/Logging_1780/tillsyn/A 13548-2022 tillsynsbegäran.docx", "A 13548-2022")</f>
        <v/>
      </c>
      <c r="AD27">
        <f>HYPERLINK("https://klasma.github.io/Logging_1780/tillsynsmail/A 13548-2022 tillsynsbegäran mail.docx", "A 13548-2022")</f>
        <v/>
      </c>
      <c r="AE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46304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0.5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Brun gräsfjäril
Fläcknycklar</t>
        </is>
      </c>
      <c r="W28">
        <f>HYPERLINK("https://klasma.github.io/Logging_1780/artfynd/A 54439-2022 artfynd.xlsx", "A 54439-2022")</f>
        <v/>
      </c>
      <c r="X28">
        <f>HYPERLINK("https://klasma.github.io/Logging_1780/kartor/A 54439-2022 karta.png", "A 54439-2022")</f>
        <v/>
      </c>
      <c r="Y28">
        <f>HYPERLINK("https://klasma.github.io/Logging_1780/kartor_geotiff/A 54439-2022 georefererad karta.tif", "A 54439-2022")</f>
        <v/>
      </c>
      <c r="AA28">
        <f>HYPERLINK("https://klasma.github.io/Logging_1780/klagomål/A 54439-2022 FSC-klagomål.docx", "A 54439-2022")</f>
        <v/>
      </c>
      <c r="AB28">
        <f>HYPERLINK("https://klasma.github.io/Logging_1780/klagomålsmail/A 54439-2022 FSC-klagomål mail.docx", "A 54439-2022")</f>
        <v/>
      </c>
      <c r="AC28">
        <f>HYPERLINK("https://klasma.github.io/Logging_1780/tillsyn/A 54439-2022 tillsynsbegäran.docx", "A 54439-2022")</f>
        <v/>
      </c>
      <c r="AD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44808</v>
      </c>
      <c r="E29" s="1" t="n">
        <v>46304</v>
      </c>
      <c r="F29" t="inlineStr">
        <is>
          <t>VÄRMLANDS LÄN</t>
        </is>
      </c>
      <c r="G29" t="inlineStr">
        <is>
          <t>KARLSTAD</t>
        </is>
      </c>
      <c r="I29" t="n">
        <v>14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Nötkråka
Talltita</t>
        </is>
      </c>
      <c r="W29">
        <f>HYPERLINK("https://klasma.github.io/Logging_1780/artfynd/A 37299-2022 artfynd.xlsx", "A 37299-2022")</f>
        <v/>
      </c>
      <c r="X29">
        <f>HYPERLINK("https://klasma.github.io/Logging_1780/kartor/A 37299-2022 karta.png", "A 37299-2022")</f>
        <v/>
      </c>
      <c r="Y29">
        <f>HYPERLINK("https://klasma.github.io/Logging_1780/kartor_geotiff/A 37299-2022 georefererad karta.tif", "A 37299-2022")</f>
        <v/>
      </c>
      <c r="AA29">
        <f>HYPERLINK("https://klasma.github.io/Logging_1780/klagomål/A 37299-2022 FSC-klagomål.docx", "A 37299-2022")</f>
        <v/>
      </c>
      <c r="AB29">
        <f>HYPERLINK("https://klasma.github.io/Logging_1780/klagomålsmail/A 37299-2022 FSC-klagomål mail.docx", "A 37299-2022")</f>
        <v/>
      </c>
      <c r="AC29">
        <f>HYPERLINK("https://klasma.github.io/Logging_1780/tillsyn/A 37299-2022 tillsynsbegäran.docx", "A 37299-2022")</f>
        <v/>
      </c>
      <c r="AD29">
        <f>HYPERLINK("https://klasma.github.io/Logging_1780/tillsynsmail/A 37299-2022 tillsynsbegäran mail.docx", "A 37299-2022")</f>
        <v/>
      </c>
      <c r="AE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44876</v>
      </c>
      <c r="E30" s="1" t="n">
        <v>46304</v>
      </c>
      <c r="F30" t="inlineStr">
        <is>
          <t>VÄRMLANDS LÄN</t>
        </is>
      </c>
      <c r="G30" t="inlineStr">
        <is>
          <t>KARLSTAD</t>
        </is>
      </c>
      <c r="I30" t="n">
        <v>32.8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Gulsparv
Trana</t>
        </is>
      </c>
      <c r="W30">
        <f>HYPERLINK("https://klasma.github.io/Logging_1780/artfynd/A 53155-2022 artfynd.xlsx", "A 53155-2022")</f>
        <v/>
      </c>
      <c r="X30">
        <f>HYPERLINK("https://klasma.github.io/Logging_1780/kartor/A 53155-2022 karta.png", "A 53155-2022")</f>
        <v/>
      </c>
      <c r="Y30">
        <f>HYPERLINK("https://klasma.github.io/Logging_1780/kartor_geotiff/A 53155-2022 georefererad karta.tif", "A 53155-2022")</f>
        <v/>
      </c>
      <c r="AA30">
        <f>HYPERLINK("https://klasma.github.io/Logging_1780/klagomål/A 53155-2022 FSC-klagomål.docx", "A 53155-2022")</f>
        <v/>
      </c>
      <c r="AB30">
        <f>HYPERLINK("https://klasma.github.io/Logging_1780/klagomålsmail/A 53155-2022 FSC-klagomål mail.docx", "A 53155-2022")</f>
        <v/>
      </c>
      <c r="AC30">
        <f>HYPERLINK("https://klasma.github.io/Logging_1780/tillsyn/A 53155-2022 tillsynsbegäran.docx", "A 53155-2022")</f>
        <v/>
      </c>
      <c r="AD30">
        <f>HYPERLINK("https://klasma.github.io/Logging_1780/tillsynsmail/A 53155-2022 tillsynsbegäran mail.docx", "A 53155-2022")</f>
        <v/>
      </c>
      <c r="AE30">
        <f>HYPERLINK("https://klasma.github.io/Logging_1780/fåglar/A 53155-2022 prioriterade fågelarter.docx", "A 53155-2022")</f>
        <v/>
      </c>
    </row>
    <row r="31" ht="15" customHeight="1">
      <c r="A31" t="inlineStr">
        <is>
          <t>A 57145-2024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45629</v>
      </c>
      <c r="E31" s="1" t="n">
        <v>46304</v>
      </c>
      <c r="F31" t="inlineStr">
        <is>
          <t>VÄRMLANDS LÄN</t>
        </is>
      </c>
      <c r="G31" t="inlineStr">
        <is>
          <t>KARLSTAD</t>
        </is>
      </c>
      <c r="I31" t="n">
        <v>16.5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Bårdlav
Blåsippa</t>
        </is>
      </c>
      <c r="W31">
        <f>HYPERLINK("https://klasma.github.io/Logging_1780/artfynd/A 57145-2024 artfynd.xlsx", "A 57145-2024")</f>
        <v/>
      </c>
      <c r="X31">
        <f>HYPERLINK("https://klasma.github.io/Logging_1780/kartor/A 57145-2024 karta.png", "A 57145-2024")</f>
        <v/>
      </c>
      <c r="Y31">
        <f>HYPERLINK("https://klasma.github.io/Logging_1780/kartor_geotiff/A 57145-2024 georefererad karta.tif", "A 57145-2024")</f>
        <v/>
      </c>
      <c r="AA31">
        <f>HYPERLINK("https://klasma.github.io/Logging_1780/klagomål/A 57145-2024 FSC-klagomål.docx", "A 57145-2024")</f>
        <v/>
      </c>
      <c r="AB31">
        <f>HYPERLINK("https://klasma.github.io/Logging_1780/klagomålsmail/A 57145-2024 FSC-klagomål mail.docx", "A 57145-2024")</f>
        <v/>
      </c>
      <c r="AC31">
        <f>HYPERLINK("https://klasma.github.io/Logging_1780/tillsyn/A 57145-2024 tillsynsbegäran.docx", "A 57145-2024")</f>
        <v/>
      </c>
      <c r="AD31">
        <f>HYPERLINK("https://klasma.github.io/Logging_1780/tillsynsmail/A 57145-2024 tillsynsbegäran mail.docx", "A 57145-2024")</f>
        <v/>
      </c>
    </row>
    <row r="32" ht="15" customHeight="1">
      <c r="A32" t="inlineStr">
        <is>
          <t>A 59639-2021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44493</v>
      </c>
      <c r="E32" s="1" t="n">
        <v>46304</v>
      </c>
      <c r="F32" t="inlineStr">
        <is>
          <t>VÄRMLANDS LÄN</t>
        </is>
      </c>
      <c r="G32" t="inlineStr">
        <is>
          <t>KARLSTAD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Gullpudra
Dvärghäxört</t>
        </is>
      </c>
      <c r="W32">
        <f>HYPERLINK("https://klasma.github.io/Logging_1780/artfynd/A 59639-2021 artfynd.xlsx", "A 59639-2021")</f>
        <v/>
      </c>
      <c r="X32">
        <f>HYPERLINK("https://klasma.github.io/Logging_1780/kartor/A 59639-2021 karta.png", "A 59639-2021")</f>
        <v/>
      </c>
      <c r="Y32">
        <f>HYPERLINK("https://klasma.github.io/Logging_1780/kartor_geotiff/A 59639-2021 georefererad karta.tif", "A 59639-2021")</f>
        <v/>
      </c>
      <c r="AA32">
        <f>HYPERLINK("https://klasma.github.io/Logging_1780/klagomål/A 59639-2021 FSC-klagomål.docx", "A 59639-2021")</f>
        <v/>
      </c>
      <c r="AB32">
        <f>HYPERLINK("https://klasma.github.io/Logging_1780/klagomålsmail/A 59639-2021 FSC-klagomål mail.docx", "A 59639-2021")</f>
        <v/>
      </c>
      <c r="AC32">
        <f>HYPERLINK("https://klasma.github.io/Logging_1780/tillsyn/A 59639-2021 tillsynsbegäran.docx", "A 59639-2021")</f>
        <v/>
      </c>
      <c r="AD32">
        <f>HYPERLINK("https://klasma.github.io/Logging_1780/tillsynsmail/A 59639-2021 tillsynsbegäran mail.docx", "A 59639-2021")</f>
        <v/>
      </c>
    </row>
    <row r="33" ht="15" customHeight="1">
      <c r="A33" t="inlineStr">
        <is>
          <t>A 47105-2025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46304</v>
      </c>
      <c r="F33" t="inlineStr">
        <is>
          <t>VÄRMLANDS LÄN</t>
        </is>
      </c>
      <c r="G33" t="inlineStr">
        <is>
          <t>KARLSTAD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Gullviva</t>
        </is>
      </c>
      <c r="W33">
        <f>HYPERLINK("https://klasma.github.io/Logging_1780/artfynd/A 47105-2025 artfynd.xlsx", "A 47105-2025")</f>
        <v/>
      </c>
      <c r="X33">
        <f>HYPERLINK("https://klasma.github.io/Logging_1780/kartor/A 47105-2025 karta.png", "A 47105-2025")</f>
        <v/>
      </c>
      <c r="Y33">
        <f>HYPERLINK("https://klasma.github.io/Logging_1780/kartor_geotiff/A 47105-2025 georefererad karta.tif", "A 47105-2025")</f>
        <v/>
      </c>
      <c r="AA33">
        <f>HYPERLINK("https://klasma.github.io/Logging_1780/klagomål/A 47105-2025 FSC-klagomål.docx", "A 47105-2025")</f>
        <v/>
      </c>
      <c r="AB33">
        <f>HYPERLINK("https://klasma.github.io/Logging_1780/klagomålsmail/A 47105-2025 FSC-klagomål mail.docx", "A 47105-2025")</f>
        <v/>
      </c>
      <c r="AC33">
        <f>HYPERLINK("https://klasma.github.io/Logging_1780/tillsyn/A 47105-2025 tillsynsbegäran.docx", "A 47105-2025")</f>
        <v/>
      </c>
      <c r="AD33">
        <f>HYPERLINK("https://klasma.github.io/Logging_1780/tillsynsmail/A 47105-2025 tillsynsbegäran mail.docx", "A 47105-2025")</f>
        <v/>
      </c>
    </row>
    <row r="34" ht="15" customHeight="1">
      <c r="A34" t="inlineStr">
        <is>
          <t>A 25097-2025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45798</v>
      </c>
      <c r="E34" s="1" t="n">
        <v>46304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1.2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Kandelabersvamp
Vågticka</t>
        </is>
      </c>
      <c r="W34">
        <f>HYPERLINK("https://klasma.github.io/Logging_1780/artfynd/A 25097-2025 artfynd.xlsx", "A 25097-2025")</f>
        <v/>
      </c>
      <c r="X34">
        <f>HYPERLINK("https://klasma.github.io/Logging_1780/kartor/A 25097-2025 karta.png", "A 25097-2025")</f>
        <v/>
      </c>
      <c r="Y34">
        <f>HYPERLINK("https://klasma.github.io/Logging_1780/kartor_geotiff/A 25097-2025 georefererad karta.tif", "A 25097-2025")</f>
        <v/>
      </c>
      <c r="AA34">
        <f>HYPERLINK("https://klasma.github.io/Logging_1780/klagomål/A 25097-2025 FSC-klagomål.docx", "A 25097-2025")</f>
        <v/>
      </c>
      <c r="AB34">
        <f>HYPERLINK("https://klasma.github.io/Logging_1780/klagomålsmail/A 25097-2025 FSC-klagomål mail.docx", "A 25097-2025")</f>
        <v/>
      </c>
      <c r="AC34">
        <f>HYPERLINK("https://klasma.github.io/Logging_1780/tillsyn/A 25097-2025 tillsynsbegäran.docx", "A 25097-2025")</f>
        <v/>
      </c>
      <c r="AD34">
        <f>HYPERLINK("https://klasma.github.io/Logging_1780/tillsynsmail/A 25097-2025 tillsynsbegäran mail.docx", "A 25097-2025")</f>
        <v/>
      </c>
    </row>
    <row r="35" ht="15" customHeight="1">
      <c r="A35" t="inlineStr">
        <is>
          <t>A 58911-2025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46304</v>
      </c>
      <c r="F35" t="inlineStr">
        <is>
          <t>VÄRMLANDS LÄN</t>
        </is>
      </c>
      <c r="G35" t="inlineStr">
        <is>
          <t>KARLSTAD</t>
        </is>
      </c>
      <c r="I35" t="n">
        <v>5.6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Svart trolldruva</t>
        </is>
      </c>
      <c r="W35">
        <f>HYPERLINK("https://klasma.github.io/Logging_1780/artfynd/A 58911-2025 artfynd.xlsx", "A 58911-2025")</f>
        <v/>
      </c>
      <c r="X35">
        <f>HYPERLINK("https://klasma.github.io/Logging_1780/kartor/A 58911-2025 karta.png", "A 58911-2025")</f>
        <v/>
      </c>
      <c r="Y35">
        <f>HYPERLINK("https://klasma.github.io/Logging_1780/kartor_geotiff/A 58911-2025 georefererad karta.tif", "A 58911-2025")</f>
        <v/>
      </c>
      <c r="AA35">
        <f>HYPERLINK("https://klasma.github.io/Logging_1780/klagomål/A 58911-2025 FSC-klagomål.docx", "A 58911-2025")</f>
        <v/>
      </c>
      <c r="AB35">
        <f>HYPERLINK("https://klasma.github.io/Logging_1780/klagomålsmail/A 58911-2025 FSC-klagomål mail.docx", "A 58911-2025")</f>
        <v/>
      </c>
      <c r="AC35">
        <f>HYPERLINK("https://klasma.github.io/Logging_1780/tillsyn/A 58911-2025 tillsynsbegäran.docx", "A 58911-2025")</f>
        <v/>
      </c>
      <c r="AD35">
        <f>HYPERLINK("https://klasma.github.io/Logging_1780/tillsynsmail/A 58911-2025 tillsynsbegäran mail.docx", "A 58911-2025")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46304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46304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19133-2024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46304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2.8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Blåmossa</t>
        </is>
      </c>
      <c r="W38">
        <f>HYPERLINK("https://klasma.github.io/Logging_1780/artfynd/A 19133-2024 artfynd.xlsx", "A 19133-2024")</f>
        <v/>
      </c>
      <c r="X38">
        <f>HYPERLINK("https://klasma.github.io/Logging_1780/kartor/A 19133-2024 karta.png", "A 19133-2024")</f>
        <v/>
      </c>
      <c r="Y38">
        <f>HYPERLINK("https://klasma.github.io/Logging_1780/kartor_geotiff/A 19133-2024 georefererad karta.tif", "A 19133-2024")</f>
        <v/>
      </c>
      <c r="Z38">
        <f>HYPERLINK("https://klasma.github.io/Logging_1780/knärot/A 19133-2024 karta knärot.png", "A 19133-2024")</f>
        <v/>
      </c>
      <c r="AA38">
        <f>HYPERLINK("https://klasma.github.io/Logging_1780/klagomål/A 19133-2024 FSC-klagomål.docx", "A 19133-2024")</f>
        <v/>
      </c>
      <c r="AB38">
        <f>HYPERLINK("https://klasma.github.io/Logging_1780/klagomålsmail/A 19133-2024 FSC-klagomål mail.docx", "A 19133-2024")</f>
        <v/>
      </c>
      <c r="AC38">
        <f>HYPERLINK("https://klasma.github.io/Logging_1780/tillsyn/A 19133-2024 tillsynsbegäran.docx", "A 19133-2024")</f>
        <v/>
      </c>
      <c r="AD38">
        <f>HYPERLINK("https://klasma.github.io/Logging_1780/tillsynsmail/A 19133-2024 tillsynsbegäran mail.docx", "A 19133-2024")</f>
        <v/>
      </c>
    </row>
    <row r="39" ht="15" customHeight="1">
      <c r="A39" t="inlineStr">
        <is>
          <t>A 9499-2024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46304</v>
      </c>
      <c r="F39" t="inlineStr">
        <is>
          <t>VÄRMLANDS LÄN</t>
        </is>
      </c>
      <c r="G39" t="inlineStr">
        <is>
          <t>KARLSTAD</t>
        </is>
      </c>
      <c r="I39" t="n">
        <v>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Grönsiska
Kungsfågel</t>
        </is>
      </c>
      <c r="W39">
        <f>HYPERLINK("https://klasma.github.io/Logging_1780/artfynd/A 9499-2024 artfynd.xlsx", "A 9499-2024")</f>
        <v/>
      </c>
      <c r="X39">
        <f>HYPERLINK("https://klasma.github.io/Logging_1780/kartor/A 9499-2024 karta.png", "A 9499-2024")</f>
        <v/>
      </c>
      <c r="Y39">
        <f>HYPERLINK("https://klasma.github.io/Logging_1780/kartor_geotiff/A 9499-2024 georefererad karta.tif", "A 9499-2024")</f>
        <v/>
      </c>
      <c r="AA39">
        <f>HYPERLINK("https://klasma.github.io/Logging_1780/klagomål/A 9499-2024 FSC-klagomål.docx", "A 9499-2024")</f>
        <v/>
      </c>
      <c r="AB39">
        <f>HYPERLINK("https://klasma.github.io/Logging_1780/klagomålsmail/A 9499-2024 FSC-klagomål mail.docx", "A 9499-2024")</f>
        <v/>
      </c>
      <c r="AC39">
        <f>HYPERLINK("https://klasma.github.io/Logging_1780/tillsyn/A 9499-2024 tillsynsbegäran.docx", "A 9499-2024")</f>
        <v/>
      </c>
      <c r="AD39">
        <f>HYPERLINK("https://klasma.github.io/Logging_1780/tillsynsmail/A 9499-2024 tillsynsbegäran mail.docx", "A 9499-2024")</f>
        <v/>
      </c>
    </row>
    <row r="40" ht="15" customHeight="1">
      <c r="A40" t="inlineStr">
        <is>
          <t>A 2812-2022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46304</v>
      </c>
      <c r="F40" t="inlineStr">
        <is>
          <t>VÄRMLANDS LÄN</t>
        </is>
      </c>
      <c r="G40" t="inlineStr">
        <is>
          <t>KARLSTAD</t>
        </is>
      </c>
      <c r="I40" t="n">
        <v>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Springkorn</t>
        </is>
      </c>
      <c r="W40">
        <f>HYPERLINK("https://klasma.github.io/Logging_1780/artfynd/A 2812-2022 artfynd.xlsx", "A 2812-2022")</f>
        <v/>
      </c>
      <c r="X40">
        <f>HYPERLINK("https://klasma.github.io/Logging_1780/kartor/A 2812-2022 karta.png", "A 2812-2022")</f>
        <v/>
      </c>
      <c r="Y40">
        <f>HYPERLINK("https://klasma.github.io/Logging_1780/kartor_geotiff/A 2812-2022 georefererad karta.tif", "A 2812-2022")</f>
        <v/>
      </c>
      <c r="AA40">
        <f>HYPERLINK("https://klasma.github.io/Logging_1780/klagomål/A 2812-2022 FSC-klagomål.docx", "A 2812-2022")</f>
        <v/>
      </c>
      <c r="AB40">
        <f>HYPERLINK("https://klasma.github.io/Logging_1780/klagomålsmail/A 2812-2022 FSC-klagomål mail.docx", "A 2812-2022")</f>
        <v/>
      </c>
      <c r="AC40">
        <f>HYPERLINK("https://klasma.github.io/Logging_1780/tillsyn/A 2812-2022 tillsynsbegäran.docx", "A 2812-2022")</f>
        <v/>
      </c>
      <c r="AD40">
        <f>HYPERLINK("https://klasma.github.io/Logging_1780/tillsynsmail/A 2812-2022 tillsynsbegäran mail.docx", "A 2812-2022")</f>
        <v/>
      </c>
    </row>
    <row r="41" ht="15" customHeight="1">
      <c r="A41" t="inlineStr">
        <is>
          <t>A 66274-2021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46304</v>
      </c>
      <c r="F41" t="inlineStr">
        <is>
          <t>VÄRMLANDS LÄN</t>
        </is>
      </c>
      <c r="G41" t="inlineStr">
        <is>
          <t>KARLSTAD</t>
        </is>
      </c>
      <c r="I41" t="n">
        <v>2.5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HYPERLINK("https://klasma.github.io/Logging_1780/artfynd/A 66274-2021 artfynd.xlsx", "A 66274-2021")</f>
        <v/>
      </c>
      <c r="X41">
        <f>HYPERLINK("https://klasma.github.io/Logging_1780/kartor/A 66274-2021 karta.png", "A 66274-2021")</f>
        <v/>
      </c>
      <c r="Y41">
        <f>HYPERLINK("https://klasma.github.io/Logging_1780/kartor_geotiff/A 66274-2021 georefererad karta.tif", "A 66274-2021")</f>
        <v/>
      </c>
      <c r="AA41">
        <f>HYPERLINK("https://klasma.github.io/Logging_1780/klagomål/A 66274-2021 FSC-klagomål.docx", "A 66274-2021")</f>
        <v/>
      </c>
      <c r="AB41">
        <f>HYPERLINK("https://klasma.github.io/Logging_1780/klagomålsmail/A 66274-2021 FSC-klagomål mail.docx", "A 66274-2021")</f>
        <v/>
      </c>
      <c r="AC41">
        <f>HYPERLINK("https://klasma.github.io/Logging_1780/tillsyn/A 66274-2021 tillsynsbegäran.docx", "A 66274-2021")</f>
        <v/>
      </c>
      <c r="AD41">
        <f>HYPERLINK("https://klasma.github.io/Logging_1780/tillsynsmail/A 66274-2021 tillsynsbegäran mail.docx", "A 66274-2021")</f>
        <v/>
      </c>
    </row>
    <row r="42" ht="15" customHeight="1">
      <c r="A42" t="inlineStr">
        <is>
          <t>A 4664-2022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44592</v>
      </c>
      <c r="E42" s="1" t="n">
        <v>46304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Vedskivlav</t>
        </is>
      </c>
      <c r="W42">
        <f>HYPERLINK("https://klasma.github.io/Logging_1780/artfynd/A 4664-2022 artfynd.xlsx", "A 4664-2022")</f>
        <v/>
      </c>
      <c r="X42">
        <f>HYPERLINK("https://klasma.github.io/Logging_1780/kartor/A 4664-2022 karta.png", "A 4664-2022")</f>
        <v/>
      </c>
      <c r="Y42">
        <f>HYPERLINK("https://klasma.github.io/Logging_1780/kartor_geotiff/A 4664-2022 georefererad karta.tif", "A 4664-2022")</f>
        <v/>
      </c>
      <c r="AA42">
        <f>HYPERLINK("https://klasma.github.io/Logging_1780/klagomål/A 4664-2022 FSC-klagomål.docx", "A 4664-2022")</f>
        <v/>
      </c>
      <c r="AB42">
        <f>HYPERLINK("https://klasma.github.io/Logging_1780/klagomålsmail/A 4664-2022 FSC-klagomål mail.docx", "A 4664-2022")</f>
        <v/>
      </c>
      <c r="AC42">
        <f>HYPERLINK("https://klasma.github.io/Logging_1780/tillsyn/A 4664-2022 tillsynsbegäran.docx", "A 4664-2022")</f>
        <v/>
      </c>
      <c r="AD42">
        <f>HYPERLINK("https://klasma.github.io/Logging_1780/tillsynsmail/A 4664-2022 tillsynsbegäran mail.docx", "A 4664-2022")</f>
        <v/>
      </c>
    </row>
    <row r="43" ht="15" customHeight="1">
      <c r="A43" t="inlineStr">
        <is>
          <t>A 32531-2025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45838</v>
      </c>
      <c r="E43" s="1" t="n">
        <v>46304</v>
      </c>
      <c r="F43" t="inlineStr">
        <is>
          <t>VÄRMLANDS LÄN</t>
        </is>
      </c>
      <c r="G43" t="inlineStr">
        <is>
          <t>KARLSTAD</t>
        </is>
      </c>
      <c r="H43" t="inlineStr">
        <is>
          <t>Kyrkan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Trana</t>
        </is>
      </c>
      <c r="W43">
        <f>HYPERLINK("https://klasma.github.io/Logging_1780/artfynd/A 32531-2025 artfynd.xlsx", "A 32531-2025")</f>
        <v/>
      </c>
      <c r="X43">
        <f>HYPERLINK("https://klasma.github.io/Logging_1780/kartor/A 32531-2025 karta.png", "A 32531-2025")</f>
        <v/>
      </c>
      <c r="Y43">
        <f>HYPERLINK("https://klasma.github.io/Logging_1780/kartor_geotiff/A 32531-2025 georefererad karta.tif", "A 32531-2025")</f>
        <v/>
      </c>
      <c r="AA43">
        <f>HYPERLINK("https://klasma.github.io/Logging_1780/klagomål/A 32531-2025 FSC-klagomål.docx", "A 32531-2025")</f>
        <v/>
      </c>
      <c r="AB43">
        <f>HYPERLINK("https://klasma.github.io/Logging_1780/klagomålsmail/A 32531-2025 FSC-klagomål mail.docx", "A 32531-2025")</f>
        <v/>
      </c>
      <c r="AC43">
        <f>HYPERLINK("https://klasma.github.io/Logging_1780/tillsyn/A 32531-2025 tillsynsbegäran.docx", "A 32531-2025")</f>
        <v/>
      </c>
      <c r="AD43">
        <f>HYPERLINK("https://klasma.github.io/Logging_1780/tillsynsmail/A 32531-2025 tillsynsbegäran mail.docx", "A 32531-2025")</f>
        <v/>
      </c>
      <c r="AE43">
        <f>HYPERLINK("https://klasma.github.io/Logging_1780/fåglar/A 32531-2025 prioriterade fågelarter.docx", "A 32531-2025")</f>
        <v/>
      </c>
    </row>
    <row r="44" ht="15" customHeight="1">
      <c r="A44" t="inlineStr">
        <is>
          <t>A 13259-2026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46093</v>
      </c>
      <c r="E44" s="1" t="n">
        <v>46304</v>
      </c>
      <c r="F44" t="inlineStr">
        <is>
          <t>VÄRMLANDS LÄN</t>
        </is>
      </c>
      <c r="G44" t="inlineStr">
        <is>
          <t>KARLSTAD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HYPERLINK("https://klasma.github.io/Logging_1780/artfynd/A 13259-2026 artfynd.xlsx", "A 13259-2026")</f>
        <v/>
      </c>
      <c r="X44">
        <f>HYPERLINK("https://klasma.github.io/Logging_1780/kartor/A 13259-2026 karta.png", "A 13259-2026")</f>
        <v/>
      </c>
      <c r="Y44">
        <f>HYPERLINK("https://klasma.github.io/Logging_1780/kartor_geotiff/A 13259-2026 georefererad karta.tif", "A 13259-2026")</f>
        <v/>
      </c>
      <c r="AA44">
        <f>HYPERLINK("https://klasma.github.io/Logging_1780/klagomål/A 13259-2026 FSC-klagomål.docx", "A 13259-2026")</f>
        <v/>
      </c>
      <c r="AB44">
        <f>HYPERLINK("https://klasma.github.io/Logging_1780/klagomålsmail/A 13259-2026 FSC-klagomål mail.docx", "A 13259-2026")</f>
        <v/>
      </c>
      <c r="AC44">
        <f>HYPERLINK("https://klasma.github.io/Logging_1780/tillsyn/A 13259-2026 tillsynsbegäran.docx", "A 13259-2026")</f>
        <v/>
      </c>
      <c r="AD44">
        <f>HYPERLINK("https://klasma.github.io/Logging_1780/tillsynsmail/A 13259-2026 tillsynsbegäran mail.docx", "A 13259-2026")</f>
        <v/>
      </c>
    </row>
    <row r="45" ht="15" customHeight="1">
      <c r="A45" t="inlineStr">
        <is>
          <t>A 36886-2022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44805</v>
      </c>
      <c r="E45" s="1" t="n">
        <v>46304</v>
      </c>
      <c r="F45" t="inlineStr">
        <is>
          <t>VÄRMLANDS LÄN</t>
        </is>
      </c>
      <c r="G45" t="inlineStr">
        <is>
          <t>KARLSTAD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HYPERLINK("https://klasma.github.io/Logging_1780/artfynd/A 36886-2022 artfynd.xlsx", "A 36886-2022")</f>
        <v/>
      </c>
      <c r="X45">
        <f>HYPERLINK("https://klasma.github.io/Logging_1780/kartor/A 36886-2022 karta.png", "A 36886-2022")</f>
        <v/>
      </c>
      <c r="Y45">
        <f>HYPERLINK("https://klasma.github.io/Logging_1780/kartor_geotiff/A 36886-2022 georefererad karta.tif", "A 36886-2022")</f>
        <v/>
      </c>
      <c r="AA45">
        <f>HYPERLINK("https://klasma.github.io/Logging_1780/klagomål/A 36886-2022 FSC-klagomål.docx", "A 36886-2022")</f>
        <v/>
      </c>
      <c r="AB45">
        <f>HYPERLINK("https://klasma.github.io/Logging_1780/klagomålsmail/A 36886-2022 FSC-klagomål mail.docx", "A 36886-2022")</f>
        <v/>
      </c>
      <c r="AC45">
        <f>HYPERLINK("https://klasma.github.io/Logging_1780/tillsyn/A 36886-2022 tillsynsbegäran.docx", "A 36886-2022")</f>
        <v/>
      </c>
      <c r="AD45">
        <f>HYPERLINK("https://klasma.github.io/Logging_1780/tillsynsmail/A 36886-2022 tillsynsbegäran mail.docx", "A 36886-2022")</f>
        <v/>
      </c>
    </row>
    <row r="46" ht="15" customHeight="1">
      <c r="A46" t="inlineStr">
        <is>
          <t>A 3736-2023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46304</v>
      </c>
      <c r="F46" t="inlineStr">
        <is>
          <t>VÄRMLANDS LÄN</t>
        </is>
      </c>
      <c r="G46" t="inlineStr">
        <is>
          <t>KARLSTAD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Gullklöver</t>
        </is>
      </c>
      <c r="W46">
        <f>HYPERLINK("https://klasma.github.io/Logging_1780/artfynd/A 3736-2023 artfynd.xlsx", "A 3736-2023")</f>
        <v/>
      </c>
      <c r="X46">
        <f>HYPERLINK("https://klasma.github.io/Logging_1780/kartor/A 3736-2023 karta.png", "A 3736-2023")</f>
        <v/>
      </c>
      <c r="Y46">
        <f>HYPERLINK("https://klasma.github.io/Logging_1780/kartor_geotiff/A 3736-2023 georefererad karta.tif", "A 3736-2023")</f>
        <v/>
      </c>
      <c r="AA46">
        <f>HYPERLINK("https://klasma.github.io/Logging_1780/klagomål/A 3736-2023 FSC-klagomål.docx", "A 3736-2023")</f>
        <v/>
      </c>
      <c r="AB46">
        <f>HYPERLINK("https://klasma.github.io/Logging_1780/klagomålsmail/A 3736-2023 FSC-klagomål mail.docx", "A 3736-2023")</f>
        <v/>
      </c>
      <c r="AC46">
        <f>HYPERLINK("https://klasma.github.io/Logging_1780/tillsyn/A 3736-2023 tillsynsbegäran.docx", "A 3736-2023")</f>
        <v/>
      </c>
      <c r="AD46">
        <f>HYPERLINK("https://klasma.github.io/Logging_1780/tillsynsmail/A 3736-2023 tillsynsbegäran mail.docx", "A 3736-2023")</f>
        <v/>
      </c>
    </row>
    <row r="47" ht="15" customHeight="1">
      <c r="A47" t="inlineStr">
        <is>
          <t>A 49765-2025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45940</v>
      </c>
      <c r="E47" s="1" t="n">
        <v>46304</v>
      </c>
      <c r="F47" t="inlineStr">
        <is>
          <t>VÄRMLANDS LÄN</t>
        </is>
      </c>
      <c r="G47" t="inlineStr">
        <is>
          <t>KARLSTAD</t>
        </is>
      </c>
      <c r="H47" t="inlineStr">
        <is>
          <t>Bergvik skog väst AB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Slöjvaxskivling</t>
        </is>
      </c>
      <c r="W47">
        <f>HYPERLINK("https://klasma.github.io/Logging_1780/artfynd/A 49765-2025 artfynd.xlsx", "A 49765-2025")</f>
        <v/>
      </c>
      <c r="X47">
        <f>HYPERLINK("https://klasma.github.io/Logging_1780/kartor/A 49765-2025 karta.png", "A 49765-2025")</f>
        <v/>
      </c>
      <c r="Y47">
        <f>HYPERLINK("https://klasma.github.io/Logging_1780/kartor_geotiff/A 49765-2025 georefererad karta.tif", "A 49765-2025")</f>
        <v/>
      </c>
      <c r="AA47">
        <f>HYPERLINK("https://klasma.github.io/Logging_1780/klagomål/A 49765-2025 FSC-klagomål.docx", "A 49765-2025")</f>
        <v/>
      </c>
      <c r="AB47">
        <f>HYPERLINK("https://klasma.github.io/Logging_1780/klagomålsmail/A 49765-2025 FSC-klagomål mail.docx", "A 49765-2025")</f>
        <v/>
      </c>
      <c r="AC47">
        <f>HYPERLINK("https://klasma.github.io/Logging_1780/tillsyn/A 49765-2025 tillsynsbegäran.docx", "A 49765-2025")</f>
        <v/>
      </c>
      <c r="AD47">
        <f>HYPERLINK("https://klasma.github.io/Logging_1780/tillsynsmail/A 49765-2025 tillsynsbegäran mail.docx", "A 49765-2025")</f>
        <v/>
      </c>
    </row>
    <row r="48" ht="15" customHeight="1">
      <c r="A48" t="inlineStr">
        <is>
          <t>A 6260-2023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44959</v>
      </c>
      <c r="E48" s="1" t="n">
        <v>46304</v>
      </c>
      <c r="F48" t="inlineStr">
        <is>
          <t>VÄRMLANDS LÄN</t>
        </is>
      </c>
      <c r="G48" t="inlineStr">
        <is>
          <t>KARLSTAD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Trädporella</t>
        </is>
      </c>
      <c r="W48">
        <f>HYPERLINK("https://klasma.github.io/Logging_1780/artfynd/A 6260-2023 artfynd.xlsx", "A 6260-2023")</f>
        <v/>
      </c>
      <c r="X48">
        <f>HYPERLINK("https://klasma.github.io/Logging_1780/kartor/A 6260-2023 karta.png", "A 6260-2023")</f>
        <v/>
      </c>
      <c r="Y48">
        <f>HYPERLINK("https://klasma.github.io/Logging_1780/kartor_geotiff/A 6260-2023 georefererad karta.tif", "A 6260-2023")</f>
        <v/>
      </c>
      <c r="AA48">
        <f>HYPERLINK("https://klasma.github.io/Logging_1780/klagomål/A 6260-2023 FSC-klagomål.docx", "A 6260-2023")</f>
        <v/>
      </c>
      <c r="AB48">
        <f>HYPERLINK("https://klasma.github.io/Logging_1780/klagomålsmail/A 6260-2023 FSC-klagomål mail.docx", "A 6260-2023")</f>
        <v/>
      </c>
      <c r="AC48">
        <f>HYPERLINK("https://klasma.github.io/Logging_1780/tillsyn/A 6260-2023 tillsynsbegäran.docx", "A 6260-2023")</f>
        <v/>
      </c>
      <c r="AD48">
        <f>HYPERLINK("https://klasma.github.io/Logging_1780/tillsynsmail/A 6260-2023 tillsynsbegäran mail.docx", "A 6260-2023")</f>
        <v/>
      </c>
    </row>
    <row r="49" ht="15" customHeight="1">
      <c r="A49" t="inlineStr">
        <is>
          <t>A 10461-2024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45366</v>
      </c>
      <c r="E49" s="1" t="n">
        <v>46304</v>
      </c>
      <c r="F49" t="inlineStr">
        <is>
          <t>VÄRMLANDS LÄN</t>
        </is>
      </c>
      <c r="G49" t="inlineStr">
        <is>
          <t>KARLSTAD</t>
        </is>
      </c>
      <c r="H49" t="inlineStr">
        <is>
          <t>Övriga statliga verk och myndigheter</t>
        </is>
      </c>
      <c r="I49" t="n">
        <v>17.8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Strandlummer</t>
        </is>
      </c>
      <c r="W49">
        <f>HYPERLINK("https://klasma.github.io/Logging_1780/artfynd/A 10461-2024 artfynd.xlsx", "A 10461-2024")</f>
        <v/>
      </c>
      <c r="X49">
        <f>HYPERLINK("https://klasma.github.io/Logging_1780/kartor/A 10461-2024 karta.png", "A 10461-2024")</f>
        <v/>
      </c>
      <c r="Y49">
        <f>HYPERLINK("https://klasma.github.io/Logging_1780/kartor_geotiff/A 10461-2024 georefererad karta.tif", "A 10461-2024")</f>
        <v/>
      </c>
      <c r="AA49">
        <f>HYPERLINK("https://klasma.github.io/Logging_1780/klagomål/A 10461-2024 FSC-klagomål.docx", "A 10461-2024")</f>
        <v/>
      </c>
      <c r="AB49">
        <f>HYPERLINK("https://klasma.github.io/Logging_1780/klagomålsmail/A 10461-2024 FSC-klagomål mail.docx", "A 10461-2024")</f>
        <v/>
      </c>
      <c r="AC49">
        <f>HYPERLINK("https://klasma.github.io/Logging_1780/tillsyn/A 10461-2024 tillsynsbegäran.docx", "A 10461-2024")</f>
        <v/>
      </c>
      <c r="AD49">
        <f>HYPERLINK("https://klasma.github.io/Logging_1780/tillsynsmail/A 10461-2024 tillsynsbegäran mail.docx", "A 10461-2024")</f>
        <v/>
      </c>
    </row>
    <row r="50" ht="15" customHeight="1">
      <c r="A50" t="inlineStr">
        <is>
          <t>A 56238-2025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45974</v>
      </c>
      <c r="E50" s="1" t="n">
        <v>46304</v>
      </c>
      <c r="F50" t="inlineStr">
        <is>
          <t>VÄRMLANDS LÄN</t>
        </is>
      </c>
      <c r="G50" t="inlineStr">
        <is>
          <t>KARLSTAD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HYPERLINK("https://klasma.github.io/Logging_1780/artfynd/A 56238-2025 artfynd.xlsx", "A 56238-2025")</f>
        <v/>
      </c>
      <c r="X50">
        <f>HYPERLINK("https://klasma.github.io/Logging_1780/kartor/A 56238-2025 karta.png", "A 56238-2025")</f>
        <v/>
      </c>
      <c r="Y50">
        <f>HYPERLINK("https://klasma.github.io/Logging_1780/kartor_geotiff/A 56238-2025 georefererad karta.tif", "A 56238-2025")</f>
        <v/>
      </c>
      <c r="AA50">
        <f>HYPERLINK("https://klasma.github.io/Logging_1780/klagomål/A 56238-2025 FSC-klagomål.docx", "A 56238-2025")</f>
        <v/>
      </c>
      <c r="AB50">
        <f>HYPERLINK("https://klasma.github.io/Logging_1780/klagomålsmail/A 56238-2025 FSC-klagomål mail.docx", "A 56238-2025")</f>
        <v/>
      </c>
      <c r="AC50">
        <f>HYPERLINK("https://klasma.github.io/Logging_1780/tillsyn/A 56238-2025 tillsynsbegäran.docx", "A 56238-2025")</f>
        <v/>
      </c>
      <c r="AD50">
        <f>HYPERLINK("https://klasma.github.io/Logging_1780/tillsynsmail/A 56238-2025 tillsynsbegäran mail.docx", "A 56238-2025")</f>
        <v/>
      </c>
    </row>
    <row r="51" ht="15" customHeight="1">
      <c r="A51" t="inlineStr">
        <is>
          <t>A 56241-2025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45974</v>
      </c>
      <c r="E51" s="1" t="n">
        <v>46304</v>
      </c>
      <c r="F51" t="inlineStr">
        <is>
          <t>VÄRMLANDS LÄN</t>
        </is>
      </c>
      <c r="G51" t="inlineStr">
        <is>
          <t>KARLSTAD</t>
        </is>
      </c>
      <c r="I51" t="n">
        <v>0.6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HYPERLINK("https://klasma.github.io/Logging_1780/artfynd/A 56241-2025 artfynd.xlsx", "A 56241-2025")</f>
        <v/>
      </c>
      <c r="X51">
        <f>HYPERLINK("https://klasma.github.io/Logging_1780/kartor/A 56241-2025 karta.png", "A 56241-2025")</f>
        <v/>
      </c>
      <c r="Y51">
        <f>HYPERLINK("https://klasma.github.io/Logging_1780/kartor_geotiff/A 56241-2025 georefererad karta.tif", "A 56241-2025")</f>
        <v/>
      </c>
      <c r="AA51">
        <f>HYPERLINK("https://klasma.github.io/Logging_1780/klagomål/A 56241-2025 FSC-klagomål.docx", "A 56241-2025")</f>
        <v/>
      </c>
      <c r="AB51">
        <f>HYPERLINK("https://klasma.github.io/Logging_1780/klagomålsmail/A 56241-2025 FSC-klagomål mail.docx", "A 56241-2025")</f>
        <v/>
      </c>
      <c r="AC51">
        <f>HYPERLINK("https://klasma.github.io/Logging_1780/tillsyn/A 56241-2025 tillsynsbegäran.docx", "A 56241-2025")</f>
        <v/>
      </c>
      <c r="AD51">
        <f>HYPERLINK("https://klasma.github.io/Logging_1780/tillsynsmail/A 56241-2025 tillsynsbegäran mail.docx", "A 56241-2025")</f>
        <v/>
      </c>
    </row>
    <row r="52" ht="15" customHeight="1">
      <c r="A52" t="inlineStr">
        <is>
          <t>A 14002-2022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44650</v>
      </c>
      <c r="E52" s="1" t="n">
        <v>46304</v>
      </c>
      <c r="F52" t="inlineStr">
        <is>
          <t>VÄRMLANDS LÄN</t>
        </is>
      </c>
      <c r="G52" t="inlineStr">
        <is>
          <t>KARLSTAD</t>
        </is>
      </c>
      <c r="I52" t="n">
        <v>2.3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3</v>
      </c>
      <c r="V52" s="2" t="inlineStr">
        <is>
          <t>Knärot</t>
        </is>
      </c>
      <c r="W52">
        <f>HYPERLINK("https://klasma.github.io/Logging_1780/artfynd/A 14002-2022 artfynd.xlsx", "A 14002-2022")</f>
        <v/>
      </c>
      <c r="X52">
        <f>HYPERLINK("https://klasma.github.io/Logging_1780/kartor/A 14002-2022 karta.png", "A 14002-2022")</f>
        <v/>
      </c>
      <c r="Y52">
        <f>HYPERLINK("https://klasma.github.io/Logging_1780/kartor_geotiff/A 14002-2022 georefererad karta.tif", "A 14002-2022")</f>
        <v/>
      </c>
      <c r="Z52">
        <f>HYPERLINK("https://klasma.github.io/Logging_1780/knärot/A 14002-2022 karta knärot.png", "A 14002-2022")</f>
        <v/>
      </c>
      <c r="AA52">
        <f>HYPERLINK("https://klasma.github.io/Logging_1780/klagomål/A 14002-2022 FSC-klagomål.docx", "A 14002-2022")</f>
        <v/>
      </c>
      <c r="AB52">
        <f>HYPERLINK("https://klasma.github.io/Logging_1780/klagomålsmail/A 14002-2022 FSC-klagomål mail.docx", "A 14002-2022")</f>
        <v/>
      </c>
      <c r="AC52">
        <f>HYPERLINK("https://klasma.github.io/Logging_1780/tillsyn/A 14002-2022 tillsynsbegäran.docx", "A 14002-2022")</f>
        <v/>
      </c>
      <c r="AD52">
        <f>HYPERLINK("https://klasma.github.io/Logging_1780/tillsynsmail/A 14002-2022 tillsynsbegäran mail.docx", "A 14002-2022")</f>
        <v/>
      </c>
    </row>
    <row r="53" ht="15" customHeight="1">
      <c r="A53" t="inlineStr">
        <is>
          <t>A 8944-2025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45713</v>
      </c>
      <c r="E53" s="1" t="n">
        <v>46304</v>
      </c>
      <c r="F53" t="inlineStr">
        <is>
          <t>VÄRMLANDS LÄN</t>
        </is>
      </c>
      <c r="G53" t="inlineStr">
        <is>
          <t>KARLSTAD</t>
        </is>
      </c>
      <c r="I53" t="n">
        <v>12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HYPERLINK("https://klasma.github.io/Logging_1780/artfynd/A 8944-2025 artfynd.xlsx", "A 8944-2025")</f>
        <v/>
      </c>
      <c r="X53">
        <f>HYPERLINK("https://klasma.github.io/Logging_1780/kartor/A 8944-2025 karta.png", "A 8944-2025")</f>
        <v/>
      </c>
      <c r="Y53">
        <f>HYPERLINK("https://klasma.github.io/Logging_1780/kartor_geotiff/A 8944-2025 georefererad karta.tif", "A 8944-2025")</f>
        <v/>
      </c>
      <c r="AA53">
        <f>HYPERLINK("https://klasma.github.io/Logging_1780/klagomål/A 8944-2025 FSC-klagomål.docx", "A 8944-2025")</f>
        <v/>
      </c>
      <c r="AB53">
        <f>HYPERLINK("https://klasma.github.io/Logging_1780/klagomålsmail/A 8944-2025 FSC-klagomål mail.docx", "A 8944-2025")</f>
        <v/>
      </c>
      <c r="AC53">
        <f>HYPERLINK("https://klasma.github.io/Logging_1780/tillsyn/A 8944-2025 tillsynsbegäran.docx", "A 8944-2025")</f>
        <v/>
      </c>
      <c r="AD53">
        <f>HYPERLINK("https://klasma.github.io/Logging_1780/tillsynsmail/A 8944-2025 tillsynsbegäran mail.docx", "A 8944-2025")</f>
        <v/>
      </c>
    </row>
    <row r="54" ht="15" customHeight="1">
      <c r="A54" t="inlineStr">
        <is>
          <t>A 5131-2026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46049</v>
      </c>
      <c r="E54" s="1" t="n">
        <v>46304</v>
      </c>
      <c r="F54" t="inlineStr">
        <is>
          <t>VÄRMLANDS LÄN</t>
        </is>
      </c>
      <c r="G54" t="inlineStr">
        <is>
          <t>KARLSTAD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HYPERLINK("https://klasma.github.io/Logging_1780/artfynd/A 5131-2026 artfynd.xlsx", "A 5131-2026")</f>
        <v/>
      </c>
      <c r="X54">
        <f>HYPERLINK("https://klasma.github.io/Logging_1780/kartor/A 5131-2026 karta.png", "A 5131-2026")</f>
        <v/>
      </c>
      <c r="Y54">
        <f>HYPERLINK("https://klasma.github.io/Logging_1780/kartor_geotiff/A 5131-2026 georefererad karta.tif", "A 5131-2026")</f>
        <v/>
      </c>
      <c r="AA54">
        <f>HYPERLINK("https://klasma.github.io/Logging_1780/klagomål/A 5131-2026 FSC-klagomål.docx", "A 5131-2026")</f>
        <v/>
      </c>
      <c r="AB54">
        <f>HYPERLINK("https://klasma.github.io/Logging_1780/klagomålsmail/A 5131-2026 FSC-klagomål mail.docx", "A 5131-2026")</f>
        <v/>
      </c>
      <c r="AC54">
        <f>HYPERLINK("https://klasma.github.io/Logging_1780/tillsyn/A 5131-2026 tillsynsbegäran.docx", "A 5131-2026")</f>
        <v/>
      </c>
      <c r="AD54">
        <f>HYPERLINK("https://klasma.github.io/Logging_1780/tillsynsmail/A 5131-2026 tillsynsbegäran mail.docx", "A 5131-2026")</f>
        <v/>
      </c>
    </row>
    <row r="55" ht="15" customHeight="1">
      <c r="A55" t="inlineStr">
        <is>
          <t>A 59641-2021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44493</v>
      </c>
      <c r="E55" s="1" t="n">
        <v>46304</v>
      </c>
      <c r="F55" t="inlineStr">
        <is>
          <t>VÄRMLANDS LÄN</t>
        </is>
      </c>
      <c r="G55" t="inlineStr">
        <is>
          <t>KARLSTAD</t>
        </is>
      </c>
      <c r="I55" t="n">
        <v>1.9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HYPERLINK("https://klasma.github.io/Logging_1780/artfynd/A 59641-2021 artfynd.xlsx", "A 59641-2021")</f>
        <v/>
      </c>
      <c r="X55">
        <f>HYPERLINK("https://klasma.github.io/Logging_1780/kartor/A 59641-2021 karta.png", "A 59641-2021")</f>
        <v/>
      </c>
      <c r="Y55">
        <f>HYPERLINK("https://klasma.github.io/Logging_1780/kartor_geotiff/A 59641-2021 georefererad karta.tif", "A 59641-2021")</f>
        <v/>
      </c>
      <c r="AA55">
        <f>HYPERLINK("https://klasma.github.io/Logging_1780/klagomål/A 59641-2021 FSC-klagomål.docx", "A 59641-2021")</f>
        <v/>
      </c>
      <c r="AB55">
        <f>HYPERLINK("https://klasma.github.io/Logging_1780/klagomålsmail/A 59641-2021 FSC-klagomål mail.docx", "A 59641-2021")</f>
        <v/>
      </c>
      <c r="AC55">
        <f>HYPERLINK("https://klasma.github.io/Logging_1780/tillsyn/A 59641-2021 tillsynsbegäran.docx", "A 59641-2021")</f>
        <v/>
      </c>
      <c r="AD55">
        <f>HYPERLINK("https://klasma.github.io/Logging_1780/tillsynsmail/A 59641-2021 tillsynsbegäran mail.docx", "A 59641-2021")</f>
        <v/>
      </c>
    </row>
    <row r="56" ht="15" customHeight="1">
      <c r="A56" t="inlineStr">
        <is>
          <t>A 17354-2023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46304</v>
      </c>
      <c r="F56" t="inlineStr">
        <is>
          <t>VÄRMLANDS LÄN</t>
        </is>
      </c>
      <c r="G56" t="inlineStr">
        <is>
          <t>KARLSTAD</t>
        </is>
      </c>
      <c r="H56" t="inlineStr">
        <is>
          <t>Kommuner</t>
        </is>
      </c>
      <c r="I56" t="n">
        <v>3.1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HYPERLINK("https://klasma.github.io/Logging_1780/artfynd/A 17354-2023 artfynd.xlsx", "A 17354-2023")</f>
        <v/>
      </c>
      <c r="X56">
        <f>HYPERLINK("https://klasma.github.io/Logging_1780/kartor/A 17354-2023 karta.png", "A 17354-2023")</f>
        <v/>
      </c>
      <c r="Y56">
        <f>HYPERLINK("https://klasma.github.io/Logging_1780/kartor_geotiff/A 17354-2023 georefererad karta.tif", "A 17354-2023")</f>
        <v/>
      </c>
      <c r="AA56">
        <f>HYPERLINK("https://klasma.github.io/Logging_1780/klagomål/A 17354-2023 FSC-klagomål.docx", "A 17354-2023")</f>
        <v/>
      </c>
      <c r="AB56">
        <f>HYPERLINK("https://klasma.github.io/Logging_1780/klagomålsmail/A 17354-2023 FSC-klagomål mail.docx", "A 17354-2023")</f>
        <v/>
      </c>
      <c r="AC56">
        <f>HYPERLINK("https://klasma.github.io/Logging_1780/tillsyn/A 17354-2023 tillsynsbegäran.docx", "A 17354-2023")</f>
        <v/>
      </c>
      <c r="AD56">
        <f>HYPERLINK("https://klasma.github.io/Logging_1780/tillsynsmail/A 17354-2023 tillsynsbegäran mail.docx", "A 17354-2023")</f>
        <v/>
      </c>
    </row>
    <row r="57" ht="15" customHeight="1">
      <c r="A57" t="inlineStr">
        <is>
          <t>A 21919-2023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46304</v>
      </c>
      <c r="F57" t="inlineStr">
        <is>
          <t>VÄRMLANDS LÄN</t>
        </is>
      </c>
      <c r="G57" t="inlineStr">
        <is>
          <t>KARLSTAD</t>
        </is>
      </c>
      <c r="I57" t="n">
        <v>2.5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HYPERLINK("https://klasma.github.io/Logging_1780/artfynd/A 21919-2023 artfynd.xlsx", "A 21919-2023")</f>
        <v/>
      </c>
      <c r="X57">
        <f>HYPERLINK("https://klasma.github.io/Logging_1780/kartor/A 21919-2023 karta.png", "A 21919-2023")</f>
        <v/>
      </c>
      <c r="Y57">
        <f>HYPERLINK("https://klasma.github.io/Logging_1780/kartor_geotiff/A 21919-2023 georefererad karta.tif", "A 21919-2023")</f>
        <v/>
      </c>
      <c r="AA57">
        <f>HYPERLINK("https://klasma.github.io/Logging_1780/klagomål/A 21919-2023 FSC-klagomål.docx", "A 21919-2023")</f>
        <v/>
      </c>
      <c r="AB57">
        <f>HYPERLINK("https://klasma.github.io/Logging_1780/klagomålsmail/A 21919-2023 FSC-klagomål mail.docx", "A 21919-2023")</f>
        <v/>
      </c>
      <c r="AC57">
        <f>HYPERLINK("https://klasma.github.io/Logging_1780/tillsyn/A 21919-2023 tillsynsbegäran.docx", "A 21919-2023")</f>
        <v/>
      </c>
      <c r="AD57">
        <f>HYPERLINK("https://klasma.github.io/Logging_1780/tillsynsmail/A 21919-2023 tillsynsbegäran mail.docx", "A 21919-2023")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46304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HYPERLINK("https://klasma.github.io/Logging_1780/artfynd/A 21934-2023 artfynd.xlsx", "A 21934-2023")</f>
        <v/>
      </c>
      <c r="X58">
        <f>HYPERLINK("https://klasma.github.io/Logging_1780/kartor/A 21934-2023 karta.png", "A 21934-2023")</f>
        <v/>
      </c>
      <c r="Y58">
        <f>HYPERLINK("https://klasma.github.io/Logging_1780/kartor_geotiff/A 21934-2023 georefererad karta.tif", "A 21934-2023")</f>
        <v/>
      </c>
      <c r="AA58">
        <f>HYPERLINK("https://klasma.github.io/Logging_1780/klagomål/A 21934-2023 FSC-klagomål.docx", "A 21934-2023")</f>
        <v/>
      </c>
      <c r="AB58">
        <f>HYPERLINK("https://klasma.github.io/Logging_1780/klagomålsmail/A 21934-2023 FSC-klagomål mail.docx", "A 21934-2023")</f>
        <v/>
      </c>
      <c r="AC58">
        <f>HYPERLINK("https://klasma.github.io/Logging_1780/tillsyn/A 21934-2023 tillsynsbegäran.docx", "A 21934-2023")</f>
        <v/>
      </c>
      <c r="AD58">
        <f>HYPERLINK("https://klasma.github.io/Logging_1780/tillsynsmail/A 21934-2023 tillsynsbegäran mail.docx", "A 21934-2023")</f>
        <v/>
      </c>
    </row>
    <row r="59" ht="15" customHeight="1">
      <c r="A59" t="inlineStr">
        <is>
          <t>A 20241-2022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44698</v>
      </c>
      <c r="E59" s="1" t="n">
        <v>46304</v>
      </c>
      <c r="F59" t="inlineStr">
        <is>
          <t>VÄRMLANDS LÄN</t>
        </is>
      </c>
      <c r="G59" t="inlineStr">
        <is>
          <t>KARLSTAD</t>
        </is>
      </c>
      <c r="I59" t="n">
        <v>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Större vattensalamander</t>
        </is>
      </c>
      <c r="W59">
        <f>HYPERLINK("https://klasma.github.io/Logging_1780/artfynd/A 20241-2022 artfynd.xlsx", "A 20241-2022")</f>
        <v/>
      </c>
      <c r="X59">
        <f>HYPERLINK("https://klasma.github.io/Logging_1780/kartor/A 20241-2022 karta.png", "A 20241-2022")</f>
        <v/>
      </c>
      <c r="Y59">
        <f>HYPERLINK("https://klasma.github.io/Logging_1780/kartor_geotiff/A 20241-2022 georefererad karta.tif", "A 20241-2022")</f>
        <v/>
      </c>
      <c r="AA59">
        <f>HYPERLINK("https://klasma.github.io/Logging_1780/klagomål/A 20241-2022 FSC-klagomål.docx", "A 20241-2022")</f>
        <v/>
      </c>
      <c r="AB59">
        <f>HYPERLINK("https://klasma.github.io/Logging_1780/klagomålsmail/A 20241-2022 FSC-klagomål mail.docx", "A 20241-2022")</f>
        <v/>
      </c>
      <c r="AC59">
        <f>HYPERLINK("https://klasma.github.io/Logging_1780/tillsyn/A 20241-2022 tillsynsbegäran.docx", "A 20241-2022")</f>
        <v/>
      </c>
      <c r="AD59">
        <f>HYPERLINK("https://klasma.github.io/Logging_1780/tillsynsmail/A 20241-2022 tillsynsbegäran mail.docx", "A 20241-2022")</f>
        <v/>
      </c>
    </row>
    <row r="60" ht="15" customHeight="1">
      <c r="A60" t="inlineStr">
        <is>
          <t>A 9737-2023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44984</v>
      </c>
      <c r="E60" s="1" t="n">
        <v>46304</v>
      </c>
      <c r="F60" t="inlineStr">
        <is>
          <t>VÄRMLANDS LÄN</t>
        </is>
      </c>
      <c r="G60" t="inlineStr">
        <is>
          <t>KARLSTAD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Ullticka</t>
        </is>
      </c>
      <c r="W60">
        <f>HYPERLINK("https://klasma.github.io/Logging_1780/artfynd/A 9737-2023 artfynd.xlsx", "A 9737-2023")</f>
        <v/>
      </c>
      <c r="X60">
        <f>HYPERLINK("https://klasma.github.io/Logging_1780/kartor/A 9737-2023 karta.png", "A 9737-2023")</f>
        <v/>
      </c>
      <c r="Y60">
        <f>HYPERLINK("https://klasma.github.io/Logging_1780/kartor_geotiff/A 9737-2023 georefererad karta.tif", "A 9737-2023")</f>
        <v/>
      </c>
      <c r="AA60">
        <f>HYPERLINK("https://klasma.github.io/Logging_1780/klagomål/A 9737-2023 FSC-klagomål.docx", "A 9737-2023")</f>
        <v/>
      </c>
      <c r="AB60">
        <f>HYPERLINK("https://klasma.github.io/Logging_1780/klagomålsmail/A 9737-2023 FSC-klagomål mail.docx", "A 9737-2023")</f>
        <v/>
      </c>
      <c r="AC60">
        <f>HYPERLINK("https://klasma.github.io/Logging_1780/tillsyn/A 9737-2023 tillsynsbegäran.docx", "A 9737-2023")</f>
        <v/>
      </c>
      <c r="AD60">
        <f>HYPERLINK("https://klasma.github.io/Logging_1780/tillsynsmail/A 9737-2023 tillsynsbegäran mail.docx", "A 9737-2023")</f>
        <v/>
      </c>
    </row>
    <row r="61" ht="15" customHeight="1">
      <c r="A61" t="inlineStr">
        <is>
          <t>A 9470-2023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46304</v>
      </c>
      <c r="F61" t="inlineStr">
        <is>
          <t>VÄRMLANDS LÄN</t>
        </is>
      </c>
      <c r="G61" t="inlineStr">
        <is>
          <t>KARLSTAD</t>
        </is>
      </c>
      <c r="H61" t="inlineStr">
        <is>
          <t>Kyrkan</t>
        </is>
      </c>
      <c r="I61" t="n">
        <v>9.800000000000001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Gullviva</t>
        </is>
      </c>
      <c r="W61">
        <f>HYPERLINK("https://klasma.github.io/Logging_1780/artfynd/A 9470-2023 artfynd.xlsx", "A 9470-2023")</f>
        <v/>
      </c>
      <c r="X61">
        <f>HYPERLINK("https://klasma.github.io/Logging_1780/kartor/A 9470-2023 karta.png", "A 9470-2023")</f>
        <v/>
      </c>
      <c r="Y61">
        <f>HYPERLINK("https://klasma.github.io/Logging_1780/kartor_geotiff/A 9470-2023 georefererad karta.tif", "A 9470-2023")</f>
        <v/>
      </c>
      <c r="AA61">
        <f>HYPERLINK("https://klasma.github.io/Logging_1780/klagomål/A 9470-2023 FSC-klagomål.docx", "A 9470-2023")</f>
        <v/>
      </c>
      <c r="AB61">
        <f>HYPERLINK("https://klasma.github.io/Logging_1780/klagomålsmail/A 9470-2023 FSC-klagomål mail.docx", "A 9470-2023")</f>
        <v/>
      </c>
      <c r="AC61">
        <f>HYPERLINK("https://klasma.github.io/Logging_1780/tillsyn/A 9470-2023 tillsynsbegäran.docx", "A 9470-2023")</f>
        <v/>
      </c>
      <c r="AD61">
        <f>HYPERLINK("https://klasma.github.io/Logging_1780/tillsynsmail/A 9470-2023 tillsynsbegäran mail.docx", "A 9470-2023")</f>
        <v/>
      </c>
    </row>
    <row r="62" ht="15" customHeight="1">
      <c r="A62" t="inlineStr">
        <is>
          <t>A 18470-2022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46304</v>
      </c>
      <c r="F62" t="inlineStr">
        <is>
          <t>VÄRMLANDS LÄN</t>
        </is>
      </c>
      <c r="G62" t="inlineStr">
        <is>
          <t>KARLSTAD</t>
        </is>
      </c>
      <c r="I62" t="n">
        <v>0.9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Sparvuggla</t>
        </is>
      </c>
      <c r="W62">
        <f>HYPERLINK("https://klasma.github.io/Logging_1780/artfynd/A 18470-2022 artfynd.xlsx", "A 18470-2022")</f>
        <v/>
      </c>
      <c r="X62">
        <f>HYPERLINK("https://klasma.github.io/Logging_1780/kartor/A 18470-2022 karta.png", "A 18470-2022")</f>
        <v/>
      </c>
      <c r="Y62">
        <f>HYPERLINK("https://klasma.github.io/Logging_1780/kartor_geotiff/A 18470-2022 georefererad karta.tif", "A 18470-2022")</f>
        <v/>
      </c>
      <c r="AA62">
        <f>HYPERLINK("https://klasma.github.io/Logging_1780/klagomål/A 18470-2022 FSC-klagomål.docx", "A 18470-2022")</f>
        <v/>
      </c>
      <c r="AB62">
        <f>HYPERLINK("https://klasma.github.io/Logging_1780/klagomålsmail/A 18470-2022 FSC-klagomål mail.docx", "A 18470-2022")</f>
        <v/>
      </c>
      <c r="AC62">
        <f>HYPERLINK("https://klasma.github.io/Logging_1780/tillsyn/A 18470-2022 tillsynsbegäran.docx", "A 18470-2022")</f>
        <v/>
      </c>
      <c r="AD62">
        <f>HYPERLINK("https://klasma.github.io/Logging_1780/tillsynsmail/A 18470-2022 tillsynsbegäran mail.docx", "A 18470-2022")</f>
        <v/>
      </c>
      <c r="AE62">
        <f>HYPERLINK("https://klasma.github.io/Logging_1780/fåglar/A 18470-2022 prioriterade fågelarter.docx", "A 18470-2022")</f>
        <v/>
      </c>
    </row>
    <row r="63" ht="15" customHeight="1">
      <c r="A63" t="inlineStr">
        <is>
          <t>A 51895-2024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45607</v>
      </c>
      <c r="E63" s="1" t="n">
        <v>46304</v>
      </c>
      <c r="F63" t="inlineStr">
        <is>
          <t>VÄRMLANDS LÄN</t>
        </is>
      </c>
      <c r="G63" t="inlineStr">
        <is>
          <t>KARLSTAD</t>
        </is>
      </c>
      <c r="I63" t="n">
        <v>0.5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Strutbräken</t>
        </is>
      </c>
      <c r="W63">
        <f>HYPERLINK("https://klasma.github.io/Logging_1780/artfynd/A 51895-2024 artfynd.xlsx", "A 51895-2024")</f>
        <v/>
      </c>
      <c r="X63">
        <f>HYPERLINK("https://klasma.github.io/Logging_1780/kartor/A 51895-2024 karta.png", "A 51895-2024")</f>
        <v/>
      </c>
      <c r="Y63">
        <f>HYPERLINK("https://klasma.github.io/Logging_1780/kartor_geotiff/A 51895-2024 georefererad karta.tif", "A 51895-2024")</f>
        <v/>
      </c>
      <c r="AA63">
        <f>HYPERLINK("https://klasma.github.io/Logging_1780/klagomål/A 51895-2024 FSC-klagomål.docx", "A 51895-2024")</f>
        <v/>
      </c>
      <c r="AB63">
        <f>HYPERLINK("https://klasma.github.io/Logging_1780/klagomålsmail/A 51895-2024 FSC-klagomål mail.docx", "A 51895-2024")</f>
        <v/>
      </c>
      <c r="AC63">
        <f>HYPERLINK("https://klasma.github.io/Logging_1780/tillsyn/A 51895-2024 tillsynsbegäran.docx", "A 51895-2024")</f>
        <v/>
      </c>
      <c r="AD63">
        <f>HYPERLINK("https://klasma.github.io/Logging_1780/tillsynsmail/A 51895-2024 tillsynsbegäran mail.docx", "A 51895-2024")</f>
        <v/>
      </c>
    </row>
    <row r="64" ht="15" customHeight="1">
      <c r="A64" t="inlineStr">
        <is>
          <t>S 265-2022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44578</v>
      </c>
      <c r="E64" s="1" t="n">
        <v>46304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25.3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Järpe</t>
        </is>
      </c>
      <c r="W64">
        <f>HYPERLINK("https://klasma.github.io/Logging_1780/artfynd/S 265-2022 artfynd.xlsx", "S 265-2022")</f>
        <v/>
      </c>
      <c r="X64">
        <f>HYPERLINK("https://klasma.github.io/Logging_1780/kartor/S 265-2022 karta.png", "S 265-2022")</f>
        <v/>
      </c>
      <c r="Y64">
        <f>HYPERLINK("https://klasma.github.io/Logging_1780/kartor_geotiff/S 265-2022 georefererad karta.tif", "S 265-2022")</f>
        <v/>
      </c>
      <c r="AA64">
        <f>HYPERLINK("https://klasma.github.io/Logging_1780/klagomål/S 265-2022 FSC-klagomål.docx", "S 265-2022")</f>
        <v/>
      </c>
      <c r="AB64">
        <f>HYPERLINK("https://klasma.github.io/Logging_1780/klagomålsmail/S 265-2022 FSC-klagomål mail.docx", "S 265-2022")</f>
        <v/>
      </c>
      <c r="AC64">
        <f>HYPERLINK("https://klasma.github.io/Logging_1780/tillsyn/S 265-2022 tillsynsbegäran.docx", "S 265-2022")</f>
        <v/>
      </c>
      <c r="AD64">
        <f>HYPERLINK("https://klasma.github.io/Logging_1780/tillsynsmail/S 265-2022 tillsynsbegäran mail.docx", "S 265-2022")</f>
        <v/>
      </c>
      <c r="AE64">
        <f>HYPERLINK("https://klasma.github.io/Logging_1780/fåglar/S 265-2022 prioriterade fågelarter.docx", "S 265-2022")</f>
        <v/>
      </c>
    </row>
    <row r="65" ht="15" customHeight="1">
      <c r="A65" t="inlineStr">
        <is>
          <t>S 4136-2023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45247</v>
      </c>
      <c r="E65" s="1" t="n">
        <v>46304</v>
      </c>
      <c r="F65" t="inlineStr">
        <is>
          <t>VÄRMLANDS LÄN</t>
        </is>
      </c>
      <c r="G65" t="inlineStr">
        <is>
          <t>KARLSTAD</t>
        </is>
      </c>
      <c r="H65" t="inlineStr">
        <is>
          <t>Bergvik skog väst AB</t>
        </is>
      </c>
      <c r="I65" t="n">
        <v>11.7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Lappuggla</t>
        </is>
      </c>
      <c r="W65">
        <f>HYPERLINK("https://klasma.github.io/Logging_1780/artfynd/S 4136-2023 artfynd.xlsx", "S 4136-2023")</f>
        <v/>
      </c>
      <c r="X65">
        <f>HYPERLINK("https://klasma.github.io/Logging_1780/kartor/S 4136-2023 karta.png", "S 4136-2023")</f>
        <v/>
      </c>
      <c r="Y65">
        <f>HYPERLINK("https://klasma.github.io/Logging_1780/kartor_geotiff/S 4136-2023 georefererad karta.tif", "S 4136-2023")</f>
        <v/>
      </c>
      <c r="AA65">
        <f>HYPERLINK("https://klasma.github.io/Logging_1780/klagomål/S 4136-2023 FSC-klagomål.docx", "S 4136-2023")</f>
        <v/>
      </c>
      <c r="AB65">
        <f>HYPERLINK("https://klasma.github.io/Logging_1780/klagomålsmail/S 4136-2023 FSC-klagomål mail.docx", "S 4136-2023")</f>
        <v/>
      </c>
      <c r="AC65">
        <f>HYPERLINK("https://klasma.github.io/Logging_1780/tillsyn/S 4136-2023 tillsynsbegäran.docx", "S 4136-2023")</f>
        <v/>
      </c>
      <c r="AD65">
        <f>HYPERLINK("https://klasma.github.io/Logging_1780/tillsynsmail/S 4136-2023 tillsynsbegäran mail.docx", "S 4136-2023")</f>
        <v/>
      </c>
      <c r="AE65">
        <f>HYPERLINK("https://klasma.github.io/Logging_1780/fåglar/S 4136-2023 prioriterade fågelarter.docx", "S 4136-2023")</f>
        <v/>
      </c>
    </row>
    <row r="66" ht="15" customHeight="1">
      <c r="A66" t="inlineStr">
        <is>
          <t>S 113-2026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46037</v>
      </c>
      <c r="E66" s="1" t="n">
        <v>46304</v>
      </c>
      <c r="F66" t="inlineStr">
        <is>
          <t>VÄRMLANDS LÄN</t>
        </is>
      </c>
      <c r="G66" t="inlineStr">
        <is>
          <t>KARLSTAD</t>
        </is>
      </c>
      <c r="H66" t="inlineStr">
        <is>
          <t>Bergvik skog väst AB</t>
        </is>
      </c>
      <c r="I66" t="n">
        <v>94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Grå blåbärsfältmätare</t>
        </is>
      </c>
      <c r="W66">
        <f>HYPERLINK("https://klasma.github.io/Logging_1780/artfynd/S 113-2026 artfynd.xlsx", "S 113-2026")</f>
        <v/>
      </c>
      <c r="X66">
        <f>HYPERLINK("https://klasma.github.io/Logging_1780/kartor/S 113-2026 karta.png", "S 113-2026")</f>
        <v/>
      </c>
      <c r="Y66">
        <f>HYPERLINK("https://klasma.github.io/Logging_1780/kartor_geotiff/S 113-2026 georefererad karta.tif", "S 113-2026")</f>
        <v/>
      </c>
      <c r="AA66">
        <f>HYPERLINK("https://klasma.github.io/Logging_1780/klagomål/S 113-2026 FSC-klagomål.docx", "S 113-2026")</f>
        <v/>
      </c>
      <c r="AB66">
        <f>HYPERLINK("https://klasma.github.io/Logging_1780/klagomålsmail/S 113-2026 FSC-klagomål mail.docx", "S 113-2026")</f>
        <v/>
      </c>
      <c r="AC66">
        <f>HYPERLINK("https://klasma.github.io/Logging_1780/tillsyn/S 113-2026 tillsynsbegäran.docx", "S 113-2026")</f>
        <v/>
      </c>
      <c r="AD66">
        <f>HYPERLINK("https://klasma.github.io/Logging_1780/tillsynsmail/S 113-2026 tillsynsbegäran mail.docx", "S 113-2026")</f>
        <v/>
      </c>
    </row>
    <row r="67" ht="15" customHeight="1">
      <c r="A67" t="inlineStr">
        <is>
          <t>A 59627-2021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46304</v>
      </c>
      <c r="F67" t="inlineStr">
        <is>
          <t>VÄRMLANDS LÄN</t>
        </is>
      </c>
      <c r="G67" t="inlineStr">
        <is>
          <t>KARLSTAD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36422-2022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44804</v>
      </c>
      <c r="E68" s="1" t="n">
        <v>46304</v>
      </c>
      <c r="F68" t="inlineStr">
        <is>
          <t>VÄRMLANDS LÄN</t>
        </is>
      </c>
      <c r="G68" t="inlineStr">
        <is>
          <t>KARLSTAD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57476-2021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46304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46304</v>
      </c>
      <c r="F70" t="inlineStr">
        <is>
          <t>VÄRMLANDS LÄN</t>
        </is>
      </c>
      <c r="G70" t="inlineStr">
        <is>
          <t>KARLSTAD</t>
        </is>
      </c>
      <c r="I70" t="n">
        <v>22.8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35567-2022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46304</v>
      </c>
      <c r="F71" t="inlineStr">
        <is>
          <t>VÄRMLANDS LÄN</t>
        </is>
      </c>
      <c r="G71" t="inlineStr">
        <is>
          <t>KARLSTAD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44593</v>
      </c>
      <c r="E72" s="1" t="n">
        <v>46304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70254-2021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44536</v>
      </c>
      <c r="E73" s="1" t="n">
        <v>46304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46304</v>
      </c>
      <c r="F74" t="inlineStr">
        <is>
          <t>VÄRMLANDS LÄN</t>
        </is>
      </c>
      <c r="G74" t="inlineStr">
        <is>
          <t>KARLSTAD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61105-2021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44498</v>
      </c>
      <c r="E75" s="1" t="n">
        <v>46304</v>
      </c>
      <c r="F75" t="inlineStr">
        <is>
          <t>VÄRMLANDS LÄN</t>
        </is>
      </c>
      <c r="G75" t="inlineStr">
        <is>
          <t>KARLSTAD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46304</v>
      </c>
      <c r="F76" t="inlineStr">
        <is>
          <t>VÄRMLANDS LÄN</t>
        </is>
      </c>
      <c r="G76" t="inlineStr">
        <is>
          <t>KARLSTAD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44662</v>
      </c>
      <c r="E77" s="1" t="n">
        <v>46304</v>
      </c>
      <c r="F77" t="inlineStr">
        <is>
          <t>VÄRMLANDS LÄN</t>
        </is>
      </c>
      <c r="G77" t="inlineStr">
        <is>
          <t>KARLSTAD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44594</v>
      </c>
      <c r="E78" s="1" t="n">
        <v>46304</v>
      </c>
      <c r="F78" t="inlineStr">
        <is>
          <t>VÄRMLANDS LÄN</t>
        </is>
      </c>
      <c r="G78" t="inlineStr">
        <is>
          <t>KARLSTAD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46304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9.199999999999999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65625-2021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46304</v>
      </c>
      <c r="F80" t="inlineStr">
        <is>
          <t>VÄRMLANDS LÄN</t>
        </is>
      </c>
      <c r="G80" t="inlineStr">
        <is>
          <t>KARLSTAD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6061-2022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44599</v>
      </c>
      <c r="E81" s="1" t="n">
        <v>46304</v>
      </c>
      <c r="F81" t="inlineStr">
        <is>
          <t>VÄRMLANDS LÄN</t>
        </is>
      </c>
      <c r="G81" t="inlineStr">
        <is>
          <t>KARLSTAD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46304</v>
      </c>
      <c r="F82" t="inlineStr">
        <is>
          <t>VÄRMLANDS LÄN</t>
        </is>
      </c>
      <c r="G82" t="inlineStr">
        <is>
          <t>KARLSTAD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46304</v>
      </c>
      <c r="F83" t="inlineStr">
        <is>
          <t>VÄRMLANDS LÄN</t>
        </is>
      </c>
      <c r="G83" t="inlineStr">
        <is>
          <t>KARLSTAD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61099-2021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46304</v>
      </c>
      <c r="F84" t="inlineStr">
        <is>
          <t>VÄRMLANDS LÄN</t>
        </is>
      </c>
      <c r="G84" t="inlineStr">
        <is>
          <t>KARLSTAD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44740</v>
      </c>
      <c r="E85" s="1" t="n">
        <v>46304</v>
      </c>
      <c r="F85" t="inlineStr">
        <is>
          <t>VÄRMLANDS LÄN</t>
        </is>
      </c>
      <c r="G85" t="inlineStr">
        <is>
          <t>KARLSTAD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46304</v>
      </c>
      <c r="F86" t="inlineStr">
        <is>
          <t>VÄRMLANDS LÄN</t>
        </is>
      </c>
      <c r="G86" t="inlineStr">
        <is>
          <t>KARLSTAD</t>
        </is>
      </c>
      <c r="H86" t="inlineStr">
        <is>
          <t>Kommuner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44853</v>
      </c>
      <c r="E87" s="1" t="n">
        <v>46304</v>
      </c>
      <c r="F87" t="inlineStr">
        <is>
          <t>VÄRMLANDS LÄN</t>
        </is>
      </c>
      <c r="G87" t="inlineStr">
        <is>
          <t>KARLSTAD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46304</v>
      </c>
      <c r="F88" t="inlineStr">
        <is>
          <t>VÄRMLANDS LÄN</t>
        </is>
      </c>
      <c r="G88" t="inlineStr">
        <is>
          <t>KARLSTAD</t>
        </is>
      </c>
      <c r="H88" t="inlineStr">
        <is>
          <t>Kommuner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46304</v>
      </c>
      <c r="F89" t="inlineStr">
        <is>
          <t>VÄRMLANDS LÄN</t>
        </is>
      </c>
      <c r="G89" t="inlineStr">
        <is>
          <t>KARLSTAD</t>
        </is>
      </c>
      <c r="H89" t="inlineStr">
        <is>
          <t>Kommuner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72339-2021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46304</v>
      </c>
      <c r="F90" t="inlineStr">
        <is>
          <t>VÄRMLANDS LÄN</t>
        </is>
      </c>
      <c r="G90" t="inlineStr">
        <is>
          <t>KARLSTAD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46304</v>
      </c>
      <c r="F91" t="inlineStr">
        <is>
          <t>VÄRMLANDS LÄN</t>
        </is>
      </c>
      <c r="G91" t="inlineStr">
        <is>
          <t>KARLSTAD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46304</v>
      </c>
      <c r="F92" t="inlineStr">
        <is>
          <t>VÄRMLANDS LÄN</t>
        </is>
      </c>
      <c r="G92" t="inlineStr">
        <is>
          <t>KARLSTAD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44687</v>
      </c>
      <c r="E93" s="1" t="n">
        <v>46304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14854-2022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44656</v>
      </c>
      <c r="E94" s="1" t="n">
        <v>46304</v>
      </c>
      <c r="F94" t="inlineStr">
        <is>
          <t>VÄRMLANDS LÄN</t>
        </is>
      </c>
      <c r="G94" t="inlineStr">
        <is>
          <t>KARLSTAD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44867</v>
      </c>
      <c r="E95" s="1" t="n">
        <v>46304</v>
      </c>
      <c r="F95" t="inlineStr">
        <is>
          <t>VÄRMLANDS LÄN</t>
        </is>
      </c>
      <c r="G95" t="inlineStr">
        <is>
          <t>KARLSTAD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65630-2021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46304</v>
      </c>
      <c r="F96" t="inlineStr">
        <is>
          <t>VÄRMLANDS LÄN</t>
        </is>
      </c>
      <c r="G96" t="inlineStr">
        <is>
          <t>KARLSTAD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46304</v>
      </c>
      <c r="F97" t="inlineStr">
        <is>
          <t>VÄRMLANDS LÄN</t>
        </is>
      </c>
      <c r="G97" t="inlineStr">
        <is>
          <t>KARLSTAD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46304</v>
      </c>
      <c r="F98" t="inlineStr">
        <is>
          <t>VÄRMLANDS LÄN</t>
        </is>
      </c>
      <c r="G98" t="inlineStr">
        <is>
          <t>KARLSTAD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46304</v>
      </c>
      <c r="F99" t="inlineStr">
        <is>
          <t>VÄRMLANDS LÄN</t>
        </is>
      </c>
      <c r="G99" t="inlineStr">
        <is>
          <t>KARLSTAD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61514-2021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44501</v>
      </c>
      <c r="E100" s="1" t="n">
        <v>46304</v>
      </c>
      <c r="F100" t="inlineStr">
        <is>
          <t>VÄRMLANDS LÄN</t>
        </is>
      </c>
      <c r="G100" t="inlineStr">
        <is>
          <t>KARLSTAD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70921-2021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46304</v>
      </c>
      <c r="F101" t="inlineStr">
        <is>
          <t>VÄRMLANDS LÄN</t>
        </is>
      </c>
      <c r="G101" t="inlineStr">
        <is>
          <t>KARLSTAD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70123-2021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44533</v>
      </c>
      <c r="E102" s="1" t="n">
        <v>46304</v>
      </c>
      <c r="F102" t="inlineStr">
        <is>
          <t>VÄRMLANDS LÄN</t>
        </is>
      </c>
      <c r="G102" t="inlineStr">
        <is>
          <t>KARLSTAD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70144-2021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46304</v>
      </c>
      <c r="F103" t="inlineStr">
        <is>
          <t>VÄRMLANDS LÄN</t>
        </is>
      </c>
      <c r="G103" t="inlineStr">
        <is>
          <t>KARLSTAD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44701</v>
      </c>
      <c r="E104" s="1" t="n">
        <v>46304</v>
      </c>
      <c r="F104" t="inlineStr">
        <is>
          <t>VÄRMLANDS LÄN</t>
        </is>
      </c>
      <c r="G104" t="inlineStr">
        <is>
          <t>KARLSTAD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44652</v>
      </c>
      <c r="E105" s="1" t="n">
        <v>46304</v>
      </c>
      <c r="F105" t="inlineStr">
        <is>
          <t>VÄRMLANDS LÄN</t>
        </is>
      </c>
      <c r="G105" t="inlineStr">
        <is>
          <t>KARLSTAD</t>
        </is>
      </c>
      <c r="H105" t="inlineStr">
        <is>
          <t>Naturvårdsverket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73318-2021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44550</v>
      </c>
      <c r="E106" s="1" t="n">
        <v>46304</v>
      </c>
      <c r="F106" t="inlineStr">
        <is>
          <t>VÄRMLANDS LÄN</t>
        </is>
      </c>
      <c r="G106" t="inlineStr">
        <is>
          <t>KARLSTAD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40855-2022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44825</v>
      </c>
      <c r="E107" s="1" t="n">
        <v>46304</v>
      </c>
      <c r="F107" t="inlineStr">
        <is>
          <t>VÄRMLANDS LÄN</t>
        </is>
      </c>
      <c r="G107" t="inlineStr">
        <is>
          <t>KARLSTAD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46304</v>
      </c>
      <c r="F108" t="inlineStr">
        <is>
          <t>VÄRMLANDS LÄN</t>
        </is>
      </c>
      <c r="G108" t="inlineStr">
        <is>
          <t>KARLSTAD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44483</v>
      </c>
      <c r="E109" s="1" t="n">
        <v>46304</v>
      </c>
      <c r="F109" t="inlineStr">
        <is>
          <t>VÄRMLANDS LÄN</t>
        </is>
      </c>
      <c r="G109" t="inlineStr">
        <is>
          <t>KARLSTAD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8483-2022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44613</v>
      </c>
      <c r="E110" s="1" t="n">
        <v>46304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69428-2021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46304</v>
      </c>
      <c r="F111" t="inlineStr">
        <is>
          <t>VÄRMLANDS LÄN</t>
        </is>
      </c>
      <c r="G111" t="inlineStr">
        <is>
          <t>KARLSTAD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44593</v>
      </c>
      <c r="E112" s="1" t="n">
        <v>46304</v>
      </c>
      <c r="F112" t="inlineStr">
        <is>
          <t>VÄRMLANDS LÄN</t>
        </is>
      </c>
      <c r="G112" t="inlineStr">
        <is>
          <t>KARLSTAD</t>
        </is>
      </c>
      <c r="H112" t="inlineStr">
        <is>
          <t>Kommuner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46304</v>
      </c>
      <c r="F113" t="inlineStr">
        <is>
          <t>VÄRMLANDS LÄN</t>
        </is>
      </c>
      <c r="G113" t="inlineStr">
        <is>
          <t>KARLSTAD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44623</v>
      </c>
      <c r="E114" s="1" t="n">
        <v>46304</v>
      </c>
      <c r="F114" t="inlineStr">
        <is>
          <t>VÄRMLANDS LÄN</t>
        </is>
      </c>
      <c r="G114" t="inlineStr">
        <is>
          <t>KARLSTAD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56928-2021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44482</v>
      </c>
      <c r="E115" s="1" t="n">
        <v>46304</v>
      </c>
      <c r="F115" t="inlineStr">
        <is>
          <t>VÄRMLANDS LÄN</t>
        </is>
      </c>
      <c r="G115" t="inlineStr">
        <is>
          <t>KARLSTAD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44754</v>
      </c>
      <c r="E116" s="1" t="n">
        <v>46304</v>
      </c>
      <c r="F116" t="inlineStr">
        <is>
          <t>VÄRMLANDS LÄN</t>
        </is>
      </c>
      <c r="G116" t="inlineStr">
        <is>
          <t>KARLSTAD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57391-2021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44483</v>
      </c>
      <c r="E117" s="1" t="n">
        <v>46304</v>
      </c>
      <c r="F117" t="inlineStr">
        <is>
          <t>VÄRMLANDS LÄN</t>
        </is>
      </c>
      <c r="G117" t="inlineStr">
        <is>
          <t>KARLSTAD</t>
        </is>
      </c>
      <c r="H117" t="inlineStr">
        <is>
          <t>Kommuner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73004-2021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44547</v>
      </c>
      <c r="E118" s="1" t="n">
        <v>46304</v>
      </c>
      <c r="F118" t="inlineStr">
        <is>
          <t>VÄRMLANDS LÄN</t>
        </is>
      </c>
      <c r="G118" t="inlineStr">
        <is>
          <t>KARLSTAD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46304</v>
      </c>
      <c r="F119" t="inlineStr">
        <is>
          <t>VÄRMLANDS LÄN</t>
        </is>
      </c>
      <c r="G119" t="inlineStr">
        <is>
          <t>KARLSTAD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44882</v>
      </c>
      <c r="E120" s="1" t="n">
        <v>46304</v>
      </c>
      <c r="F120" t="inlineStr">
        <is>
          <t>VÄRMLANDS LÄN</t>
        </is>
      </c>
      <c r="G120" t="inlineStr">
        <is>
          <t>KARLSTAD</t>
        </is>
      </c>
      <c r="H120" t="inlineStr">
        <is>
          <t>Kommuner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44872</v>
      </c>
      <c r="E121" s="1" t="n">
        <v>46304</v>
      </c>
      <c r="F121" t="inlineStr">
        <is>
          <t>VÄRMLANDS LÄN</t>
        </is>
      </c>
      <c r="G121" t="inlineStr">
        <is>
          <t>KARLSTAD</t>
        </is>
      </c>
      <c r="H121" t="inlineStr">
        <is>
          <t>Bergvik skog väst AB</t>
        </is>
      </c>
      <c r="I121" t="n">
        <v>10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44763</v>
      </c>
      <c r="E122" s="1" t="n">
        <v>46304</v>
      </c>
      <c r="F122" t="inlineStr">
        <is>
          <t>VÄRMLANDS LÄN</t>
        </is>
      </c>
      <c r="G122" t="inlineStr">
        <is>
          <t>KARLSTAD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44622</v>
      </c>
      <c r="E123" s="1" t="n">
        <v>46304</v>
      </c>
      <c r="F123" t="inlineStr">
        <is>
          <t>VÄRMLANDS LÄN</t>
        </is>
      </c>
      <c r="G123" t="inlineStr">
        <is>
          <t>KARLSTAD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45039</v>
      </c>
      <c r="E124" s="1" t="n">
        <v>46304</v>
      </c>
      <c r="F124" t="inlineStr">
        <is>
          <t>VÄRMLANDS LÄN</t>
        </is>
      </c>
      <c r="G124" t="inlineStr">
        <is>
          <t>KARLSTAD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44959</v>
      </c>
      <c r="E125" s="1" t="n">
        <v>46304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14235-2024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45393</v>
      </c>
      <c r="E126" s="1" t="n">
        <v>46304</v>
      </c>
      <c r="F126" t="inlineStr">
        <is>
          <t>VÄRMLANDS LÄN</t>
        </is>
      </c>
      <c r="G126" t="inlineStr">
        <is>
          <t>KARLSTAD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13402-2024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45387</v>
      </c>
      <c r="E127" s="1" t="n">
        <v>46304</v>
      </c>
      <c r="F127" t="inlineStr">
        <is>
          <t>VÄRMLANDS LÄN</t>
        </is>
      </c>
      <c r="G127" t="inlineStr">
        <is>
          <t>KARLSTAD</t>
        </is>
      </c>
      <c r="H127" t="inlineStr">
        <is>
          <t>Bergvik skog väst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27049-2023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45095</v>
      </c>
      <c r="E128" s="1" t="n">
        <v>46304</v>
      </c>
      <c r="F128" t="inlineStr">
        <is>
          <t>VÄRMLANDS LÄN</t>
        </is>
      </c>
      <c r="G128" t="inlineStr">
        <is>
          <t>KARLSTAD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13863-2023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45007</v>
      </c>
      <c r="E129" s="1" t="n">
        <v>46304</v>
      </c>
      <c r="F129" t="inlineStr">
        <is>
          <t>VÄRMLANDS LÄN</t>
        </is>
      </c>
      <c r="G129" t="inlineStr">
        <is>
          <t>KARLSTAD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45617</v>
      </c>
      <c r="E130" s="1" t="n">
        <v>46304</v>
      </c>
      <c r="F130" t="inlineStr">
        <is>
          <t>VÄRMLANDS LÄN</t>
        </is>
      </c>
      <c r="G130" t="inlineStr">
        <is>
          <t>KARLSTAD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45551</v>
      </c>
      <c r="E131" s="1" t="n">
        <v>46304</v>
      </c>
      <c r="F131" t="inlineStr">
        <is>
          <t>VÄRMLANDS LÄN</t>
        </is>
      </c>
      <c r="G131" t="inlineStr">
        <is>
          <t>KARLSTAD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46304</v>
      </c>
      <c r="F132" t="inlineStr">
        <is>
          <t>VÄRMLANDS LÄN</t>
        </is>
      </c>
      <c r="G132" t="inlineStr">
        <is>
          <t>KARLSTAD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46304</v>
      </c>
      <c r="F133" t="inlineStr">
        <is>
          <t>VÄRMLANDS LÄN</t>
        </is>
      </c>
      <c r="G133" t="inlineStr">
        <is>
          <t>KARLSTAD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44099-2024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45572</v>
      </c>
      <c r="E134" s="1" t="n">
        <v>46304</v>
      </c>
      <c r="F134" t="inlineStr">
        <is>
          <t>VÄRMLANDS LÄN</t>
        </is>
      </c>
      <c r="G134" t="inlineStr">
        <is>
          <t>KARLSTAD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45201</v>
      </c>
      <c r="E135" s="1" t="n">
        <v>46304</v>
      </c>
      <c r="F135" t="inlineStr">
        <is>
          <t>VÄRMLANDS LÄN</t>
        </is>
      </c>
      <c r="G135" t="inlineStr">
        <is>
          <t>KARLSTAD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73753-2021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46304</v>
      </c>
      <c r="F136" t="inlineStr">
        <is>
          <t>VÄRMLANDS LÄN</t>
        </is>
      </c>
      <c r="G136" t="inlineStr">
        <is>
          <t>KARLSTAD</t>
        </is>
      </c>
      <c r="H136" t="inlineStr">
        <is>
          <t>Kyrkan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22505-2023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45071</v>
      </c>
      <c r="E137" s="1" t="n">
        <v>46304</v>
      </c>
      <c r="F137" t="inlineStr">
        <is>
          <t>VÄRMLANDS LÄN</t>
        </is>
      </c>
      <c r="G137" t="inlineStr">
        <is>
          <t>KARLSTAD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45698</v>
      </c>
      <c r="E138" s="1" t="n">
        <v>46304</v>
      </c>
      <c r="F138" t="inlineStr">
        <is>
          <t>VÄRMLANDS LÄN</t>
        </is>
      </c>
      <c r="G138" t="inlineStr">
        <is>
          <t>KARLSTAD</t>
        </is>
      </c>
      <c r="I138" t="n">
        <v>20.6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45698</v>
      </c>
      <c r="E139" s="1" t="n">
        <v>46304</v>
      </c>
      <c r="F139" t="inlineStr">
        <is>
          <t>VÄRMLANDS LÄN</t>
        </is>
      </c>
      <c r="G139" t="inlineStr">
        <is>
          <t>KARLSTAD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45260</v>
      </c>
      <c r="E140" s="1" t="n">
        <v>46304</v>
      </c>
      <c r="F140" t="inlineStr">
        <is>
          <t>VÄRMLANDS LÄN</t>
        </is>
      </c>
      <c r="G140" t="inlineStr">
        <is>
          <t>KARLSTAD</t>
        </is>
      </c>
      <c r="I140" t="n">
        <v>10.6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29893-2024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45487</v>
      </c>
      <c r="E141" s="1" t="n">
        <v>46304</v>
      </c>
      <c r="F141" t="inlineStr">
        <is>
          <t>VÄRMLANDS LÄN</t>
        </is>
      </c>
      <c r="G141" t="inlineStr">
        <is>
          <t>KARLSTAD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45077</v>
      </c>
      <c r="E142" s="1" t="n">
        <v>46304</v>
      </c>
      <c r="F142" t="inlineStr">
        <is>
          <t>VÄRMLANDS LÄN</t>
        </is>
      </c>
      <c r="G142" t="inlineStr">
        <is>
          <t>KARLSTAD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46304</v>
      </c>
      <c r="F143" t="inlineStr">
        <is>
          <t>VÄRMLANDS LÄN</t>
        </is>
      </c>
      <c r="G143" t="inlineStr">
        <is>
          <t>KARLSTAD</t>
        </is>
      </c>
      <c r="H143" t="inlineStr">
        <is>
          <t>Kommuner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46304</v>
      </c>
      <c r="F144" t="inlineStr">
        <is>
          <t>VÄRMLANDS LÄN</t>
        </is>
      </c>
      <c r="G144" t="inlineStr">
        <is>
          <t>KARLSTAD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45679</v>
      </c>
      <c r="E145" s="1" t="n">
        <v>46304</v>
      </c>
      <c r="F145" t="inlineStr">
        <is>
          <t>VÄRMLANDS LÄN</t>
        </is>
      </c>
      <c r="G145" t="inlineStr">
        <is>
          <t>KARLSTAD</t>
        </is>
      </c>
      <c r="I145" t="n">
        <v>11.4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46304</v>
      </c>
      <c r="F146" t="inlineStr">
        <is>
          <t>VÄRMLANDS LÄN</t>
        </is>
      </c>
      <c r="G146" t="inlineStr">
        <is>
          <t>KARLSTAD</t>
        </is>
      </c>
      <c r="I146" t="n">
        <v>22.7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46304</v>
      </c>
      <c r="F147" t="inlineStr">
        <is>
          <t>VÄRMLANDS LÄN</t>
        </is>
      </c>
      <c r="G147" t="inlineStr">
        <is>
          <t>KARLSTAD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46304</v>
      </c>
      <c r="F148" t="inlineStr">
        <is>
          <t>VÄRMLANDS LÄN</t>
        </is>
      </c>
      <c r="G148" t="inlineStr">
        <is>
          <t>KARLSTAD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45238</v>
      </c>
      <c r="E149" s="1" t="n">
        <v>46304</v>
      </c>
      <c r="F149" t="inlineStr">
        <is>
          <t>VÄRMLANDS LÄN</t>
        </is>
      </c>
      <c r="G149" t="inlineStr">
        <is>
          <t>KARLSTAD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46304</v>
      </c>
      <c r="F150" t="inlineStr">
        <is>
          <t>VÄRMLANDS LÄN</t>
        </is>
      </c>
      <c r="G150" t="inlineStr">
        <is>
          <t>KARLSTAD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44985</v>
      </c>
      <c r="E151" s="1" t="n">
        <v>46304</v>
      </c>
      <c r="F151" t="inlineStr">
        <is>
          <t>VÄRMLANDS LÄN</t>
        </is>
      </c>
      <c r="G151" t="inlineStr">
        <is>
          <t>KARLSTAD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46304</v>
      </c>
      <c r="F152" t="inlineStr">
        <is>
          <t>VÄRMLANDS LÄN</t>
        </is>
      </c>
      <c r="G152" t="inlineStr">
        <is>
          <t>KARLSTAD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46304</v>
      </c>
      <c r="F153" t="inlineStr">
        <is>
          <t>VÄRMLANDS LÄN</t>
        </is>
      </c>
      <c r="G153" t="inlineStr">
        <is>
          <t>KARLSTAD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46304</v>
      </c>
      <c r="F154" t="inlineStr">
        <is>
          <t>VÄRMLANDS LÄN</t>
        </is>
      </c>
      <c r="G154" t="inlineStr">
        <is>
          <t>KARLSTAD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46304</v>
      </c>
      <c r="F155" t="inlineStr">
        <is>
          <t>VÄRMLANDS LÄN</t>
        </is>
      </c>
      <c r="G155" t="inlineStr">
        <is>
          <t>KARLSTAD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45177</v>
      </c>
      <c r="E156" s="1" t="n">
        <v>46304</v>
      </c>
      <c r="F156" t="inlineStr">
        <is>
          <t>VÄRMLANDS LÄN</t>
        </is>
      </c>
      <c r="G156" t="inlineStr">
        <is>
          <t>KARLSTAD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45457</v>
      </c>
      <c r="E157" s="1" t="n">
        <v>46304</v>
      </c>
      <c r="F157" t="inlineStr">
        <is>
          <t>VÄRMLANDS LÄN</t>
        </is>
      </c>
      <c r="G157" t="inlineStr">
        <is>
          <t>KARLSTAD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57100-2022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46304</v>
      </c>
      <c r="F158" t="inlineStr">
        <is>
          <t>VÄRMLANDS LÄN</t>
        </is>
      </c>
      <c r="G158" t="inlineStr">
        <is>
          <t>KARLSTAD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46304</v>
      </c>
      <c r="F159" t="inlineStr">
        <is>
          <t>VÄRMLANDS LÄN</t>
        </is>
      </c>
      <c r="G159" t="inlineStr">
        <is>
          <t>KARLSTAD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45672</v>
      </c>
      <c r="E160" s="1" t="n">
        <v>46304</v>
      </c>
      <c r="F160" t="inlineStr">
        <is>
          <t>VÄRMLANDS LÄN</t>
        </is>
      </c>
      <c r="G160" t="inlineStr">
        <is>
          <t>KARLSTAD</t>
        </is>
      </c>
      <c r="H160" t="inlineStr">
        <is>
          <t>Övriga statliga verk och myndigheter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7370-2025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45704</v>
      </c>
      <c r="E161" s="1" t="n">
        <v>46304</v>
      </c>
      <c r="F161" t="inlineStr">
        <is>
          <t>VÄRMLANDS LÄN</t>
        </is>
      </c>
      <c r="G161" t="inlineStr">
        <is>
          <t>KARLSTAD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46304</v>
      </c>
      <c r="F162" t="inlineStr">
        <is>
          <t>VÄRMLANDS LÄN</t>
        </is>
      </c>
      <c r="G162" t="inlineStr">
        <is>
          <t>KARLSTAD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46304</v>
      </c>
      <c r="F163" t="inlineStr">
        <is>
          <t>VÄRMLANDS LÄN</t>
        </is>
      </c>
      <c r="G163" t="inlineStr">
        <is>
          <t>KARLSTAD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44754</v>
      </c>
      <c r="E164" s="1" t="n">
        <v>46304</v>
      </c>
      <c r="F164" t="inlineStr">
        <is>
          <t>VÄRMLANDS LÄN</t>
        </is>
      </c>
      <c r="G164" t="inlineStr">
        <is>
          <t>KARLSTAD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62902-2023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45272</v>
      </c>
      <c r="E165" s="1" t="n">
        <v>46304</v>
      </c>
      <c r="F165" t="inlineStr">
        <is>
          <t>VÄRMLANDS LÄN</t>
        </is>
      </c>
      <c r="G165" t="inlineStr">
        <is>
          <t>KARLSTAD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45112</v>
      </c>
      <c r="E166" s="1" t="n">
        <v>46304</v>
      </c>
      <c r="F166" t="inlineStr">
        <is>
          <t>VÄRMLANDS LÄN</t>
        </is>
      </c>
      <c r="G166" t="inlineStr">
        <is>
          <t>KARLSTAD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45698</v>
      </c>
      <c r="E167" s="1" t="n">
        <v>46304</v>
      </c>
      <c r="F167" t="inlineStr">
        <is>
          <t>VÄRMLANDS LÄN</t>
        </is>
      </c>
      <c r="G167" t="inlineStr">
        <is>
          <t>KARLSTAD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46304</v>
      </c>
      <c r="F168" t="inlineStr">
        <is>
          <t>VÄRMLANDS LÄN</t>
        </is>
      </c>
      <c r="G168" t="inlineStr">
        <is>
          <t>KARLSTAD</t>
        </is>
      </c>
      <c r="H168" t="inlineStr">
        <is>
          <t>Kommuner</t>
        </is>
      </c>
      <c r="I168" t="n">
        <v>9.4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45095</v>
      </c>
      <c r="E169" s="1" t="n">
        <v>46304</v>
      </c>
      <c r="F169" t="inlineStr">
        <is>
          <t>VÄRMLANDS LÄN</t>
        </is>
      </c>
      <c r="G169" t="inlineStr">
        <is>
          <t>KARLSTAD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44566</v>
      </c>
      <c r="E170" s="1" t="n">
        <v>46304</v>
      </c>
      <c r="F170" t="inlineStr">
        <is>
          <t>VÄRMLANDS LÄN</t>
        </is>
      </c>
      <c r="G170" t="inlineStr">
        <is>
          <t>KARLSTAD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46304</v>
      </c>
      <c r="F171" t="inlineStr">
        <is>
          <t>VÄRMLANDS LÄN</t>
        </is>
      </c>
      <c r="G171" t="inlineStr">
        <is>
          <t>KARLSTAD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  <c r="Z171">
        <f>HYPERLINK("https://klasma.github.io/Logging_1780/knärot/A 55764-2022 karta knärot.png", "A 55764-2022")</f>
        <v/>
      </c>
      <c r="AA171">
        <f>HYPERLINK("https://klasma.github.io/Logging_1780/klagomål/A 55764-2022 FSC-klagomål.docx", "A 55764-2022")</f>
        <v/>
      </c>
      <c r="AB171">
        <f>HYPERLINK("https://klasma.github.io/Logging_1780/klagomålsmail/A 55764-2022 FSC-klagomål mail.docx", "A 55764-2022")</f>
        <v/>
      </c>
      <c r="AC171">
        <f>HYPERLINK("https://klasma.github.io/Logging_1780/tillsyn/A 55764-2022 tillsynsbegäran.docx", "A 55764-2022")</f>
        <v/>
      </c>
      <c r="AD171">
        <f>HYPERLINK("https://klasma.github.io/Logging_1780/tillsynsmail/A 55764-2022 tillsynsbegäran mail.docx", "A 55764-2022")</f>
        <v/>
      </c>
    </row>
    <row r="172" ht="15" customHeight="1">
      <c r="A172" t="inlineStr">
        <is>
          <t>A 8634-2025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45711</v>
      </c>
      <c r="E172" s="1" t="n">
        <v>46304</v>
      </c>
      <c r="F172" t="inlineStr">
        <is>
          <t>VÄRMLANDS LÄN</t>
        </is>
      </c>
      <c r="G172" t="inlineStr">
        <is>
          <t>KARLSTAD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46304</v>
      </c>
      <c r="F173" t="inlineStr">
        <is>
          <t>VÄRMLANDS LÄN</t>
        </is>
      </c>
      <c r="G173" t="inlineStr">
        <is>
          <t>KARLSTAD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44654</v>
      </c>
      <c r="E174" s="1" t="n">
        <v>46304</v>
      </c>
      <c r="F174" t="inlineStr">
        <is>
          <t>VÄRMLANDS LÄN</t>
        </is>
      </c>
      <c r="G174" t="inlineStr">
        <is>
          <t>KARLSTAD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46304</v>
      </c>
      <c r="F175" t="inlineStr">
        <is>
          <t>VÄRMLANDS LÄN</t>
        </is>
      </c>
      <c r="G175" t="inlineStr">
        <is>
          <t>KARLSTAD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46304</v>
      </c>
      <c r="F176" t="inlineStr">
        <is>
          <t>VÄRMLANDS LÄN</t>
        </is>
      </c>
      <c r="G176" t="inlineStr">
        <is>
          <t>KARLSTAD</t>
        </is>
      </c>
      <c r="H176" t="inlineStr">
        <is>
          <t>Bergvik skog väst AB</t>
        </is>
      </c>
      <c r="I176" t="n">
        <v>8.300000000000001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46304</v>
      </c>
      <c r="F177" t="inlineStr">
        <is>
          <t>VÄRMLANDS LÄN</t>
        </is>
      </c>
      <c r="G177" t="inlineStr">
        <is>
          <t>KARLSTAD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45408</v>
      </c>
      <c r="E178" s="1" t="n">
        <v>46304</v>
      </c>
      <c r="F178" t="inlineStr">
        <is>
          <t>VÄRMLANDS LÄN</t>
        </is>
      </c>
      <c r="G178" t="inlineStr">
        <is>
          <t>KARLSTAD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12103-2026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46086</v>
      </c>
      <c r="E179" s="1" t="n">
        <v>46304</v>
      </c>
      <c r="F179" t="inlineStr">
        <is>
          <t>VÄRMLANDS LÄN</t>
        </is>
      </c>
      <c r="G179" t="inlineStr">
        <is>
          <t>KARLSTAD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45751</v>
      </c>
      <c r="E180" s="1" t="n">
        <v>46304</v>
      </c>
      <c r="F180" t="inlineStr">
        <is>
          <t>VÄRMLANDS LÄN</t>
        </is>
      </c>
      <c r="G180" t="inlineStr">
        <is>
          <t>KARLSTAD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45432</v>
      </c>
      <c r="E181" s="1" t="n">
        <v>46304</v>
      </c>
      <c r="F181" t="inlineStr">
        <is>
          <t>VÄRMLANDS LÄN</t>
        </is>
      </c>
      <c r="G181" t="inlineStr">
        <is>
          <t>KARLSTAD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44855</v>
      </c>
      <c r="E182" s="1" t="n">
        <v>46304</v>
      </c>
      <c r="F182" t="inlineStr">
        <is>
          <t>VÄRMLANDS LÄN</t>
        </is>
      </c>
      <c r="G182" t="inlineStr">
        <is>
          <t>KARLSTAD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16952-2024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46304</v>
      </c>
      <c r="F183" t="inlineStr">
        <is>
          <t>VÄRMLANDS LÄN</t>
        </is>
      </c>
      <c r="G183" t="inlineStr">
        <is>
          <t>KARLSTAD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45386</v>
      </c>
      <c r="E184" s="1" t="n">
        <v>46304</v>
      </c>
      <c r="F184" t="inlineStr">
        <is>
          <t>VÄRMLANDS LÄN</t>
        </is>
      </c>
      <c r="G184" t="inlineStr">
        <is>
          <t>KARLSTAD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41654-2024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45560</v>
      </c>
      <c r="E185" s="1" t="n">
        <v>46304</v>
      </c>
      <c r="F185" t="inlineStr">
        <is>
          <t>VÄRMLANDS LÄN</t>
        </is>
      </c>
      <c r="G185" t="inlineStr">
        <is>
          <t>KARLSTAD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47349-2022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44852</v>
      </c>
      <c r="E186" s="1" t="n">
        <v>46304</v>
      </c>
      <c r="F186" t="inlineStr">
        <is>
          <t>VÄRMLANDS LÄN</t>
        </is>
      </c>
      <c r="G186" t="inlineStr">
        <is>
          <t>KARLSTAD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46304</v>
      </c>
      <c r="F187" t="inlineStr">
        <is>
          <t>VÄRMLANDS LÄN</t>
        </is>
      </c>
      <c r="G187" t="inlineStr">
        <is>
          <t>KARLSTAD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44952</v>
      </c>
      <c r="E188" s="1" t="n">
        <v>46304</v>
      </c>
      <c r="F188" t="inlineStr">
        <is>
          <t>VÄRMLANDS LÄN</t>
        </is>
      </c>
      <c r="G188" t="inlineStr">
        <is>
          <t>KARLSTAD</t>
        </is>
      </c>
      <c r="I188" t="n">
        <v>10.7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45005</v>
      </c>
      <c r="E189" s="1" t="n">
        <v>46304</v>
      </c>
      <c r="F189" t="inlineStr">
        <is>
          <t>VÄRMLANDS LÄN</t>
        </is>
      </c>
      <c r="G189" t="inlineStr">
        <is>
          <t>KARLSTAD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46335-2024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46304</v>
      </c>
      <c r="F190" t="inlineStr">
        <is>
          <t>VÄRMLANDS LÄN</t>
        </is>
      </c>
      <c r="G190" t="inlineStr">
        <is>
          <t>KARLSTAD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46304</v>
      </c>
      <c r="F191" t="inlineStr">
        <is>
          <t>VÄRMLANDS LÄN</t>
        </is>
      </c>
      <c r="G191" t="inlineStr">
        <is>
          <t>KARLSTAD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46304</v>
      </c>
      <c r="F192" t="inlineStr">
        <is>
          <t>VÄRMLANDS LÄN</t>
        </is>
      </c>
      <c r="G192" t="inlineStr">
        <is>
          <t>KARLSTAD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57780-2021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46304</v>
      </c>
      <c r="F193" t="inlineStr">
        <is>
          <t>VÄRMLANDS LÄN</t>
        </is>
      </c>
      <c r="G193" t="inlineStr">
        <is>
          <t>KARLSTAD</t>
        </is>
      </c>
      <c r="H193" t="inlineStr">
        <is>
          <t>Kommuner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45665</v>
      </c>
      <c r="E194" s="1" t="n">
        <v>46304</v>
      </c>
      <c r="F194" t="inlineStr">
        <is>
          <t>VÄRMLANDS LÄN</t>
        </is>
      </c>
      <c r="G194" t="inlineStr">
        <is>
          <t>KARLSTAD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45635</v>
      </c>
      <c r="E195" s="1" t="n">
        <v>46304</v>
      </c>
      <c r="F195" t="inlineStr">
        <is>
          <t>VÄRMLANDS LÄN</t>
        </is>
      </c>
      <c r="G195" t="inlineStr">
        <is>
          <t>KARLSTAD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46092</v>
      </c>
      <c r="E196" s="1" t="n">
        <v>46304</v>
      </c>
      <c r="F196" t="inlineStr">
        <is>
          <t>VÄRMLANDS LÄN</t>
        </is>
      </c>
      <c r="G196" t="inlineStr">
        <is>
          <t>KARLSTAD</t>
        </is>
      </c>
      <c r="H196" t="inlineStr">
        <is>
          <t>Bergvik skog väst AB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32875-2023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45112</v>
      </c>
      <c r="E197" s="1" t="n">
        <v>46304</v>
      </c>
      <c r="F197" t="inlineStr">
        <is>
          <t>VÄRMLANDS LÄN</t>
        </is>
      </c>
      <c r="G197" t="inlineStr">
        <is>
          <t>KARLSTAD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44984</v>
      </c>
      <c r="E198" s="1" t="n">
        <v>46304</v>
      </c>
      <c r="F198" t="inlineStr">
        <is>
          <t>VÄRMLANDS LÄN</t>
        </is>
      </c>
      <c r="G198" t="inlineStr">
        <is>
          <t>KARLSTAD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46304</v>
      </c>
      <c r="F199" t="inlineStr">
        <is>
          <t>VÄRMLANDS LÄN</t>
        </is>
      </c>
      <c r="G199" t="inlineStr">
        <is>
          <t>KARLSTAD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45049</v>
      </c>
      <c r="E200" s="1" t="n">
        <v>46304</v>
      </c>
      <c r="F200" t="inlineStr">
        <is>
          <t>VÄRMLANDS LÄN</t>
        </is>
      </c>
      <c r="G200" t="inlineStr">
        <is>
          <t>KARLSTAD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45785</v>
      </c>
      <c r="E201" s="1" t="n">
        <v>46304</v>
      </c>
      <c r="F201" t="inlineStr">
        <is>
          <t>VÄRMLANDS LÄN</t>
        </is>
      </c>
      <c r="G201" t="inlineStr">
        <is>
          <t>KARLSTAD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12903-2026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46092</v>
      </c>
      <c r="E202" s="1" t="n">
        <v>46304</v>
      </c>
      <c r="F202" t="inlineStr">
        <is>
          <t>VÄRMLANDS LÄN</t>
        </is>
      </c>
      <c r="G202" t="inlineStr">
        <is>
          <t>KARLSTAD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46304</v>
      </c>
      <c r="F203" t="inlineStr">
        <is>
          <t>VÄRMLANDS LÄN</t>
        </is>
      </c>
      <c r="G203" t="inlineStr">
        <is>
          <t>KARLSTAD</t>
        </is>
      </c>
      <c r="H203" t="inlineStr">
        <is>
          <t>Bergvik skog väst AB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46304</v>
      </c>
      <c r="F204" t="inlineStr">
        <is>
          <t>VÄRMLANDS LÄN</t>
        </is>
      </c>
      <c r="G204" t="inlineStr">
        <is>
          <t>KARLSTAD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46304</v>
      </c>
      <c r="F205" t="inlineStr">
        <is>
          <t>VÄRMLANDS LÄN</t>
        </is>
      </c>
      <c r="G205" t="inlineStr">
        <is>
          <t>KARLSTAD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45880</v>
      </c>
      <c r="E206" s="1" t="n">
        <v>46304</v>
      </c>
      <c r="F206" t="inlineStr">
        <is>
          <t>VÄRMLANDS LÄN</t>
        </is>
      </c>
      <c r="G206" t="inlineStr">
        <is>
          <t>KARLSTAD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37932-2025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45881</v>
      </c>
      <c r="E207" s="1" t="n">
        <v>46304</v>
      </c>
      <c r="F207" t="inlineStr">
        <is>
          <t>VÄRMLANDS LÄN</t>
        </is>
      </c>
      <c r="G207" t="inlineStr">
        <is>
          <t>KARLSTAD</t>
        </is>
      </c>
      <c r="H207" t="inlineStr">
        <is>
          <t>Bergvik skog väst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45880</v>
      </c>
      <c r="E208" s="1" t="n">
        <v>46304</v>
      </c>
      <c r="F208" t="inlineStr">
        <is>
          <t>VÄRMLANDS LÄN</t>
        </is>
      </c>
      <c r="G208" t="inlineStr">
        <is>
          <t>KARLSTAD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45629</v>
      </c>
      <c r="E209" s="1" t="n">
        <v>46304</v>
      </c>
      <c r="F209" t="inlineStr">
        <is>
          <t>VÄRMLANDS LÄN</t>
        </is>
      </c>
      <c r="G209" t="inlineStr">
        <is>
          <t>KARLSTAD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55666-2024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45622</v>
      </c>
      <c r="E210" s="1" t="n">
        <v>46304</v>
      </c>
      <c r="F210" t="inlineStr">
        <is>
          <t>VÄRMLANDS LÄN</t>
        </is>
      </c>
      <c r="G210" t="inlineStr">
        <is>
          <t>KARLSTAD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45877</v>
      </c>
      <c r="E211" s="1" t="n">
        <v>46304</v>
      </c>
      <c r="F211" t="inlineStr">
        <is>
          <t>VÄRMLANDS LÄN</t>
        </is>
      </c>
      <c r="G211" t="inlineStr">
        <is>
          <t>KARLSTAD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46304</v>
      </c>
      <c r="F212" t="inlineStr">
        <is>
          <t>VÄRMLANDS LÄN</t>
        </is>
      </c>
      <c r="G212" t="inlineStr">
        <is>
          <t>KARLSTAD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45302</v>
      </c>
      <c r="E213" s="1" t="n">
        <v>46304</v>
      </c>
      <c r="F213" t="inlineStr">
        <is>
          <t>VÄRMLANDS LÄN</t>
        </is>
      </c>
      <c r="G213" t="inlineStr">
        <is>
          <t>KARLSTAD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46304</v>
      </c>
      <c r="F214" t="inlineStr">
        <is>
          <t>VÄRMLANDS LÄN</t>
        </is>
      </c>
      <c r="G214" t="inlineStr">
        <is>
          <t>KARLSTAD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53656-2024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45615</v>
      </c>
      <c r="E215" s="1" t="n">
        <v>46304</v>
      </c>
      <c r="F215" t="inlineStr">
        <is>
          <t>VÄRMLANDS LÄN</t>
        </is>
      </c>
      <c r="G215" t="inlineStr">
        <is>
          <t>KARLSTAD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46304</v>
      </c>
      <c r="F216" t="inlineStr">
        <is>
          <t>VÄRMLANDS LÄN</t>
        </is>
      </c>
      <c r="G216" t="inlineStr">
        <is>
          <t>KARLSTAD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43400-2025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45911</v>
      </c>
      <c r="E217" s="1" t="n">
        <v>46304</v>
      </c>
      <c r="F217" t="inlineStr">
        <is>
          <t>VÄRMLANDS LÄN</t>
        </is>
      </c>
      <c r="G217" t="inlineStr">
        <is>
          <t>KARLSTAD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14433-2026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46100</v>
      </c>
      <c r="E218" s="1" t="n">
        <v>46304</v>
      </c>
      <c r="F218" t="inlineStr">
        <is>
          <t>VÄRMLANDS LÄN</t>
        </is>
      </c>
      <c r="G218" t="inlineStr">
        <is>
          <t>KARLSTAD</t>
        </is>
      </c>
      <c r="H218" t="inlineStr">
        <is>
          <t>Bergvik skog väst AB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46304</v>
      </c>
      <c r="F219" t="inlineStr">
        <is>
          <t>VÄRMLANDS LÄN</t>
        </is>
      </c>
      <c r="G219" t="inlineStr">
        <is>
          <t>KARLSTAD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44945</v>
      </c>
      <c r="E220" s="1" t="n">
        <v>46304</v>
      </c>
      <c r="F220" t="inlineStr">
        <is>
          <t>VÄRMLANDS LÄN</t>
        </is>
      </c>
      <c r="G220" t="inlineStr">
        <is>
          <t>KARLSTAD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59295-2022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46304</v>
      </c>
      <c r="F221" t="inlineStr">
        <is>
          <t>VÄRMLANDS LÄN</t>
        </is>
      </c>
      <c r="G221" t="inlineStr">
        <is>
          <t>KARLSTAD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14079-2026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46099</v>
      </c>
      <c r="E222" s="1" t="n">
        <v>46304</v>
      </c>
      <c r="F222" t="inlineStr">
        <is>
          <t>VÄRMLANDS LÄN</t>
        </is>
      </c>
      <c r="G222" t="inlineStr">
        <is>
          <t>KARLSTAD</t>
        </is>
      </c>
      <c r="H222" t="inlineStr">
        <is>
          <t>Bergvik skog väst AB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38023-2023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45160</v>
      </c>
      <c r="E223" s="1" t="n">
        <v>46304</v>
      </c>
      <c r="F223" t="inlineStr">
        <is>
          <t>VÄRMLANDS LÄN</t>
        </is>
      </c>
      <c r="G223" t="inlineStr">
        <is>
          <t>KARLSTAD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44615-2025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46304</v>
      </c>
      <c r="F224" t="inlineStr">
        <is>
          <t>VÄRMLANDS LÄN</t>
        </is>
      </c>
      <c r="G224" t="inlineStr">
        <is>
          <t>KARLSTAD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46304</v>
      </c>
      <c r="F225" t="inlineStr">
        <is>
          <t>VÄRMLANDS LÄN</t>
        </is>
      </c>
      <c r="G225" t="inlineStr">
        <is>
          <t>KARLSTAD</t>
        </is>
      </c>
      <c r="H225" t="inlineStr">
        <is>
          <t>Bergvik skog väst AB</t>
        </is>
      </c>
      <c r="I225" t="n">
        <v>10.9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68011-2021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44525</v>
      </c>
      <c r="E226" s="1" t="n">
        <v>46304</v>
      </c>
      <c r="F226" t="inlineStr">
        <is>
          <t>VÄRMLANDS LÄN</t>
        </is>
      </c>
      <c r="G226" t="inlineStr">
        <is>
          <t>KARLSTAD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46304</v>
      </c>
      <c r="F227" t="inlineStr">
        <is>
          <t>VÄRMLANDS LÄN</t>
        </is>
      </c>
      <c r="G227" t="inlineStr">
        <is>
          <t>KARLSTAD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46304</v>
      </c>
      <c r="F228" t="inlineStr">
        <is>
          <t>VÄRMLANDS LÄN</t>
        </is>
      </c>
      <c r="G228" t="inlineStr">
        <is>
          <t>KARLSTAD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60609-2023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45260</v>
      </c>
      <c r="E229" s="1" t="n">
        <v>46304</v>
      </c>
      <c r="F229" t="inlineStr">
        <is>
          <t>VÄRMLANDS LÄN</t>
        </is>
      </c>
      <c r="G229" t="inlineStr">
        <is>
          <t>KARLSTAD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45062</v>
      </c>
      <c r="E230" s="1" t="n">
        <v>46304</v>
      </c>
      <c r="F230" t="inlineStr">
        <is>
          <t>VÄRMLANDS LÄN</t>
        </is>
      </c>
      <c r="G230" t="inlineStr">
        <is>
          <t>KARLSTAD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14890-2026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46104</v>
      </c>
      <c r="E231" s="1" t="n">
        <v>46304</v>
      </c>
      <c r="F231" t="inlineStr">
        <is>
          <t>VÄRMLANDS LÄN</t>
        </is>
      </c>
      <c r="G231" t="inlineStr">
        <is>
          <t>KARLSTAD</t>
        </is>
      </c>
      <c r="H231" t="inlineStr">
        <is>
          <t>Bergvik skog väst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46304</v>
      </c>
      <c r="F232" t="inlineStr">
        <is>
          <t>VÄRMLANDS LÄN</t>
        </is>
      </c>
      <c r="G232" t="inlineStr">
        <is>
          <t>KARLSTAD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11620-2023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44994</v>
      </c>
      <c r="E233" s="1" t="n">
        <v>46304</v>
      </c>
      <c r="F233" t="inlineStr">
        <is>
          <t>VÄRMLANDS LÄN</t>
        </is>
      </c>
      <c r="G233" t="inlineStr">
        <is>
          <t>KARLSTAD</t>
        </is>
      </c>
      <c r="H233" t="inlineStr">
        <is>
          <t>Kommuner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6323-2022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44600</v>
      </c>
      <c r="E234" s="1" t="n">
        <v>46304</v>
      </c>
      <c r="F234" t="inlineStr">
        <is>
          <t>VÄRMLANDS LÄN</t>
        </is>
      </c>
      <c r="G234" t="inlineStr">
        <is>
          <t>KARLSTAD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45299</v>
      </c>
      <c r="E235" s="1" t="n">
        <v>46304</v>
      </c>
      <c r="F235" t="inlineStr">
        <is>
          <t>VÄRMLANDS LÄN</t>
        </is>
      </c>
      <c r="G235" t="inlineStr">
        <is>
          <t>KARLSTAD</t>
        </is>
      </c>
      <c r="I235" t="n">
        <v>10.9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46304</v>
      </c>
      <c r="F236" t="inlineStr">
        <is>
          <t>VÄRMLANDS LÄN</t>
        </is>
      </c>
      <c r="G236" t="inlineStr">
        <is>
          <t>KARLSTAD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44816</v>
      </c>
      <c r="E237" s="1" t="n">
        <v>46304</v>
      </c>
      <c r="F237" t="inlineStr">
        <is>
          <t>VÄRMLANDS LÄN</t>
        </is>
      </c>
      <c r="G237" t="inlineStr">
        <is>
          <t>KARLSTAD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46304</v>
      </c>
      <c r="F238" t="inlineStr">
        <is>
          <t>VÄRMLANDS LÄN</t>
        </is>
      </c>
      <c r="G238" t="inlineStr">
        <is>
          <t>KARLSTAD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46304</v>
      </c>
      <c r="F239" t="inlineStr">
        <is>
          <t>VÄRMLANDS LÄN</t>
        </is>
      </c>
      <c r="G239" t="inlineStr">
        <is>
          <t>KARLSTAD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46304</v>
      </c>
      <c r="F240" t="inlineStr">
        <is>
          <t>VÄRMLANDS LÄN</t>
        </is>
      </c>
      <c r="G240" t="inlineStr">
        <is>
          <t>KARLSTAD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15772-2026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46107</v>
      </c>
      <c r="E241" s="1" t="n">
        <v>46304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46304</v>
      </c>
      <c r="F242" t="inlineStr">
        <is>
          <t>VÄRMLANDS LÄN</t>
        </is>
      </c>
      <c r="G242" t="inlineStr">
        <is>
          <t>KARLSTAD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46107</v>
      </c>
      <c r="E243" s="1" t="n">
        <v>46304</v>
      </c>
      <c r="F243" t="inlineStr">
        <is>
          <t>VÄRMLANDS LÄN</t>
        </is>
      </c>
      <c r="G243" t="inlineStr">
        <is>
          <t>KARLSTAD</t>
        </is>
      </c>
      <c r="H243" t="inlineStr">
        <is>
          <t>Bergvik skog väst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34321-2024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45524</v>
      </c>
      <c r="E244" s="1" t="n">
        <v>46304</v>
      </c>
      <c r="F244" t="inlineStr">
        <is>
          <t>VÄRMLANDS LÄN</t>
        </is>
      </c>
      <c r="G244" t="inlineStr">
        <is>
          <t>KARLSTAD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45322</v>
      </c>
      <c r="E245" s="1" t="n">
        <v>46304</v>
      </c>
      <c r="F245" t="inlineStr">
        <is>
          <t>VÄRMLANDS LÄN</t>
        </is>
      </c>
      <c r="G245" t="inlineStr">
        <is>
          <t>KARLSTAD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47608-2023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45203</v>
      </c>
      <c r="E246" s="1" t="n">
        <v>46304</v>
      </c>
      <c r="F246" t="inlineStr">
        <is>
          <t>VÄRMLANDS LÄN</t>
        </is>
      </c>
      <c r="G246" t="inlineStr">
        <is>
          <t>KARLSTAD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46304</v>
      </c>
      <c r="F247" t="inlineStr">
        <is>
          <t>VÄRMLANDS LÄN</t>
        </is>
      </c>
      <c r="G247" t="inlineStr">
        <is>
          <t>KARLSTAD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50312-2025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45944</v>
      </c>
      <c r="E248" s="1" t="n">
        <v>46304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50501-2025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45945</v>
      </c>
      <c r="E249" s="1" t="n">
        <v>46304</v>
      </c>
      <c r="F249" t="inlineStr">
        <is>
          <t>VÄRMLANDS LÄN</t>
        </is>
      </c>
      <c r="G249" t="inlineStr">
        <is>
          <t>KARLSTAD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46114</v>
      </c>
      <c r="E250" s="1" t="n">
        <v>46304</v>
      </c>
      <c r="F250" t="inlineStr">
        <is>
          <t>VÄRMLANDS LÄN</t>
        </is>
      </c>
      <c r="G250" t="inlineStr">
        <is>
          <t>KARLSTAD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45729</v>
      </c>
      <c r="E251" s="1" t="n">
        <v>46304</v>
      </c>
      <c r="F251" t="inlineStr">
        <is>
          <t>VÄRMLANDS LÄN</t>
        </is>
      </c>
      <c r="G251" t="inlineStr">
        <is>
          <t>KARLSTAD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62225-2021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46304</v>
      </c>
      <c r="F252" t="inlineStr">
        <is>
          <t>VÄRMLANDS LÄN</t>
        </is>
      </c>
      <c r="G252" t="inlineStr">
        <is>
          <t>KARLSTAD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44876</v>
      </c>
      <c r="E253" s="1" t="n">
        <v>46304</v>
      </c>
      <c r="F253" t="inlineStr">
        <is>
          <t>VÄRMLANDS LÄN</t>
        </is>
      </c>
      <c r="G253" t="inlineStr">
        <is>
          <t>KARLSTAD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7491-2022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44607</v>
      </c>
      <c r="E254" s="1" t="n">
        <v>46304</v>
      </c>
      <c r="F254" t="inlineStr">
        <is>
          <t>VÄRMLANDS LÄN</t>
        </is>
      </c>
      <c r="G254" t="inlineStr">
        <is>
          <t>KARLSTAD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11700-2022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44634</v>
      </c>
      <c r="E255" s="1" t="n">
        <v>46304</v>
      </c>
      <c r="F255" t="inlineStr">
        <is>
          <t>VÄRMLANDS LÄN</t>
        </is>
      </c>
      <c r="G255" t="inlineStr">
        <is>
          <t>KARLSTAD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66642-2021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44519</v>
      </c>
      <c r="E256" s="1" t="n">
        <v>46304</v>
      </c>
      <c r="F256" t="inlineStr">
        <is>
          <t>VÄRMLANDS LÄN</t>
        </is>
      </c>
      <c r="G256" t="inlineStr">
        <is>
          <t>KARLSTAD</t>
        </is>
      </c>
      <c r="I256" t="n">
        <v>18.2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4373-2022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44589</v>
      </c>
      <c r="E257" s="1" t="n">
        <v>46304</v>
      </c>
      <c r="F257" t="inlineStr">
        <is>
          <t>VÄRMLANDS LÄN</t>
        </is>
      </c>
      <c r="G257" t="inlineStr">
        <is>
          <t>KARLSTAD</t>
        </is>
      </c>
      <c r="H257" t="inlineStr">
        <is>
          <t>Bergvik skog väst AB</t>
        </is>
      </c>
      <c r="I257" t="n">
        <v>17.9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45196</v>
      </c>
      <c r="E258" s="1" t="n">
        <v>46304</v>
      </c>
      <c r="F258" t="inlineStr">
        <is>
          <t>VÄRMLANDS LÄN</t>
        </is>
      </c>
      <c r="G258" t="inlineStr">
        <is>
          <t>KARLSTAD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56327-2023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45243</v>
      </c>
      <c r="E259" s="1" t="n">
        <v>46304</v>
      </c>
      <c r="F259" t="inlineStr">
        <is>
          <t>VÄRMLANDS LÄN</t>
        </is>
      </c>
      <c r="G259" t="inlineStr">
        <is>
          <t>KARLSTAD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44664</v>
      </c>
      <c r="E260" s="1" t="n">
        <v>46304</v>
      </c>
      <c r="F260" t="inlineStr">
        <is>
          <t>VÄRMLANDS LÄN</t>
        </is>
      </c>
      <c r="G260" t="inlineStr">
        <is>
          <t>KARLSTAD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45260</v>
      </c>
      <c r="E261" s="1" t="n">
        <v>46304</v>
      </c>
      <c r="F261" t="inlineStr">
        <is>
          <t>VÄRMLANDS LÄN</t>
        </is>
      </c>
      <c r="G261" t="inlineStr">
        <is>
          <t>KARLSTAD</t>
        </is>
      </c>
      <c r="I261" t="n">
        <v>10.4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46967-2023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45201</v>
      </c>
      <c r="E262" s="1" t="n">
        <v>46304</v>
      </c>
      <c r="F262" t="inlineStr">
        <is>
          <t>VÄRMLANDS LÄN</t>
        </is>
      </c>
      <c r="G262" t="inlineStr">
        <is>
          <t>KARLSTAD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45299</v>
      </c>
      <c r="E263" s="1" t="n">
        <v>46304</v>
      </c>
      <c r="F263" t="inlineStr">
        <is>
          <t>VÄRMLANDS LÄN</t>
        </is>
      </c>
      <c r="G263" t="inlineStr">
        <is>
          <t>KARLSTAD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46304</v>
      </c>
      <c r="F264" t="inlineStr">
        <is>
          <t>VÄRMLANDS LÄN</t>
        </is>
      </c>
      <c r="G264" t="inlineStr">
        <is>
          <t>KARLSTAD</t>
        </is>
      </c>
      <c r="H264" t="inlineStr">
        <is>
          <t>Bergvik skog väst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46304</v>
      </c>
      <c r="F265" t="inlineStr">
        <is>
          <t>VÄRMLANDS LÄN</t>
        </is>
      </c>
      <c r="G265" t="inlineStr">
        <is>
          <t>KARLSTAD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36399-2023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45149</v>
      </c>
      <c r="E266" s="1" t="n">
        <v>46304</v>
      </c>
      <c r="F266" t="inlineStr">
        <is>
          <t>VÄRMLANDS LÄN</t>
        </is>
      </c>
      <c r="G266" t="inlineStr">
        <is>
          <t>KARLSTAD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44938</v>
      </c>
      <c r="E267" s="1" t="n">
        <v>46304</v>
      </c>
      <c r="F267" t="inlineStr">
        <is>
          <t>VÄRMLANDS LÄN</t>
        </is>
      </c>
      <c r="G267" t="inlineStr">
        <is>
          <t>KARLSTAD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46304</v>
      </c>
      <c r="F268" t="inlineStr">
        <is>
          <t>VÄRMLANDS LÄN</t>
        </is>
      </c>
      <c r="G268" t="inlineStr">
        <is>
          <t>KARLSTAD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45623</v>
      </c>
      <c r="E269" s="1" t="n">
        <v>46304</v>
      </c>
      <c r="F269" t="inlineStr">
        <is>
          <t>VÄRMLANDS LÄN</t>
        </is>
      </c>
      <c r="G269" t="inlineStr">
        <is>
          <t>KARLSTAD</t>
        </is>
      </c>
      <c r="I269" t="n">
        <v>8.699999999999999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46304</v>
      </c>
      <c r="F270" t="inlineStr">
        <is>
          <t>VÄRMLANDS LÄN</t>
        </is>
      </c>
      <c r="G270" t="inlineStr">
        <is>
          <t>KARLSTAD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9405-2025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45715</v>
      </c>
      <c r="E271" s="1" t="n">
        <v>46304</v>
      </c>
      <c r="F271" t="inlineStr">
        <is>
          <t>VÄRMLANDS LÄN</t>
        </is>
      </c>
      <c r="G271" t="inlineStr">
        <is>
          <t>KARLSTAD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45141</v>
      </c>
      <c r="E272" s="1" t="n">
        <v>46304</v>
      </c>
      <c r="F272" t="inlineStr">
        <is>
          <t>VÄRMLANDS LÄN</t>
        </is>
      </c>
      <c r="G272" t="inlineStr">
        <is>
          <t>KARLSTAD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45141</v>
      </c>
      <c r="E273" s="1" t="n">
        <v>46304</v>
      </c>
      <c r="F273" t="inlineStr">
        <is>
          <t>VÄRMLANDS LÄN</t>
        </is>
      </c>
      <c r="G273" t="inlineStr">
        <is>
          <t>KARLSTAD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56795-2025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46304</v>
      </c>
      <c r="F274" t="inlineStr">
        <is>
          <t>VÄRMLANDS LÄN</t>
        </is>
      </c>
      <c r="G274" t="inlineStr">
        <is>
          <t>KARLSTAD</t>
        </is>
      </c>
      <c r="H274" t="inlineStr">
        <is>
          <t>Naturvårdsverket</t>
        </is>
      </c>
      <c r="I274" t="n">
        <v>16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46304</v>
      </c>
      <c r="F275" t="inlineStr">
        <is>
          <t>VÄRMLANDS LÄN</t>
        </is>
      </c>
      <c r="G275" t="inlineStr">
        <is>
          <t>KARLSTAD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46304</v>
      </c>
      <c r="F276" t="inlineStr">
        <is>
          <t>VÄRMLANDS LÄN</t>
        </is>
      </c>
      <c r="G276" t="inlineStr">
        <is>
          <t>KARLSTAD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46304</v>
      </c>
      <c r="F277" t="inlineStr">
        <is>
          <t>VÄRMLANDS LÄN</t>
        </is>
      </c>
      <c r="G277" t="inlineStr">
        <is>
          <t>KARLSTAD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46304</v>
      </c>
      <c r="F278" t="inlineStr">
        <is>
          <t>VÄRMLANDS LÄN</t>
        </is>
      </c>
      <c r="G278" t="inlineStr">
        <is>
          <t>KARLSTAD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  <c r="Z278">
        <f>HYPERLINK("https://klasma.github.io/Logging_1780/knärot/A 57466-2025 karta knärot.png", "A 57466-2025")</f>
        <v/>
      </c>
      <c r="AA278">
        <f>HYPERLINK("https://klasma.github.io/Logging_1780/klagomål/A 57466-2025 FSC-klagomål.docx", "A 57466-2025")</f>
        <v/>
      </c>
      <c r="AB278">
        <f>HYPERLINK("https://klasma.github.io/Logging_1780/klagomålsmail/A 57466-2025 FSC-klagomål mail.docx", "A 57466-2025")</f>
        <v/>
      </c>
      <c r="AC278">
        <f>HYPERLINK("https://klasma.github.io/Logging_1780/tillsyn/A 57466-2025 tillsynsbegäran.docx", "A 57466-2025")</f>
        <v/>
      </c>
      <c r="AD278">
        <f>HYPERLINK("https://klasma.github.io/Logging_1780/tillsynsmail/A 57466-2025 tillsynsbegäran mail.docx", "A 57466-2025")</f>
        <v/>
      </c>
    </row>
    <row r="279" ht="15" customHeight="1">
      <c r="A279" t="inlineStr">
        <is>
          <t>A 29550-2023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45098</v>
      </c>
      <c r="E279" s="1" t="n">
        <v>46304</v>
      </c>
      <c r="F279" t="inlineStr">
        <is>
          <t>VÄRMLANDS LÄN</t>
        </is>
      </c>
      <c r="G279" t="inlineStr">
        <is>
          <t>KARLSTAD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33807-2024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45520</v>
      </c>
      <c r="E280" s="1" t="n">
        <v>46304</v>
      </c>
      <c r="F280" t="inlineStr">
        <is>
          <t>VÄRMLANDS LÄN</t>
        </is>
      </c>
      <c r="G280" t="inlineStr">
        <is>
          <t>KARLSTAD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46304</v>
      </c>
      <c r="F281" t="inlineStr">
        <is>
          <t>VÄRMLANDS LÄN</t>
        </is>
      </c>
      <c r="G281" t="inlineStr">
        <is>
          <t>KARLSTAD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46304</v>
      </c>
      <c r="F282" t="inlineStr">
        <is>
          <t>VÄRMLANDS LÄN</t>
        </is>
      </c>
      <c r="G282" t="inlineStr">
        <is>
          <t>KARLSTAD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61009-2023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45261</v>
      </c>
      <c r="E283" s="1" t="n">
        <v>46304</v>
      </c>
      <c r="F283" t="inlineStr">
        <is>
          <t>VÄRMLANDS LÄN</t>
        </is>
      </c>
      <c r="G283" t="inlineStr">
        <is>
          <t>KARLSTAD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45729</v>
      </c>
      <c r="E284" s="1" t="n">
        <v>46304</v>
      </c>
      <c r="F284" t="inlineStr">
        <is>
          <t>VÄRMLANDS LÄN</t>
        </is>
      </c>
      <c r="G284" t="inlineStr">
        <is>
          <t>KARLSTAD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46304</v>
      </c>
      <c r="F285" t="inlineStr">
        <is>
          <t>VÄRMLANDS LÄN</t>
        </is>
      </c>
      <c r="G285" t="inlineStr">
        <is>
          <t>KARLSTAD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50955-2025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45946</v>
      </c>
      <c r="E286" s="1" t="n">
        <v>46304</v>
      </c>
      <c r="F286" t="inlineStr">
        <is>
          <t>VÄRMLANDS LÄN</t>
        </is>
      </c>
      <c r="G286" t="inlineStr">
        <is>
          <t>KARLSTAD</t>
        </is>
      </c>
      <c r="I286" t="n">
        <v>10.3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42684-2025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46304</v>
      </c>
      <c r="F287" t="inlineStr">
        <is>
          <t>VÄRMLANDS LÄN</t>
        </is>
      </c>
      <c r="G287" t="inlineStr">
        <is>
          <t>KARLSTAD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45734</v>
      </c>
      <c r="E288" s="1" t="n">
        <v>46304</v>
      </c>
      <c r="F288" t="inlineStr">
        <is>
          <t>VÄRMLANDS LÄN</t>
        </is>
      </c>
      <c r="G288" t="inlineStr">
        <is>
          <t>KARLSTAD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28201-2023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46304</v>
      </c>
      <c r="F289" t="inlineStr">
        <is>
          <t>VÄRMLANDS LÄN</t>
        </is>
      </c>
      <c r="G289" t="inlineStr">
        <is>
          <t>KARLSTAD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46304</v>
      </c>
      <c r="F290" t="inlineStr">
        <is>
          <t>VÄRMLANDS LÄN</t>
        </is>
      </c>
      <c r="G290" t="inlineStr">
        <is>
          <t>KARLSTAD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15733-2023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45020</v>
      </c>
      <c r="E291" s="1" t="n">
        <v>46304</v>
      </c>
      <c r="F291" t="inlineStr">
        <is>
          <t>VÄRMLANDS LÄN</t>
        </is>
      </c>
      <c r="G291" t="inlineStr">
        <is>
          <t>KARLSTAD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51760-2023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45222</v>
      </c>
      <c r="E292" s="1" t="n">
        <v>46304</v>
      </c>
      <c r="F292" t="inlineStr">
        <is>
          <t>VÄRMLANDS LÄN</t>
        </is>
      </c>
      <c r="G292" t="inlineStr">
        <is>
          <t>KARLSTAD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60434-2025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45995</v>
      </c>
      <c r="E293" s="1" t="n">
        <v>46304</v>
      </c>
      <c r="F293" t="inlineStr">
        <is>
          <t>VÄRMLANDS LÄN</t>
        </is>
      </c>
      <c r="G293" t="inlineStr">
        <is>
          <t>KARLSTAD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45187</v>
      </c>
      <c r="E294" s="1" t="n">
        <v>46304</v>
      </c>
      <c r="F294" t="inlineStr">
        <is>
          <t>VÄRMLANDS LÄN</t>
        </is>
      </c>
      <c r="G294" t="inlineStr">
        <is>
          <t>KARLSTAD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45836</v>
      </c>
      <c r="E295" s="1" t="n">
        <v>46304</v>
      </c>
      <c r="F295" t="inlineStr">
        <is>
          <t>VÄRMLANDS LÄN</t>
        </is>
      </c>
      <c r="G295" t="inlineStr">
        <is>
          <t>KARLSTAD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29359-2023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45106</v>
      </c>
      <c r="E296" s="1" t="n">
        <v>46304</v>
      </c>
      <c r="F296" t="inlineStr">
        <is>
          <t>VÄRMLANDS LÄN</t>
        </is>
      </c>
      <c r="G296" t="inlineStr">
        <is>
          <t>KARLSTAD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45751</v>
      </c>
      <c r="E297" s="1" t="n">
        <v>46304</v>
      </c>
      <c r="F297" t="inlineStr">
        <is>
          <t>VÄRMLANDS LÄN</t>
        </is>
      </c>
      <c r="G297" t="inlineStr">
        <is>
          <t>KARLSTAD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18471-2022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44686</v>
      </c>
      <c r="E298" s="1" t="n">
        <v>46304</v>
      </c>
      <c r="F298" t="inlineStr">
        <is>
          <t>VÄRMLANDS LÄN</t>
        </is>
      </c>
      <c r="G298" t="inlineStr">
        <is>
          <t>KARLSTAD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46304</v>
      </c>
      <c r="F299" t="inlineStr">
        <is>
          <t>VÄRMLANDS LÄN</t>
        </is>
      </c>
      <c r="G299" t="inlineStr">
        <is>
          <t>KARLSTAD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46304</v>
      </c>
      <c r="F300" t="inlineStr">
        <is>
          <t>VÄRMLANDS LÄN</t>
        </is>
      </c>
      <c r="G300" t="inlineStr">
        <is>
          <t>KARLSTAD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65086-2023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45288</v>
      </c>
      <c r="E301" s="1" t="n">
        <v>46304</v>
      </c>
      <c r="F301" t="inlineStr">
        <is>
          <t>VÄRMLANDS LÄN</t>
        </is>
      </c>
      <c r="G301" t="inlineStr">
        <is>
          <t>KARLSTAD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46304</v>
      </c>
      <c r="F302" t="inlineStr">
        <is>
          <t>VÄRMLANDS LÄN</t>
        </is>
      </c>
      <c r="G302" t="inlineStr">
        <is>
          <t>KARLSTAD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46304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45641</v>
      </c>
      <c r="E304" s="1" t="n">
        <v>46304</v>
      </c>
      <c r="F304" t="inlineStr">
        <is>
          <t>VÄRMLANDS LÄN</t>
        </is>
      </c>
      <c r="G304" t="inlineStr">
        <is>
          <t>KARLSTAD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61673-2025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46002</v>
      </c>
      <c r="E305" s="1" t="n">
        <v>46304</v>
      </c>
      <c r="F305" t="inlineStr">
        <is>
          <t>VÄRMLANDS LÄN</t>
        </is>
      </c>
      <c r="G305" t="inlineStr">
        <is>
          <t>KARLSTAD</t>
        </is>
      </c>
      <c r="H305" t="inlineStr">
        <is>
          <t>Naturvårdsverket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70127-2021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44533</v>
      </c>
      <c r="E306" s="1" t="n">
        <v>46304</v>
      </c>
      <c r="F306" t="inlineStr">
        <is>
          <t>VÄRMLANDS LÄN</t>
        </is>
      </c>
      <c r="G306" t="inlineStr">
        <is>
          <t>KARLSTAD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45320</v>
      </c>
      <c r="E307" s="1" t="n">
        <v>46304</v>
      </c>
      <c r="F307" t="inlineStr">
        <is>
          <t>VÄRMLANDS LÄN</t>
        </is>
      </c>
      <c r="G307" t="inlineStr">
        <is>
          <t>KARLSTAD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35879-2023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46304</v>
      </c>
      <c r="F308" t="inlineStr">
        <is>
          <t>VÄRMLANDS LÄN</t>
        </is>
      </c>
      <c r="G308" t="inlineStr">
        <is>
          <t>KARLSTAD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45877</v>
      </c>
      <c r="E309" s="1" t="n">
        <v>46304</v>
      </c>
      <c r="F309" t="inlineStr">
        <is>
          <t>VÄRMLANDS LÄN</t>
        </is>
      </c>
      <c r="G309" t="inlineStr">
        <is>
          <t>KARLSTAD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45308</v>
      </c>
      <c r="E310" s="1" t="n">
        <v>46304</v>
      </c>
      <c r="F310" t="inlineStr">
        <is>
          <t>VÄRMLANDS LÄN</t>
        </is>
      </c>
      <c r="G310" t="inlineStr">
        <is>
          <t>KARLSTAD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44666</v>
      </c>
      <c r="E311" s="1" t="n">
        <v>46304</v>
      </c>
      <c r="F311" t="inlineStr">
        <is>
          <t>VÄRMLANDS LÄN</t>
        </is>
      </c>
      <c r="G311" t="inlineStr">
        <is>
          <t>KARLSTAD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46304</v>
      </c>
      <c r="F312" t="inlineStr">
        <is>
          <t>VÄRMLANDS LÄN</t>
        </is>
      </c>
      <c r="G312" t="inlineStr">
        <is>
          <t>KARLSTAD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41510-2023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45175</v>
      </c>
      <c r="E313" s="1" t="n">
        <v>46304</v>
      </c>
      <c r="F313" t="inlineStr">
        <is>
          <t>VÄRMLANDS LÄN</t>
        </is>
      </c>
      <c r="G313" t="inlineStr">
        <is>
          <t>KARLSTAD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45382</v>
      </c>
      <c r="E314" s="1" t="n">
        <v>46304</v>
      </c>
      <c r="F314" t="inlineStr">
        <is>
          <t>VÄRMLANDS LÄN</t>
        </is>
      </c>
      <c r="G314" t="inlineStr">
        <is>
          <t>KARLSTAD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46304</v>
      </c>
      <c r="F315" t="inlineStr">
        <is>
          <t>VÄRMLANDS LÄN</t>
        </is>
      </c>
      <c r="G315" t="inlineStr">
        <is>
          <t>KARLSTAD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24772-2025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45799</v>
      </c>
      <c r="E316" s="1" t="n">
        <v>46304</v>
      </c>
      <c r="F316" t="inlineStr">
        <is>
          <t>VÄRMLANDS LÄN</t>
        </is>
      </c>
      <c r="G316" t="inlineStr">
        <is>
          <t>KARLSTAD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46304</v>
      </c>
      <c r="F317" t="inlineStr">
        <is>
          <t>VÄRMLANDS LÄN</t>
        </is>
      </c>
      <c r="G317" t="inlineStr">
        <is>
          <t>KARLSTAD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45824</v>
      </c>
      <c r="E318" s="1" t="n">
        <v>46304</v>
      </c>
      <c r="F318" t="inlineStr">
        <is>
          <t>VÄRMLANDS LÄN</t>
        </is>
      </c>
      <c r="G318" t="inlineStr">
        <is>
          <t>KARLSTAD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21094-2023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45061</v>
      </c>
      <c r="E319" s="1" t="n">
        <v>46304</v>
      </c>
      <c r="F319" t="inlineStr">
        <is>
          <t>VÄRMLANDS LÄN</t>
        </is>
      </c>
      <c r="G319" t="inlineStr">
        <is>
          <t>KARLSTAD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72772-2021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44547</v>
      </c>
      <c r="E320" s="1" t="n">
        <v>46304</v>
      </c>
      <c r="F320" t="inlineStr">
        <is>
          <t>VÄRMLANDS LÄN</t>
        </is>
      </c>
      <c r="G320" t="inlineStr">
        <is>
          <t>KARLSTAD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45092</v>
      </c>
      <c r="E321" s="1" t="n">
        <v>46304</v>
      </c>
      <c r="F321" t="inlineStr">
        <is>
          <t>VÄRMLANDS LÄN</t>
        </is>
      </c>
      <c r="G321" t="inlineStr">
        <is>
          <t>KARLSTAD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63825-2025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46020</v>
      </c>
      <c r="E322" s="1" t="n">
        <v>46304</v>
      </c>
      <c r="F322" t="inlineStr">
        <is>
          <t>VÄRMLANDS LÄN</t>
        </is>
      </c>
      <c r="G322" t="inlineStr">
        <is>
          <t>KARLSTAD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46304</v>
      </c>
      <c r="F323" t="inlineStr">
        <is>
          <t>VÄRMLANDS LÄN</t>
        </is>
      </c>
      <c r="G323" t="inlineStr">
        <is>
          <t>KARLSTAD</t>
        </is>
      </c>
      <c r="H323" t="inlineStr">
        <is>
          <t>Naturvårdsverket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46304</v>
      </c>
      <c r="F324" t="inlineStr">
        <is>
          <t>VÄRMLANDS LÄN</t>
        </is>
      </c>
      <c r="G324" t="inlineStr">
        <is>
          <t>KARLSTAD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50236-2024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45600</v>
      </c>
      <c r="E325" s="1" t="n">
        <v>46304</v>
      </c>
      <c r="F325" t="inlineStr">
        <is>
          <t>VÄRMLANDS LÄN</t>
        </is>
      </c>
      <c r="G325" t="inlineStr">
        <is>
          <t>KARLSTAD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72072-2021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44544</v>
      </c>
      <c r="E326" s="1" t="n">
        <v>46304</v>
      </c>
      <c r="F326" t="inlineStr">
        <is>
          <t>VÄRMLANDS LÄN</t>
        </is>
      </c>
      <c r="G326" t="inlineStr">
        <is>
          <t>KARLSTAD</t>
        </is>
      </c>
      <c r="H326" t="inlineStr">
        <is>
          <t>Kommuner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45755</v>
      </c>
      <c r="E327" s="1" t="n">
        <v>46304</v>
      </c>
      <c r="F327" t="inlineStr">
        <is>
          <t>VÄRMLANDS LÄN</t>
        </is>
      </c>
      <c r="G327" t="inlineStr">
        <is>
          <t>KARLSTAD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44937</v>
      </c>
      <c r="E328" s="1" t="n">
        <v>46304</v>
      </c>
      <c r="F328" t="inlineStr">
        <is>
          <t>VÄRMLANDS LÄN</t>
        </is>
      </c>
      <c r="G328" t="inlineStr">
        <is>
          <t>KARLSTAD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45761</v>
      </c>
      <c r="E329" s="1" t="n">
        <v>46304</v>
      </c>
      <c r="F329" t="inlineStr">
        <is>
          <t>VÄRMLANDS LÄN</t>
        </is>
      </c>
      <c r="G329" t="inlineStr">
        <is>
          <t>KARLSTAD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11179-2022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44629</v>
      </c>
      <c r="E330" s="1" t="n">
        <v>46304</v>
      </c>
      <c r="F330" t="inlineStr">
        <is>
          <t>VÄRMLANDS LÄN</t>
        </is>
      </c>
      <c r="G330" t="inlineStr">
        <is>
          <t>KARLSTAD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11370-2023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44985</v>
      </c>
      <c r="E331" s="1" t="n">
        <v>46304</v>
      </c>
      <c r="F331" t="inlineStr">
        <is>
          <t>VÄRMLANDS LÄN</t>
        </is>
      </c>
      <c r="G331" t="inlineStr">
        <is>
          <t>KARLSTAD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46304</v>
      </c>
      <c r="F332" t="inlineStr">
        <is>
          <t>VÄRMLANDS LÄN</t>
        </is>
      </c>
      <c r="G332" t="inlineStr">
        <is>
          <t>KARLSTAD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46304</v>
      </c>
      <c r="F333" t="inlineStr">
        <is>
          <t>VÄRMLANDS LÄN</t>
        </is>
      </c>
      <c r="G333" t="inlineStr">
        <is>
          <t>KARLSTAD</t>
        </is>
      </c>
      <c r="H333" t="inlineStr">
        <is>
          <t>Kyrkan</t>
        </is>
      </c>
      <c r="I333" t="n">
        <v>7.3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46304</v>
      </c>
      <c r="F334" t="inlineStr">
        <is>
          <t>VÄRMLANDS LÄN</t>
        </is>
      </c>
      <c r="G334" t="inlineStr">
        <is>
          <t>KARLSTAD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46304</v>
      </c>
      <c r="F335" t="inlineStr">
        <is>
          <t>VÄRMLANDS LÄN</t>
        </is>
      </c>
      <c r="G335" t="inlineStr">
        <is>
          <t>KARLSTAD</t>
        </is>
      </c>
      <c r="H335" t="inlineStr">
        <is>
          <t>Kyrkan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57445-2022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44896</v>
      </c>
      <c r="E336" s="1" t="n">
        <v>46304</v>
      </c>
      <c r="F336" t="inlineStr">
        <is>
          <t>VÄRMLANDS LÄN</t>
        </is>
      </c>
      <c r="G336" t="inlineStr">
        <is>
          <t>KARLSTAD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45187</v>
      </c>
      <c r="E337" s="1" t="n">
        <v>46304</v>
      </c>
      <c r="F337" t="inlineStr">
        <is>
          <t>VÄRMLANDS LÄN</t>
        </is>
      </c>
      <c r="G337" t="inlineStr">
        <is>
          <t>KARLSTAD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42174-2025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46304</v>
      </c>
      <c r="F338" t="inlineStr">
        <is>
          <t>VÄRMLANDS LÄN</t>
        </is>
      </c>
      <c r="G338" t="inlineStr">
        <is>
          <t>KARLSTAD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45111</v>
      </c>
      <c r="E339" s="1" t="n">
        <v>46304</v>
      </c>
      <c r="F339" t="inlineStr">
        <is>
          <t>VÄRMLANDS LÄN</t>
        </is>
      </c>
      <c r="G339" t="inlineStr">
        <is>
          <t>KARLSTAD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60724-2022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44913</v>
      </c>
      <c r="E340" s="1" t="n">
        <v>46304</v>
      </c>
      <c r="F340" t="inlineStr">
        <is>
          <t>VÄRMLANDS LÄN</t>
        </is>
      </c>
      <c r="G340" t="inlineStr">
        <is>
          <t>KARLSTAD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46304</v>
      </c>
      <c r="F341" t="inlineStr">
        <is>
          <t>VÄRMLANDS LÄN</t>
        </is>
      </c>
      <c r="G341" t="inlineStr">
        <is>
          <t>KARLSTAD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46304</v>
      </c>
      <c r="F342" t="inlineStr">
        <is>
          <t>VÄRMLANDS LÄN</t>
        </is>
      </c>
      <c r="G342" t="inlineStr">
        <is>
          <t>KARLSTAD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16560-2022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44672</v>
      </c>
      <c r="E343" s="1" t="n">
        <v>46304</v>
      </c>
      <c r="F343" t="inlineStr">
        <is>
          <t>VÄRMLANDS LÄN</t>
        </is>
      </c>
      <c r="G343" t="inlineStr">
        <is>
          <t>KARLSTAD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45217</v>
      </c>
      <c r="E344" s="1" t="n">
        <v>46304</v>
      </c>
      <c r="F344" t="inlineStr">
        <is>
          <t>VÄRMLANDS LÄN</t>
        </is>
      </c>
      <c r="G344" t="inlineStr">
        <is>
          <t>KARLSTAD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44573</v>
      </c>
      <c r="E345" s="1" t="n">
        <v>46304</v>
      </c>
      <c r="F345" t="inlineStr">
        <is>
          <t>VÄRMLANDS LÄN</t>
        </is>
      </c>
      <c r="G345" t="inlineStr">
        <is>
          <t>KARLSTAD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46091</v>
      </c>
      <c r="E346" s="1" t="n">
        <v>46304</v>
      </c>
      <c r="F346" t="inlineStr">
        <is>
          <t>VÄRMLANDS LÄN</t>
        </is>
      </c>
      <c r="G346" t="inlineStr">
        <is>
          <t>KARLSTAD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46304</v>
      </c>
      <c r="F347" t="inlineStr">
        <is>
          <t>VÄRMLANDS LÄN</t>
        </is>
      </c>
      <c r="G347" t="inlineStr">
        <is>
          <t>KARLSTAD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46304</v>
      </c>
      <c r="F348" t="inlineStr">
        <is>
          <t>VÄRMLANDS LÄN</t>
        </is>
      </c>
      <c r="G348" t="inlineStr">
        <is>
          <t>KARLSTAD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46304</v>
      </c>
      <c r="F349" t="inlineStr">
        <is>
          <t>VÄRMLANDS LÄN</t>
        </is>
      </c>
      <c r="G349" t="inlineStr">
        <is>
          <t>KARLSTAD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46304</v>
      </c>
      <c r="F350" t="inlineStr">
        <is>
          <t>VÄRMLANDS LÄN</t>
        </is>
      </c>
      <c r="G350" t="inlineStr">
        <is>
          <t>KARLSTAD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46051</v>
      </c>
      <c r="E351" s="1" t="n">
        <v>46304</v>
      </c>
      <c r="F351" t="inlineStr">
        <is>
          <t>VÄRMLANDS LÄN</t>
        </is>
      </c>
      <c r="G351" t="inlineStr">
        <is>
          <t>KARLSTAD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54292-2024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45617</v>
      </c>
      <c r="E352" s="1" t="n">
        <v>46304</v>
      </c>
      <c r="F352" t="inlineStr">
        <is>
          <t>VÄRMLANDS LÄN</t>
        </is>
      </c>
      <c r="G352" t="inlineStr">
        <is>
          <t>KARLSTAD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12611-2024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45382</v>
      </c>
      <c r="E353" s="1" t="n">
        <v>46304</v>
      </c>
      <c r="F353" t="inlineStr">
        <is>
          <t>VÄRMLANDS LÄN</t>
        </is>
      </c>
      <c r="G353" t="inlineStr">
        <is>
          <t>KARLSTAD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45635</v>
      </c>
      <c r="E354" s="1" t="n">
        <v>46304</v>
      </c>
      <c r="F354" t="inlineStr">
        <is>
          <t>VÄRMLANDS LÄN</t>
        </is>
      </c>
      <c r="G354" t="inlineStr">
        <is>
          <t>KARLSTAD</t>
        </is>
      </c>
      <c r="I354" t="n">
        <v>18.5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45796</v>
      </c>
      <c r="E355" s="1" t="n">
        <v>46304</v>
      </c>
      <c r="F355" t="inlineStr">
        <is>
          <t>VÄRMLANDS LÄN</t>
        </is>
      </c>
      <c r="G355" t="inlineStr">
        <is>
          <t>KARLSTAD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45721</v>
      </c>
      <c r="E356" s="1" t="n">
        <v>46304</v>
      </c>
      <c r="F356" t="inlineStr">
        <is>
          <t>VÄRMLANDS LÄN</t>
        </is>
      </c>
      <c r="G356" t="inlineStr">
        <is>
          <t>KARLSTAD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57587-2024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45630</v>
      </c>
      <c r="E357" s="1" t="n">
        <v>46304</v>
      </c>
      <c r="F357" t="inlineStr">
        <is>
          <t>VÄRMLANDS LÄN</t>
        </is>
      </c>
      <c r="G357" t="inlineStr">
        <is>
          <t>KARLSTAD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64061-2023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45279</v>
      </c>
      <c r="E358" s="1" t="n">
        <v>46304</v>
      </c>
      <c r="F358" t="inlineStr">
        <is>
          <t>VÄRMLANDS LÄN</t>
        </is>
      </c>
      <c r="G358" t="inlineStr">
        <is>
          <t>KARLSTAD</t>
        </is>
      </c>
      <c r="I358" t="n">
        <v>9.300000000000001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45688</v>
      </c>
      <c r="E359" s="1" t="n">
        <v>46304</v>
      </c>
      <c r="F359" t="inlineStr">
        <is>
          <t>VÄRMLANDS LÄN</t>
        </is>
      </c>
      <c r="G359" t="inlineStr">
        <is>
          <t>KARLSTAD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9075-2026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46069</v>
      </c>
      <c r="E360" s="1" t="n">
        <v>46304</v>
      </c>
      <c r="F360" t="inlineStr">
        <is>
          <t>VÄRMLANDS LÄN</t>
        </is>
      </c>
      <c r="G360" t="inlineStr">
        <is>
          <t>KARLSTAD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61441-2024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45646</v>
      </c>
      <c r="E361" s="1" t="n">
        <v>46304</v>
      </c>
      <c r="F361" t="inlineStr">
        <is>
          <t>VÄRMLANDS LÄN</t>
        </is>
      </c>
      <c r="G361" t="inlineStr">
        <is>
          <t>KARLSTAD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24648-2022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44727</v>
      </c>
      <c r="E362" s="1" t="n">
        <v>46304</v>
      </c>
      <c r="F362" t="inlineStr">
        <is>
          <t>VÄRMLANDS LÄN</t>
        </is>
      </c>
      <c r="G362" t="inlineStr">
        <is>
          <t>KARLSTAD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46304</v>
      </c>
      <c r="F363" t="inlineStr">
        <is>
          <t>VÄRMLANDS LÄN</t>
        </is>
      </c>
      <c r="G363" t="inlineStr">
        <is>
          <t>KARLSTAD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8642-2026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46304</v>
      </c>
      <c r="F364" t="inlineStr">
        <is>
          <t>VÄRMLANDS LÄN</t>
        </is>
      </c>
      <c r="G364" t="inlineStr">
        <is>
          <t>KARLSTAD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45096</v>
      </c>
      <c r="E365" s="1" t="n">
        <v>46304</v>
      </c>
      <c r="F365" t="inlineStr">
        <is>
          <t>VÄRMLANDS LÄN</t>
        </is>
      </c>
      <c r="G365" t="inlineStr">
        <is>
          <t>KARLSTAD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45231-2024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45575</v>
      </c>
      <c r="E366" s="1" t="n">
        <v>46304</v>
      </c>
      <c r="F366" t="inlineStr">
        <is>
          <t>VÄRMLANDS LÄN</t>
        </is>
      </c>
      <c r="G366" t="inlineStr">
        <is>
          <t>KARLSTAD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26323-2022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44735</v>
      </c>
      <c r="E367" s="1" t="n">
        <v>46304</v>
      </c>
      <c r="F367" t="inlineStr">
        <is>
          <t>VÄRMLANDS LÄN</t>
        </is>
      </c>
      <c r="G367" t="inlineStr">
        <is>
          <t>KARLSTAD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11342-2026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46082</v>
      </c>
      <c r="E368" s="1" t="n">
        <v>46304</v>
      </c>
      <c r="F368" t="inlineStr">
        <is>
          <t>VÄRMLANDS LÄN</t>
        </is>
      </c>
      <c r="G368" t="inlineStr">
        <is>
          <t>KARLSTAD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53038-2022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44873</v>
      </c>
      <c r="E369" s="1" t="n">
        <v>46304</v>
      </c>
      <c r="F369" t="inlineStr">
        <is>
          <t>VÄRMLANDS LÄN</t>
        </is>
      </c>
      <c r="G369" t="inlineStr">
        <is>
          <t>KARLSTAD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20855-2026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46142</v>
      </c>
      <c r="E370" s="1" t="n">
        <v>46304</v>
      </c>
      <c r="F370" t="inlineStr">
        <is>
          <t>VÄRMLANDS LÄN</t>
        </is>
      </c>
      <c r="G370" t="inlineStr">
        <is>
          <t>KARLSTAD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21220-2026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46304</v>
      </c>
      <c r="F371" t="inlineStr">
        <is>
          <t>VÄRMLANDS LÄN</t>
        </is>
      </c>
      <c r="G371" t="inlineStr">
        <is>
          <t>KARLSTAD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21217-2026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46304</v>
      </c>
      <c r="F372" t="inlineStr">
        <is>
          <t>VÄRMLANDS LÄN</t>
        </is>
      </c>
      <c r="G372" t="inlineStr">
        <is>
          <t>KARLSTAD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46304</v>
      </c>
      <c r="F373" t="inlineStr">
        <is>
          <t>VÄRMLANDS LÄN</t>
        </is>
      </c>
      <c r="G373" t="inlineStr">
        <is>
          <t>KARLSTAD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52799-2023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45219</v>
      </c>
      <c r="E374" s="1" t="n">
        <v>46304</v>
      </c>
      <c r="F374" t="inlineStr">
        <is>
          <t>VÄRMLANDS LÄN</t>
        </is>
      </c>
      <c r="G374" t="inlineStr">
        <is>
          <t>KARLSTAD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63282-2023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45273</v>
      </c>
      <c r="E375" s="1" t="n">
        <v>46304</v>
      </c>
      <c r="F375" t="inlineStr">
        <is>
          <t>VÄRMLANDS LÄN</t>
        </is>
      </c>
      <c r="G375" t="inlineStr">
        <is>
          <t>KARLSTAD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55250-2022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44887</v>
      </c>
      <c r="E376" s="1" t="n">
        <v>46304</v>
      </c>
      <c r="F376" t="inlineStr">
        <is>
          <t>VÄRMLANDS LÄN</t>
        </is>
      </c>
      <c r="G376" t="inlineStr">
        <is>
          <t>KARLSTAD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18356-2023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45041</v>
      </c>
      <c r="E377" s="1" t="n">
        <v>46304</v>
      </c>
      <c r="F377" t="inlineStr">
        <is>
          <t>VÄRMLANDS LÄN</t>
        </is>
      </c>
      <c r="G377" t="inlineStr">
        <is>
          <t>KARLSTAD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5448-2022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44594</v>
      </c>
      <c r="E378" s="1" t="n">
        <v>46304</v>
      </c>
      <c r="F378" t="inlineStr">
        <is>
          <t>VÄRMLANDS LÄN</t>
        </is>
      </c>
      <c r="G378" t="inlineStr">
        <is>
          <t>KARLSTAD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27569-2024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45474</v>
      </c>
      <c r="E379" s="1" t="n">
        <v>46304</v>
      </c>
      <c r="F379" t="inlineStr">
        <is>
          <t>VÄRMLANDS LÄN</t>
        </is>
      </c>
      <c r="G379" t="inlineStr">
        <is>
          <t>KARLSTAD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46176-2024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45581</v>
      </c>
      <c r="E380" s="1" t="n">
        <v>46304</v>
      </c>
      <c r="F380" t="inlineStr">
        <is>
          <t>VÄRMLANDS LÄN</t>
        </is>
      </c>
      <c r="G380" t="inlineStr">
        <is>
          <t>KARLSTAD</t>
        </is>
      </c>
      <c r="H380" t="inlineStr">
        <is>
          <t>Bergvik skog väst AB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19089-2025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45767</v>
      </c>
      <c r="E381" s="1" t="n">
        <v>46304</v>
      </c>
      <c r="F381" t="inlineStr">
        <is>
          <t>VÄRMLANDS LÄN</t>
        </is>
      </c>
      <c r="G381" t="inlineStr">
        <is>
          <t>KARLSTAD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45068</v>
      </c>
      <c r="E382" s="1" t="n">
        <v>46304</v>
      </c>
      <c r="F382" t="inlineStr">
        <is>
          <t>VÄRMLANDS LÄN</t>
        </is>
      </c>
      <c r="G382" t="inlineStr">
        <is>
          <t>KARLSTAD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66322-2021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44518</v>
      </c>
      <c r="E383" s="1" t="n">
        <v>46304</v>
      </c>
      <c r="F383" t="inlineStr">
        <is>
          <t>VÄRMLANDS LÄN</t>
        </is>
      </c>
      <c r="G383" t="inlineStr">
        <is>
          <t>KARLSTAD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46304</v>
      </c>
      <c r="F384" t="inlineStr">
        <is>
          <t>VÄRMLANDS LÄN</t>
        </is>
      </c>
      <c r="G384" t="inlineStr">
        <is>
          <t>KARLSTAD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22258-2026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46154</v>
      </c>
      <c r="E385" s="1" t="n">
        <v>46304</v>
      </c>
      <c r="F385" t="inlineStr">
        <is>
          <t>VÄRMLANDS LÄN</t>
        </is>
      </c>
      <c r="G385" t="inlineStr">
        <is>
          <t>KARLSTAD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22302-2026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46154</v>
      </c>
      <c r="E386" s="1" t="n">
        <v>46304</v>
      </c>
      <c r="F386" t="inlineStr">
        <is>
          <t>VÄRMLANDS LÄN</t>
        </is>
      </c>
      <c r="G386" t="inlineStr">
        <is>
          <t>KARLSTAD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2135-2022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44578</v>
      </c>
      <c r="E387" s="1" t="n">
        <v>46304</v>
      </c>
      <c r="F387" t="inlineStr">
        <is>
          <t>VÄRMLANDS LÄN</t>
        </is>
      </c>
      <c r="G387" t="inlineStr">
        <is>
          <t>KARLSTAD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46109-2024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45581</v>
      </c>
      <c r="E388" s="1" t="n">
        <v>46304</v>
      </c>
      <c r="F388" t="inlineStr">
        <is>
          <t>VÄRMLANDS LÄN</t>
        </is>
      </c>
      <c r="G388" t="inlineStr">
        <is>
          <t>KARLSTAD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32433-2023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45120</v>
      </c>
      <c r="E389" s="1" t="n">
        <v>46304</v>
      </c>
      <c r="F389" t="inlineStr">
        <is>
          <t>VÄRMLANDS LÄN</t>
        </is>
      </c>
      <c r="G389" t="inlineStr">
        <is>
          <t>KARLSTAD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12029-2023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44995</v>
      </c>
      <c r="E390" s="1" t="n">
        <v>46304</v>
      </c>
      <c r="F390" t="inlineStr">
        <is>
          <t>VÄRMLANDS LÄN</t>
        </is>
      </c>
      <c r="G390" t="inlineStr">
        <is>
          <t>KARLSTAD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48777-2025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46304</v>
      </c>
      <c r="F391" t="inlineStr">
        <is>
          <t>VÄRMLANDS LÄN</t>
        </is>
      </c>
      <c r="G391" t="inlineStr">
        <is>
          <t>KARLSTAD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37076-2023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45154</v>
      </c>
      <c r="E392" s="1" t="n">
        <v>46304</v>
      </c>
      <c r="F392" t="inlineStr">
        <is>
          <t>VÄRMLANDS LÄN</t>
        </is>
      </c>
      <c r="G392" t="inlineStr">
        <is>
          <t>KARLSTAD</t>
        </is>
      </c>
      <c r="H392" t="inlineStr">
        <is>
          <t>Övriga statliga verk och myndigheter</t>
        </is>
      </c>
      <c r="I392" t="n">
        <v>11.6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35867-2025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45861</v>
      </c>
      <c r="E393" s="1" t="n">
        <v>46304</v>
      </c>
      <c r="F393" t="inlineStr">
        <is>
          <t>VÄRMLANDS LÄN</t>
        </is>
      </c>
      <c r="G393" t="inlineStr">
        <is>
          <t>KARLSTAD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65085-2023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45288</v>
      </c>
      <c r="E394" s="1" t="n">
        <v>46304</v>
      </c>
      <c r="F394" t="inlineStr">
        <is>
          <t>VÄRMLANDS LÄN</t>
        </is>
      </c>
      <c r="G394" t="inlineStr">
        <is>
          <t>KARLSTAD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44979</v>
      </c>
      <c r="E395" s="1" t="n">
        <v>46304</v>
      </c>
      <c r="F395" t="inlineStr">
        <is>
          <t>VÄRMLANDS LÄN</t>
        </is>
      </c>
      <c r="G395" t="inlineStr">
        <is>
          <t>KARLSTAD</t>
        </is>
      </c>
      <c r="H395" t="inlineStr">
        <is>
          <t>Kyrkan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45175</v>
      </c>
      <c r="E396" s="1" t="n">
        <v>46304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Aktiebolag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4071-2023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44952</v>
      </c>
      <c r="E397" s="1" t="n">
        <v>46304</v>
      </c>
      <c r="F397" t="inlineStr">
        <is>
          <t>VÄRMLANDS LÄN</t>
        </is>
      </c>
      <c r="G397" t="inlineStr">
        <is>
          <t>KARLSTAD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45546</v>
      </c>
      <c r="E398" s="1" t="n">
        <v>46304</v>
      </c>
      <c r="F398" t="inlineStr">
        <is>
          <t>VÄRMLANDS LÄN</t>
        </is>
      </c>
      <c r="G398" t="inlineStr">
        <is>
          <t>KARLSTAD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46304</v>
      </c>
      <c r="F399" t="inlineStr">
        <is>
          <t>VÄRMLANDS LÄN</t>
        </is>
      </c>
      <c r="G399" t="inlineStr">
        <is>
          <t>KARLSTAD</t>
        </is>
      </c>
      <c r="I399" t="n">
        <v>21.7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44593</v>
      </c>
      <c r="E400" s="1" t="n">
        <v>46304</v>
      </c>
      <c r="F400" t="inlineStr">
        <is>
          <t>VÄRMLANDS LÄN</t>
        </is>
      </c>
      <c r="G400" t="inlineStr">
        <is>
          <t>KARLSTAD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44945</v>
      </c>
      <c r="E401" s="1" t="n">
        <v>46304</v>
      </c>
      <c r="F401" t="inlineStr">
        <is>
          <t>VÄRMLANDS LÄN</t>
        </is>
      </c>
      <c r="G401" t="inlineStr">
        <is>
          <t>KARLSTAD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59626-2021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44491</v>
      </c>
      <c r="E402" s="1" t="n">
        <v>46304</v>
      </c>
      <c r="F402" t="inlineStr">
        <is>
          <t>VÄRMLANDS LÄN</t>
        </is>
      </c>
      <c r="G402" t="inlineStr">
        <is>
          <t>KARLSTAD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17364-2023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46304</v>
      </c>
      <c r="F403" t="inlineStr">
        <is>
          <t>VÄRMLANDS LÄN</t>
        </is>
      </c>
      <c r="G403" t="inlineStr">
        <is>
          <t>KARLSTAD</t>
        </is>
      </c>
      <c r="H403" t="inlineStr">
        <is>
          <t>Kommuner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46304</v>
      </c>
      <c r="F404" t="inlineStr">
        <is>
          <t>VÄRMLANDS LÄN</t>
        </is>
      </c>
      <c r="G404" t="inlineStr">
        <is>
          <t>KARLSTAD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10931-2025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45723</v>
      </c>
      <c r="E405" s="1" t="n">
        <v>46304</v>
      </c>
      <c r="F405" t="inlineStr">
        <is>
          <t>VÄRMLANDS LÄN</t>
        </is>
      </c>
      <c r="G405" t="inlineStr">
        <is>
          <t>KARLSTAD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46304</v>
      </c>
      <c r="F406" t="inlineStr">
        <is>
          <t>VÄRMLANDS LÄN</t>
        </is>
      </c>
      <c r="G406" t="inlineStr">
        <is>
          <t>KARLSTAD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61102-2023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45260</v>
      </c>
      <c r="E407" s="1" t="n">
        <v>46304</v>
      </c>
      <c r="F407" t="inlineStr">
        <is>
          <t>VÄRMLANDS LÄN</t>
        </is>
      </c>
      <c r="G407" t="inlineStr">
        <is>
          <t>KARLSTAD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51088-2023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45218</v>
      </c>
      <c r="E408" s="1" t="n">
        <v>46304</v>
      </c>
      <c r="F408" t="inlineStr">
        <is>
          <t>VÄRMLANDS LÄN</t>
        </is>
      </c>
      <c r="G408" t="inlineStr">
        <is>
          <t>KARLSTAD</t>
        </is>
      </c>
      <c r="I408" t="n">
        <v>9.800000000000001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5535-2022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44595</v>
      </c>
      <c r="E409" s="1" t="n">
        <v>46304</v>
      </c>
      <c r="F409" t="inlineStr">
        <is>
          <t>VÄRMLANDS LÄN</t>
        </is>
      </c>
      <c r="G409" t="inlineStr">
        <is>
          <t>KARLSTAD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13745-2022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44649</v>
      </c>
      <c r="E410" s="1" t="n">
        <v>46304</v>
      </c>
      <c r="F410" t="inlineStr">
        <is>
          <t>VÄRMLANDS LÄN</t>
        </is>
      </c>
      <c r="G410" t="inlineStr">
        <is>
          <t>KARLSTAD</t>
        </is>
      </c>
      <c r="H410" t="inlineStr">
        <is>
          <t>Bergvik skog väst AB</t>
        </is>
      </c>
      <c r="I410" t="n">
        <v>20.8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46304</v>
      </c>
      <c r="F411" t="inlineStr">
        <is>
          <t>VÄRMLANDS LÄN</t>
        </is>
      </c>
      <c r="G411" t="inlineStr">
        <is>
          <t>KARLSTAD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46019-2023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45196</v>
      </c>
      <c r="E412" s="1" t="n">
        <v>46304</v>
      </c>
      <c r="F412" t="inlineStr">
        <is>
          <t>VÄRMLANDS LÄN</t>
        </is>
      </c>
      <c r="G412" t="inlineStr">
        <is>
          <t>KARLSTAD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46304</v>
      </c>
      <c r="F413" t="inlineStr">
        <is>
          <t>VÄRMLANDS LÄN</t>
        </is>
      </c>
      <c r="G413" t="inlineStr">
        <is>
          <t>KARLSTAD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45630</v>
      </c>
      <c r="E414" s="1" t="n">
        <v>46304</v>
      </c>
      <c r="F414" t="inlineStr">
        <is>
          <t>VÄRMLANDS LÄN</t>
        </is>
      </c>
      <c r="G414" t="inlineStr">
        <is>
          <t>KARLSTAD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8212-2025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45707</v>
      </c>
      <c r="E415" s="1" t="n">
        <v>46304</v>
      </c>
      <c r="F415" t="inlineStr">
        <is>
          <t>VÄRMLANDS LÄN</t>
        </is>
      </c>
      <c r="G415" t="inlineStr">
        <is>
          <t>KARLSTAD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46304</v>
      </c>
      <c r="F416" t="inlineStr">
        <is>
          <t>VÄRMLANDS LÄN</t>
        </is>
      </c>
      <c r="G416" t="inlineStr">
        <is>
          <t>KARLSTAD</t>
        </is>
      </c>
      <c r="H416" t="inlineStr">
        <is>
          <t>Bergvik skog väst AB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25796-2026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46304</v>
      </c>
      <c r="F417" t="inlineStr">
        <is>
          <t>VÄRMLANDS LÄN</t>
        </is>
      </c>
      <c r="G417" t="inlineStr">
        <is>
          <t>KARLSTAD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23114-2024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45450</v>
      </c>
      <c r="E418" s="1" t="n">
        <v>46304</v>
      </c>
      <c r="F418" t="inlineStr">
        <is>
          <t>VÄRMLANDS LÄN</t>
        </is>
      </c>
      <c r="G418" t="inlineStr">
        <is>
          <t>KARLSTAD</t>
        </is>
      </c>
      <c r="I418" t="n">
        <v>10.7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46304</v>
      </c>
      <c r="F419" t="inlineStr">
        <is>
          <t>VÄRMLANDS LÄN</t>
        </is>
      </c>
      <c r="G419" t="inlineStr">
        <is>
          <t>KARLSTAD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26076-2026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46304</v>
      </c>
      <c r="F420" t="inlineStr">
        <is>
          <t>VÄRMLANDS LÄN</t>
        </is>
      </c>
      <c r="G420" t="inlineStr">
        <is>
          <t>KARLSTAD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46304</v>
      </c>
      <c r="F421" t="inlineStr">
        <is>
          <t>VÄRMLANDS LÄN</t>
        </is>
      </c>
      <c r="G421" t="inlineStr">
        <is>
          <t>KARLSTAD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11053-2024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45370</v>
      </c>
      <c r="E422" s="1" t="n">
        <v>46304</v>
      </c>
      <c r="F422" t="inlineStr">
        <is>
          <t>VÄRMLANDS LÄN</t>
        </is>
      </c>
      <c r="G422" t="inlineStr">
        <is>
          <t>KARLSTAD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60025-2023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46304</v>
      </c>
      <c r="F423" t="inlineStr">
        <is>
          <t>VÄRMLANDS LÄN</t>
        </is>
      </c>
      <c r="G423" t="inlineStr">
        <is>
          <t>KARLSTAD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26078-2026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46304</v>
      </c>
      <c r="F424" t="inlineStr">
        <is>
          <t>VÄRMLANDS LÄN</t>
        </is>
      </c>
      <c r="G424" t="inlineStr">
        <is>
          <t>KARLSTAD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10511-2024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45366</v>
      </c>
      <c r="E425" s="1" t="n">
        <v>46304</v>
      </c>
      <c r="F425" t="inlineStr">
        <is>
          <t>VÄRMLANDS LÄN</t>
        </is>
      </c>
      <c r="G425" t="inlineStr">
        <is>
          <t>KARLSTAD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44566</v>
      </c>
      <c r="E426" s="1" t="n">
        <v>46304</v>
      </c>
      <c r="F426" t="inlineStr">
        <is>
          <t>VÄRMLANDS LÄN</t>
        </is>
      </c>
      <c r="G426" t="inlineStr">
        <is>
          <t>KARLSTAD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28056-2023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45099</v>
      </c>
      <c r="E427" s="1" t="n">
        <v>46304</v>
      </c>
      <c r="F427" t="inlineStr">
        <is>
          <t>VÄRMLANDS LÄN</t>
        </is>
      </c>
      <c r="G427" t="inlineStr">
        <is>
          <t>KARLSTAD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39958-2023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45168</v>
      </c>
      <c r="E428" s="1" t="n">
        <v>46304</v>
      </c>
      <c r="F428" t="inlineStr">
        <is>
          <t>VÄRMLANDS LÄN</t>
        </is>
      </c>
      <c r="G428" t="inlineStr">
        <is>
          <t>KARLSTAD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45757-2022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44846</v>
      </c>
      <c r="E429" s="1" t="n">
        <v>46304</v>
      </c>
      <c r="F429" t="inlineStr">
        <is>
          <t>VÄRMLANDS LÄN</t>
        </is>
      </c>
      <c r="G429" t="inlineStr">
        <is>
          <t>KARLSTAD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25799-2022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44708</v>
      </c>
      <c r="E430" s="1" t="n">
        <v>46304</v>
      </c>
      <c r="F430" t="inlineStr">
        <is>
          <t>VÄRMLANDS LÄN</t>
        </is>
      </c>
      <c r="G430" t="inlineStr">
        <is>
          <t>KARLSTAD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46304</v>
      </c>
      <c r="F431" t="inlineStr">
        <is>
          <t>VÄRMLANDS LÄN</t>
        </is>
      </c>
      <c r="G431" t="inlineStr">
        <is>
          <t>KARLSTAD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44986</v>
      </c>
      <c r="E432" s="1" t="n">
        <v>46304</v>
      </c>
      <c r="F432" t="inlineStr">
        <is>
          <t>VÄRMLANDS LÄN</t>
        </is>
      </c>
      <c r="G432" t="inlineStr">
        <is>
          <t>KARLSTAD</t>
        </is>
      </c>
      <c r="H432" t="inlineStr">
        <is>
          <t>Kommuner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46304</v>
      </c>
      <c r="F433" t="inlineStr">
        <is>
          <t>VÄRMLANDS LÄN</t>
        </is>
      </c>
      <c r="G433" t="inlineStr">
        <is>
          <t>KARLSTAD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46304</v>
      </c>
      <c r="F434" t="inlineStr">
        <is>
          <t>VÄRMLANDS LÄN</t>
        </is>
      </c>
      <c r="G434" t="inlineStr">
        <is>
          <t>KARLSTAD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42465-2024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45565</v>
      </c>
      <c r="E435" s="1" t="n">
        <v>46304</v>
      </c>
      <c r="F435" t="inlineStr">
        <is>
          <t>VÄRMLANDS LÄN</t>
        </is>
      </c>
      <c r="G435" t="inlineStr">
        <is>
          <t>KARLSTAD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46304</v>
      </c>
      <c r="F436" t="inlineStr">
        <is>
          <t>VÄRMLANDS LÄN</t>
        </is>
      </c>
      <c r="G436" t="inlineStr">
        <is>
          <t>KARLSTAD</t>
        </is>
      </c>
      <c r="I436" t="n">
        <v>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14320-2023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45012</v>
      </c>
      <c r="E437" s="1" t="n">
        <v>46304</v>
      </c>
      <c r="F437" t="inlineStr">
        <is>
          <t>VÄRMLANDS LÄN</t>
        </is>
      </c>
      <c r="G437" t="inlineStr">
        <is>
          <t>KARLSTAD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51663-2023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46304</v>
      </c>
      <c r="F438" t="inlineStr">
        <is>
          <t>VÄRMLANDS LÄN</t>
        </is>
      </c>
      <c r="G438" t="inlineStr">
        <is>
          <t>KARLSTAD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69008-2021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44530</v>
      </c>
      <c r="E439" s="1" t="n">
        <v>46304</v>
      </c>
      <c r="F439" t="inlineStr">
        <is>
          <t>VÄRMLANDS LÄN</t>
        </is>
      </c>
      <c r="G439" t="inlineStr">
        <is>
          <t>KARLSTAD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38933-2023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45163</v>
      </c>
      <c r="E440" s="1" t="n">
        <v>46304</v>
      </c>
      <c r="F440" t="inlineStr">
        <is>
          <t>VÄRMLANDS LÄN</t>
        </is>
      </c>
      <c r="G440" t="inlineStr">
        <is>
          <t>KARLSTAD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22798-2022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44715</v>
      </c>
      <c r="E441" s="1" t="n">
        <v>46304</v>
      </c>
      <c r="F441" t="inlineStr">
        <is>
          <t>VÄRMLANDS LÄN</t>
        </is>
      </c>
      <c r="G441" t="inlineStr">
        <is>
          <t>KARLSTAD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38883-2023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45163</v>
      </c>
      <c r="E442" s="1" t="n">
        <v>46304</v>
      </c>
      <c r="F442" t="inlineStr">
        <is>
          <t>VÄRMLANDS LÄN</t>
        </is>
      </c>
      <c r="G442" t="inlineStr">
        <is>
          <t>KARLSTAD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45544</v>
      </c>
      <c r="E443" s="1" t="n">
        <v>46304</v>
      </c>
      <c r="F443" t="inlineStr">
        <is>
          <t>VÄRMLANDS LÄN</t>
        </is>
      </c>
      <c r="G443" t="inlineStr">
        <is>
          <t>KARLSTAD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58456-2022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44902</v>
      </c>
      <c r="E444" s="1" t="n">
        <v>46304</v>
      </c>
      <c r="F444" t="inlineStr">
        <is>
          <t>VÄRMLANDS LÄN</t>
        </is>
      </c>
      <c r="G444" t="inlineStr">
        <is>
          <t>KARLSTAD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43545-2023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45184</v>
      </c>
      <c r="E445" s="1" t="n">
        <v>46304</v>
      </c>
      <c r="F445" t="inlineStr">
        <is>
          <t>VÄRMLANDS LÄN</t>
        </is>
      </c>
      <c r="G445" t="inlineStr">
        <is>
          <t>KARLSTAD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54669-2024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45618</v>
      </c>
      <c r="E446" s="1" t="n">
        <v>46304</v>
      </c>
      <c r="F446" t="inlineStr">
        <is>
          <t>VÄRMLANDS LÄN</t>
        </is>
      </c>
      <c r="G446" t="inlineStr">
        <is>
          <t>KARLSTAD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61108-2023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45260</v>
      </c>
      <c r="E447" s="1" t="n">
        <v>46304</v>
      </c>
      <c r="F447" t="inlineStr">
        <is>
          <t>VÄRMLANDS LÄN</t>
        </is>
      </c>
      <c r="G447" t="inlineStr">
        <is>
          <t>KARLSTAD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22409-2023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45070</v>
      </c>
      <c r="E448" s="1" t="n">
        <v>46304</v>
      </c>
      <c r="F448" t="inlineStr">
        <is>
          <t>VÄRMLANDS LÄN</t>
        </is>
      </c>
      <c r="G448" t="inlineStr">
        <is>
          <t>KARLSTAD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44999</v>
      </c>
      <c r="E449" s="1" t="n">
        <v>46304</v>
      </c>
      <c r="F449" t="inlineStr">
        <is>
          <t>VÄRMLANDS LÄN</t>
        </is>
      </c>
      <c r="G449" t="inlineStr">
        <is>
          <t>KARLSTAD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46304</v>
      </c>
      <c r="F450" t="inlineStr">
        <is>
          <t>VÄRMLANDS LÄN</t>
        </is>
      </c>
      <c r="G450" t="inlineStr">
        <is>
          <t>KARLSTAD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46204</v>
      </c>
      <c r="E451" s="1" t="n">
        <v>46304</v>
      </c>
      <c r="F451" t="inlineStr">
        <is>
          <t>VÄRMLANDS LÄN</t>
        </is>
      </c>
      <c r="G451" t="inlineStr">
        <is>
          <t>KARLSTAD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45204</v>
      </c>
      <c r="E452" s="1" t="n">
        <v>46304</v>
      </c>
      <c r="F452" t="inlineStr">
        <is>
          <t>VÄRMLANDS LÄN</t>
        </is>
      </c>
      <c r="G452" t="inlineStr">
        <is>
          <t>KARLSTAD</t>
        </is>
      </c>
      <c r="H452" t="inlineStr">
        <is>
          <t>Kommuner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29899-2026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46304</v>
      </c>
      <c r="F453" t="inlineStr">
        <is>
          <t>VÄRMLANDS LÄN</t>
        </is>
      </c>
      <c r="G453" t="inlineStr">
        <is>
          <t>KARLSTAD</t>
        </is>
      </c>
      <c r="I453" t="n">
        <v>10.7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45636</v>
      </c>
      <c r="E454" s="1" t="n">
        <v>46304</v>
      </c>
      <c r="F454" t="inlineStr">
        <is>
          <t>VÄRMLANDS LÄN</t>
        </is>
      </c>
      <c r="G454" t="inlineStr">
        <is>
          <t>KARLSTAD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19291-2023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45049</v>
      </c>
      <c r="E455" s="1" t="n">
        <v>46304</v>
      </c>
      <c r="F455" t="inlineStr">
        <is>
          <t>VÄRMLANDS LÄN</t>
        </is>
      </c>
      <c r="G455" t="inlineStr">
        <is>
          <t>KARLSTAD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50478-2024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45601</v>
      </c>
      <c r="E456" s="1" t="n">
        <v>46304</v>
      </c>
      <c r="F456" t="inlineStr">
        <is>
          <t>VÄRMLANDS LÄN</t>
        </is>
      </c>
      <c r="G456" t="inlineStr">
        <is>
          <t>KARLSTAD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16312-2023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45028</v>
      </c>
      <c r="E457" s="1" t="n">
        <v>46304</v>
      </c>
      <c r="F457" t="inlineStr">
        <is>
          <t>VÄRMLANDS LÄN</t>
        </is>
      </c>
      <c r="G457" t="inlineStr">
        <is>
          <t>KARLSTAD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19666-2023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45051</v>
      </c>
      <c r="E458" s="1" t="n">
        <v>46304</v>
      </c>
      <c r="F458" t="inlineStr">
        <is>
          <t>VÄRMLANDS LÄN</t>
        </is>
      </c>
      <c r="G458" t="inlineStr">
        <is>
          <t>KARLSTAD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45390</v>
      </c>
      <c r="E459" s="1" t="n">
        <v>46304</v>
      </c>
      <c r="F459" t="inlineStr">
        <is>
          <t>VÄRMLANDS LÄN</t>
        </is>
      </c>
      <c r="G459" t="inlineStr">
        <is>
          <t>KARLSTAD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13853-2024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45390</v>
      </c>
      <c r="E460" s="1" t="n">
        <v>46304</v>
      </c>
      <c r="F460" t="inlineStr">
        <is>
          <t>VÄRMLANDS LÄN</t>
        </is>
      </c>
      <c r="G460" t="inlineStr">
        <is>
          <t>KARLSTAD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45688</v>
      </c>
      <c r="E461" s="1" t="n">
        <v>46304</v>
      </c>
      <c r="F461" t="inlineStr">
        <is>
          <t>VÄRMLANDS LÄN</t>
        </is>
      </c>
      <c r="G461" t="inlineStr">
        <is>
          <t>KARLSTAD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45258</v>
      </c>
      <c r="E462" s="1" t="n">
        <v>46304</v>
      </c>
      <c r="F462" t="inlineStr">
        <is>
          <t>VÄRMLANDS LÄN</t>
        </is>
      </c>
      <c r="G462" t="inlineStr">
        <is>
          <t>KARLSTAD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11697-2022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44634</v>
      </c>
      <c r="E463" s="1" t="n">
        <v>46304</v>
      </c>
      <c r="F463" t="inlineStr">
        <is>
          <t>VÄRMLANDS LÄN</t>
        </is>
      </c>
      <c r="G463" t="inlineStr">
        <is>
          <t>KARLSTAD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45524</v>
      </c>
      <c r="E464" s="1" t="n">
        <v>46304</v>
      </c>
      <c r="F464" t="inlineStr">
        <is>
          <t>VÄRMLANDS LÄN</t>
        </is>
      </c>
      <c r="G464" t="inlineStr">
        <is>
          <t>KARLSTAD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5631-2025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45693</v>
      </c>
      <c r="E465" s="1" t="n">
        <v>46304</v>
      </c>
      <c r="F465" t="inlineStr">
        <is>
          <t>VÄRMLANDS LÄN</t>
        </is>
      </c>
      <c r="G465" t="inlineStr">
        <is>
          <t>KARLSTAD</t>
        </is>
      </c>
      <c r="H465" t="inlineStr">
        <is>
          <t>Bergvik skog väst AB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45308</v>
      </c>
      <c r="E466" s="1" t="n">
        <v>46304</v>
      </c>
      <c r="F466" t="inlineStr">
        <is>
          <t>VÄRMLANDS LÄN</t>
        </is>
      </c>
      <c r="G466" t="inlineStr">
        <is>
          <t>KARLSTAD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57322-2024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45629</v>
      </c>
      <c r="E467" s="1" t="n">
        <v>46304</v>
      </c>
      <c r="F467" t="inlineStr">
        <is>
          <t>VÄRMLANDS LÄN</t>
        </is>
      </c>
      <c r="G467" t="inlineStr">
        <is>
          <t>KARLSTAD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57449-2022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44896</v>
      </c>
      <c r="E468" s="1" t="n">
        <v>46304</v>
      </c>
      <c r="F468" t="inlineStr">
        <is>
          <t>VÄRMLANDS LÄN</t>
        </is>
      </c>
      <c r="G468" t="inlineStr">
        <is>
          <t>KARLSTAD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45641</v>
      </c>
      <c r="E469" s="1" t="n">
        <v>46304</v>
      </c>
      <c r="F469" t="inlineStr">
        <is>
          <t>VÄRMLANDS LÄN</t>
        </is>
      </c>
      <c r="G469" t="inlineStr">
        <is>
          <t>KARLSTAD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45107</v>
      </c>
      <c r="E470" s="1" t="n">
        <v>46304</v>
      </c>
      <c r="F470" t="inlineStr">
        <is>
          <t>VÄRMLANDS LÄN</t>
        </is>
      </c>
      <c r="G470" t="inlineStr">
        <is>
          <t>KARLSTAD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31415-2026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46220</v>
      </c>
      <c r="E471" s="1" t="n">
        <v>46304</v>
      </c>
      <c r="F471" t="inlineStr">
        <is>
          <t>VÄRMLANDS LÄN</t>
        </is>
      </c>
      <c r="G471" t="inlineStr">
        <is>
          <t>KARLSTAD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31391-2026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46220</v>
      </c>
      <c r="E472" s="1" t="n">
        <v>46304</v>
      </c>
      <c r="F472" t="inlineStr">
        <is>
          <t>VÄRMLANDS LÄN</t>
        </is>
      </c>
      <c r="G472" t="inlineStr">
        <is>
          <t>KARLSTAD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31474-2026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46222</v>
      </c>
      <c r="E473" s="1" t="n">
        <v>46304</v>
      </c>
      <c r="F473" t="inlineStr">
        <is>
          <t>VÄRMLANDS LÄN</t>
        </is>
      </c>
      <c r="G473" t="inlineStr">
        <is>
          <t>KARLSTAD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46222</v>
      </c>
      <c r="E474" s="1" t="n">
        <v>46304</v>
      </c>
      <c r="F474" t="inlineStr">
        <is>
          <t>VÄRMLANDS LÄN</t>
        </is>
      </c>
      <c r="G474" t="inlineStr">
        <is>
          <t>KARLSTAD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31475-2026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46222</v>
      </c>
      <c r="E475" s="1" t="n">
        <v>46304</v>
      </c>
      <c r="F475" t="inlineStr">
        <is>
          <t>VÄRMLANDS LÄN</t>
        </is>
      </c>
      <c r="G475" t="inlineStr">
        <is>
          <t>KARLSTAD</t>
        </is>
      </c>
      <c r="I475" t="n">
        <v>10.2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31470-2026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46222</v>
      </c>
      <c r="E476" s="1" t="n">
        <v>46304</v>
      </c>
      <c r="F476" t="inlineStr">
        <is>
          <t>VÄRMLANDS LÄN</t>
        </is>
      </c>
      <c r="G476" t="inlineStr">
        <is>
          <t>KARLSTAD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46222</v>
      </c>
      <c r="E477" s="1" t="n">
        <v>46304</v>
      </c>
      <c r="F477" t="inlineStr">
        <is>
          <t>VÄRMLANDS LÄN</t>
        </is>
      </c>
      <c r="G477" t="inlineStr">
        <is>
          <t>KARLSTAD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31477-2026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46222</v>
      </c>
      <c r="E478" s="1" t="n">
        <v>46304</v>
      </c>
      <c r="F478" t="inlineStr">
        <is>
          <t>VÄRMLANDS LÄN</t>
        </is>
      </c>
      <c r="G478" t="inlineStr">
        <is>
          <t>KARLSTAD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61005-2023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45261</v>
      </c>
      <c r="E479" s="1" t="n">
        <v>46304</v>
      </c>
      <c r="F479" t="inlineStr">
        <is>
          <t>VÄRMLANDS LÄN</t>
        </is>
      </c>
      <c r="G479" t="inlineStr">
        <is>
          <t>KARLSTAD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45300</v>
      </c>
      <c r="E480" s="1" t="n">
        <v>46304</v>
      </c>
      <c r="F480" t="inlineStr">
        <is>
          <t>VÄRMLANDS LÄN</t>
        </is>
      </c>
      <c r="G480" t="inlineStr">
        <is>
          <t>KARLSTAD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46220</v>
      </c>
      <c r="E481" s="1" t="n">
        <v>46304</v>
      </c>
      <c r="F481" t="inlineStr">
        <is>
          <t>VÄRMLANDS LÄN</t>
        </is>
      </c>
      <c r="G481" t="inlineStr">
        <is>
          <t>KARLSTAD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46220</v>
      </c>
      <c r="E482" s="1" t="n">
        <v>46304</v>
      </c>
      <c r="F482" t="inlineStr">
        <is>
          <t>VÄRMLANDS LÄN</t>
        </is>
      </c>
      <c r="G482" t="inlineStr">
        <is>
          <t>KARLSTAD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31426-2026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46220</v>
      </c>
      <c r="E483" s="1" t="n">
        <v>46304</v>
      </c>
      <c r="F483" t="inlineStr">
        <is>
          <t>VÄRMLANDS LÄN</t>
        </is>
      </c>
      <c r="G483" t="inlineStr">
        <is>
          <t>KARLSTAD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31430-2026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46220</v>
      </c>
      <c r="E484" s="1" t="n">
        <v>46304</v>
      </c>
      <c r="F484" t="inlineStr">
        <is>
          <t>VÄRMLANDS LÄN</t>
        </is>
      </c>
      <c r="G484" t="inlineStr">
        <is>
          <t>KARLSTAD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5056-2022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44593</v>
      </c>
      <c r="E485" s="1" t="n">
        <v>46304</v>
      </c>
      <c r="F485" t="inlineStr">
        <is>
          <t>VÄRMLANDS LÄN</t>
        </is>
      </c>
      <c r="G485" t="inlineStr">
        <is>
          <t>KARLSTAD</t>
        </is>
      </c>
      <c r="H485" t="inlineStr">
        <is>
          <t>Kommuner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33515-2023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45131</v>
      </c>
      <c r="E486" s="1" t="n">
        <v>46304</v>
      </c>
      <c r="F486" t="inlineStr">
        <is>
          <t>VÄRMLANDS LÄN</t>
        </is>
      </c>
      <c r="G486" t="inlineStr">
        <is>
          <t>KARLSTAD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60184-2023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45258</v>
      </c>
      <c r="E487" s="1" t="n">
        <v>46304</v>
      </c>
      <c r="F487" t="inlineStr">
        <is>
          <t>VÄRMLANDS LÄN</t>
        </is>
      </c>
      <c r="G487" t="inlineStr">
        <is>
          <t>KARLSTAD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60932-2024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45645</v>
      </c>
      <c r="E488" s="1" t="n">
        <v>46304</v>
      </c>
      <c r="F488" t="inlineStr">
        <is>
          <t>VÄRMLANDS LÄN</t>
        </is>
      </c>
      <c r="G488" t="inlineStr">
        <is>
          <t>KARLSTAD</t>
        </is>
      </c>
      <c r="H488" t="inlineStr">
        <is>
          <t>Bergvik skog väst AB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46029</v>
      </c>
      <c r="E489" s="1" t="n">
        <v>46304</v>
      </c>
      <c r="F489" t="inlineStr">
        <is>
          <t>VÄRMLANDS LÄN</t>
        </is>
      </c>
      <c r="G489" t="inlineStr">
        <is>
          <t>KARLSTAD</t>
        </is>
      </c>
      <c r="H489" t="inlineStr">
        <is>
          <t>Övriga statliga verk och myndigheter</t>
        </is>
      </c>
      <c r="I489" t="n">
        <v>6.8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41563-2023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46304</v>
      </c>
      <c r="F490" t="inlineStr">
        <is>
          <t>VÄRMLANDS LÄN</t>
        </is>
      </c>
      <c r="G490" t="inlineStr">
        <is>
          <t>KARLSTAD</t>
        </is>
      </c>
      <c r="H490" t="inlineStr">
        <is>
          <t>Övriga Aktiebolag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56643-2022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44893</v>
      </c>
      <c r="E491" s="1" t="n">
        <v>46304</v>
      </c>
      <c r="F491" t="inlineStr">
        <is>
          <t>VÄRMLANDS LÄN</t>
        </is>
      </c>
      <c r="G491" t="inlineStr">
        <is>
          <t>KARLSTAD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33564-2023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45118</v>
      </c>
      <c r="E492" s="1" t="n">
        <v>46304</v>
      </c>
      <c r="F492" t="inlineStr">
        <is>
          <t>VÄRMLANDS LÄN</t>
        </is>
      </c>
      <c r="G492" t="inlineStr">
        <is>
          <t>KARLSTAD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28154-2022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44746</v>
      </c>
      <c r="E493" s="1" t="n">
        <v>46304</v>
      </c>
      <c r="F493" t="inlineStr">
        <is>
          <t>VÄRMLANDS LÄN</t>
        </is>
      </c>
      <c r="G493" t="inlineStr">
        <is>
          <t>KARLSTAD</t>
        </is>
      </c>
      <c r="I493" t="n">
        <v>7.1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46272</v>
      </c>
      <c r="E494" s="1" t="n">
        <v>46304</v>
      </c>
      <c r="F494" t="inlineStr">
        <is>
          <t>VÄRMLANDS LÄN</t>
        </is>
      </c>
      <c r="G494" t="inlineStr">
        <is>
          <t>KARLSTAD</t>
        </is>
      </c>
      <c r="H494" t="inlineStr">
        <is>
          <t>Bergvik skog väst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45299</v>
      </c>
      <c r="E495" s="1" t="n">
        <v>46304</v>
      </c>
      <c r="F495" t="inlineStr">
        <is>
          <t>VÄRMLANDS LÄN</t>
        </is>
      </c>
      <c r="G495" t="inlineStr">
        <is>
          <t>KARLSTAD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39504-2022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44818</v>
      </c>
      <c r="E496" s="1" t="n">
        <v>46304</v>
      </c>
      <c r="F496" t="inlineStr">
        <is>
          <t>VÄRMLANDS LÄN</t>
        </is>
      </c>
      <c r="G496" t="inlineStr">
        <is>
          <t>KARLSTAD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46270</v>
      </c>
      <c r="E497" s="1" t="n">
        <v>46304</v>
      </c>
      <c r="F497" t="inlineStr">
        <is>
          <t>VÄRMLANDS LÄN</t>
        </is>
      </c>
      <c r="G497" t="inlineStr">
        <is>
          <t>KARLSTAD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36621-2026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46270</v>
      </c>
      <c r="E498" s="1" t="n">
        <v>46304</v>
      </c>
      <c r="F498" t="inlineStr">
        <is>
          <t>VÄRMLANDS LÄN</t>
        </is>
      </c>
      <c r="G498" t="inlineStr">
        <is>
          <t>KARLSTAD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13291-2024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45386</v>
      </c>
      <c r="E499" s="1" t="n">
        <v>46304</v>
      </c>
      <c r="F499" t="inlineStr">
        <is>
          <t>VÄRMLANDS LÄN</t>
        </is>
      </c>
      <c r="G499" t="inlineStr">
        <is>
          <t>KARLSTAD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1648-2024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45306</v>
      </c>
      <c r="E500" s="1" t="n">
        <v>46304</v>
      </c>
      <c r="F500" t="inlineStr">
        <is>
          <t>VÄRMLANDS LÄN</t>
        </is>
      </c>
      <c r="G500" t="inlineStr">
        <is>
          <t>KARLSTAD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45775</v>
      </c>
      <c r="E501" s="1" t="n">
        <v>46304</v>
      </c>
      <c r="F501" t="inlineStr">
        <is>
          <t>VÄRMLANDS LÄN</t>
        </is>
      </c>
      <c r="G501" t="inlineStr">
        <is>
          <t>KARLSTAD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41960-2023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45177</v>
      </c>
      <c r="E502" s="1" t="n">
        <v>46304</v>
      </c>
      <c r="F502" t="inlineStr">
        <is>
          <t>VÄRMLANDS LÄN</t>
        </is>
      </c>
      <c r="G502" t="inlineStr">
        <is>
          <t>KARLSTAD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41321-2023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45174</v>
      </c>
      <c r="E503" s="1" t="n">
        <v>46304</v>
      </c>
      <c r="F503" t="inlineStr">
        <is>
          <t>VÄRMLANDS LÄN</t>
        </is>
      </c>
      <c r="G503" t="inlineStr">
        <is>
          <t>KARLSTAD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13543-2025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45736</v>
      </c>
      <c r="E504" s="1" t="n">
        <v>46304</v>
      </c>
      <c r="F504" t="inlineStr">
        <is>
          <t>VÄRMLANDS LÄN</t>
        </is>
      </c>
      <c r="G504" t="inlineStr">
        <is>
          <t>KARLSTAD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53305-2023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45229</v>
      </c>
      <c r="E505" s="1" t="n">
        <v>46304</v>
      </c>
      <c r="F505" t="inlineStr">
        <is>
          <t>VÄRMLANDS LÄN</t>
        </is>
      </c>
      <c r="G505" t="inlineStr">
        <is>
          <t>KARLSTAD</t>
        </is>
      </c>
      <c r="H505" t="inlineStr">
        <is>
          <t>Övriga Aktiebolag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16757-2024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45411</v>
      </c>
      <c r="E506" s="1" t="n">
        <v>46304</v>
      </c>
      <c r="F506" t="inlineStr">
        <is>
          <t>VÄRMLANDS LÄN</t>
        </is>
      </c>
      <c r="G506" t="inlineStr">
        <is>
          <t>KARLSTAD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43601-2025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45911</v>
      </c>
      <c r="E507" s="1" t="n">
        <v>46304</v>
      </c>
      <c r="F507" t="inlineStr">
        <is>
          <t>VÄRMLANDS LÄN</t>
        </is>
      </c>
      <c r="G507" t="inlineStr">
        <is>
          <t>KARLSTAD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8892-2025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45713</v>
      </c>
      <c r="E508" s="1" t="n">
        <v>46304</v>
      </c>
      <c r="F508" t="inlineStr">
        <is>
          <t>VÄRMLANDS LÄN</t>
        </is>
      </c>
      <c r="G508" t="inlineStr">
        <is>
          <t>KARLSTAD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12399-2024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45379</v>
      </c>
      <c r="E509" s="1" t="n">
        <v>46304</v>
      </c>
      <c r="F509" t="inlineStr">
        <is>
          <t>VÄRMLANDS LÄN</t>
        </is>
      </c>
      <c r="G509" t="inlineStr">
        <is>
          <t>KARLSTAD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54141-2024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45616</v>
      </c>
      <c r="E510" s="1" t="n">
        <v>46304</v>
      </c>
      <c r="F510" t="inlineStr">
        <is>
          <t>VÄRMLANDS LÄN</t>
        </is>
      </c>
      <c r="G510" t="inlineStr">
        <is>
          <t>KARLSTAD</t>
        </is>
      </c>
      <c r="H510" t="inlineStr">
        <is>
          <t>Bergvik skog väst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46281</v>
      </c>
      <c r="E511" s="1" t="n">
        <v>46304</v>
      </c>
      <c r="F511" t="inlineStr">
        <is>
          <t>VÄRMLANDS LÄN</t>
        </is>
      </c>
      <c r="G511" t="inlineStr">
        <is>
          <t>KARLSTAD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21531-2025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45782</v>
      </c>
      <c r="E512" s="1" t="n">
        <v>46304</v>
      </c>
      <c r="F512" t="inlineStr">
        <is>
          <t>VÄRMLANDS LÄN</t>
        </is>
      </c>
      <c r="G512" t="inlineStr">
        <is>
          <t>KARLSTAD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21442-2025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45782</v>
      </c>
      <c r="E513" s="1" t="n">
        <v>46304</v>
      </c>
      <c r="F513" t="inlineStr">
        <is>
          <t>VÄRMLANDS LÄN</t>
        </is>
      </c>
      <c r="G513" t="inlineStr">
        <is>
          <t>KARLSTAD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21866-2025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46304</v>
      </c>
      <c r="F514" t="inlineStr">
        <is>
          <t>VÄRMLANDS LÄN</t>
        </is>
      </c>
      <c r="G514" t="inlineStr">
        <is>
          <t>KARLSTAD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21840-2025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46304</v>
      </c>
      <c r="F515" t="inlineStr">
        <is>
          <t>VÄRMLANDS LÄN</t>
        </is>
      </c>
      <c r="G515" t="inlineStr">
        <is>
          <t>KARLSTAD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21844-2025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45784</v>
      </c>
      <c r="E516" s="1" t="n">
        <v>46304</v>
      </c>
      <c r="F516" t="inlineStr">
        <is>
          <t>VÄRMLANDS LÄN</t>
        </is>
      </c>
      <c r="G516" t="inlineStr">
        <is>
          <t>KARLSTAD</t>
        </is>
      </c>
      <c r="I516" t="n">
        <v>8.4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21849-2025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45784</v>
      </c>
      <c r="E517" s="1" t="n">
        <v>46304</v>
      </c>
      <c r="F517" t="inlineStr">
        <is>
          <t>VÄRMLANDS LÄN</t>
        </is>
      </c>
      <c r="G517" t="inlineStr">
        <is>
          <t>KARLSTAD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45784</v>
      </c>
      <c r="E518" s="1" t="n">
        <v>46304</v>
      </c>
      <c r="F518" t="inlineStr">
        <is>
          <t>VÄRMLANDS LÄN</t>
        </is>
      </c>
      <c r="G518" t="inlineStr">
        <is>
          <t>KARLSTAD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22585-2025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45789</v>
      </c>
      <c r="E519" s="1" t="n">
        <v>46304</v>
      </c>
      <c r="F519" t="inlineStr">
        <is>
          <t>VÄRMLANDS LÄN</t>
        </is>
      </c>
      <c r="G519" t="inlineStr">
        <is>
          <t>KARLSTAD</t>
        </is>
      </c>
      <c r="H519" t="inlineStr">
        <is>
          <t>Bergvik skog väst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39792-2024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45553</v>
      </c>
      <c r="E520" s="1" t="n">
        <v>46304</v>
      </c>
      <c r="F520" t="inlineStr">
        <is>
          <t>VÄRMLANDS LÄN</t>
        </is>
      </c>
      <c r="G520" t="inlineStr">
        <is>
          <t>KARLSTAD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25786-2024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45466</v>
      </c>
      <c r="E521" s="1" t="n">
        <v>46304</v>
      </c>
      <c r="F521" t="inlineStr">
        <is>
          <t>VÄRMLANDS LÄN</t>
        </is>
      </c>
      <c r="G521" t="inlineStr">
        <is>
          <t>KARLSTAD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8804-2024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45356</v>
      </c>
      <c r="E522" s="1" t="n">
        <v>46304</v>
      </c>
      <c r="F522" t="inlineStr">
        <is>
          <t>VÄRMLANDS LÄN</t>
        </is>
      </c>
      <c r="G522" t="inlineStr">
        <is>
          <t>KARLSTAD</t>
        </is>
      </c>
      <c r="I522" t="n">
        <v>12.5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38298-2022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44812</v>
      </c>
      <c r="E523" s="1" t="n">
        <v>46304</v>
      </c>
      <c r="F523" t="inlineStr">
        <is>
          <t>VÄRMLANDS LÄN</t>
        </is>
      </c>
      <c r="G523" t="inlineStr">
        <is>
          <t>KARLSTAD</t>
        </is>
      </c>
      <c r="H523" t="inlineStr">
        <is>
          <t>Bergvik skog väst AB</t>
        </is>
      </c>
      <c r="I523" t="n">
        <v>24.3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55081-2024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45621</v>
      </c>
      <c r="E524" s="1" t="n">
        <v>46304</v>
      </c>
      <c r="F524" t="inlineStr">
        <is>
          <t>VÄRMLANDS LÄN</t>
        </is>
      </c>
      <c r="G524" t="inlineStr">
        <is>
          <t>KARLSTAD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60281-2024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45642</v>
      </c>
      <c r="E525" s="1" t="n">
        <v>46304</v>
      </c>
      <c r="F525" t="inlineStr">
        <is>
          <t>VÄRMLANDS LÄN</t>
        </is>
      </c>
      <c r="G525" t="inlineStr">
        <is>
          <t>KARLSTAD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19166-2023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45044</v>
      </c>
      <c r="E526" s="1" t="n">
        <v>46304</v>
      </c>
      <c r="F526" t="inlineStr">
        <is>
          <t>VÄRMLANDS LÄN</t>
        </is>
      </c>
      <c r="G526" t="inlineStr">
        <is>
          <t>KARLSTAD</t>
        </is>
      </c>
      <c r="H526" t="inlineStr">
        <is>
          <t>Övriga statliga verk och myndigheter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57503-2024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45630</v>
      </c>
      <c r="E527" s="1" t="n">
        <v>46304</v>
      </c>
      <c r="F527" t="inlineStr">
        <is>
          <t>VÄRMLANDS LÄN</t>
        </is>
      </c>
      <c r="G527" t="inlineStr">
        <is>
          <t>KARLSTAD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25163-2025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45800</v>
      </c>
      <c r="E528" s="1" t="n">
        <v>46304</v>
      </c>
      <c r="F528" t="inlineStr">
        <is>
          <t>VÄRMLANDS LÄN</t>
        </is>
      </c>
      <c r="G528" t="inlineStr">
        <is>
          <t>KARLSTAD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55819-2022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44888</v>
      </c>
      <c r="E529" s="1" t="n">
        <v>46304</v>
      </c>
      <c r="F529" t="inlineStr">
        <is>
          <t>VÄRMLANDS LÄN</t>
        </is>
      </c>
      <c r="G529" t="inlineStr">
        <is>
          <t>KARLSTAD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16033-2024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45405</v>
      </c>
      <c r="E530" s="1" t="n">
        <v>46304</v>
      </c>
      <c r="F530" t="inlineStr">
        <is>
          <t>VÄRMLANDS LÄN</t>
        </is>
      </c>
      <c r="G530" t="inlineStr">
        <is>
          <t>KARLSTAD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26861-2025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45810</v>
      </c>
      <c r="E531" s="1" t="n">
        <v>46304</v>
      </c>
      <c r="F531" t="inlineStr">
        <is>
          <t>VÄRMLANDS LÄN</t>
        </is>
      </c>
      <c r="G531" t="inlineStr">
        <is>
          <t>KARLSTAD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13118-2023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45002</v>
      </c>
      <c r="E532" s="1" t="n">
        <v>46304</v>
      </c>
      <c r="F532" t="inlineStr">
        <is>
          <t>VÄRMLANDS LÄN</t>
        </is>
      </c>
      <c r="G532" t="inlineStr">
        <is>
          <t>KARLSTAD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45720</v>
      </c>
      <c r="E533" s="1" t="n">
        <v>46304</v>
      </c>
      <c r="F533" t="inlineStr">
        <is>
          <t>VÄRMLANDS LÄN</t>
        </is>
      </c>
      <c r="G533" t="inlineStr">
        <is>
          <t>KARLSTAD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41514-2024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45560</v>
      </c>
      <c r="E534" s="1" t="n">
        <v>46304</v>
      </c>
      <c r="F534" t="inlineStr">
        <is>
          <t>VÄRMLANDS LÄN</t>
        </is>
      </c>
      <c r="G534" t="inlineStr">
        <is>
          <t>KARLSTAD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45813</v>
      </c>
      <c r="E535" s="1" t="n">
        <v>46304</v>
      </c>
      <c r="F535" t="inlineStr">
        <is>
          <t>VÄRMLANDS LÄN</t>
        </is>
      </c>
      <c r="G535" t="inlineStr">
        <is>
          <t>KARLSTAD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45813</v>
      </c>
      <c r="E536" s="1" t="n">
        <v>46304</v>
      </c>
      <c r="F536" t="inlineStr">
        <is>
          <t>VÄRMLANDS LÄN</t>
        </is>
      </c>
      <c r="G536" t="inlineStr">
        <is>
          <t>KARLSTAD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27493-2025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45813</v>
      </c>
      <c r="E537" s="1" t="n">
        <v>46304</v>
      </c>
      <c r="F537" t="inlineStr">
        <is>
          <t>VÄRMLANDS LÄN</t>
        </is>
      </c>
      <c r="G537" t="inlineStr">
        <is>
          <t>KARLSTAD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27495-2025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45813</v>
      </c>
      <c r="E538" s="1" t="n">
        <v>46304</v>
      </c>
      <c r="F538" t="inlineStr">
        <is>
          <t>VÄRMLANDS LÄN</t>
        </is>
      </c>
      <c r="G538" t="inlineStr">
        <is>
          <t>KARLSTAD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54254-2024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45616</v>
      </c>
      <c r="E539" s="1" t="n">
        <v>46304</v>
      </c>
      <c r="F539" t="inlineStr">
        <is>
          <t>VÄRMLANDS LÄN</t>
        </is>
      </c>
      <c r="G539" t="inlineStr">
        <is>
          <t>KARLSTAD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28433-2025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45819</v>
      </c>
      <c r="E540" s="1" t="n">
        <v>46304</v>
      </c>
      <c r="F540" t="inlineStr">
        <is>
          <t>VÄRMLANDS LÄN</t>
        </is>
      </c>
      <c r="G540" t="inlineStr">
        <is>
          <t>KARLSTAD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36072-2024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45533</v>
      </c>
      <c r="E541" s="1" t="n">
        <v>46304</v>
      </c>
      <c r="F541" t="inlineStr">
        <is>
          <t>VÄRMLANDS LÄN</t>
        </is>
      </c>
      <c r="G541" t="inlineStr">
        <is>
          <t>KARLSTAD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45822</v>
      </c>
      <c r="E542" s="1" t="n">
        <v>46304</v>
      </c>
      <c r="F542" t="inlineStr">
        <is>
          <t>VÄRMLANDS LÄN</t>
        </is>
      </c>
      <c r="G542" t="inlineStr">
        <is>
          <t>KARLSTAD</t>
        </is>
      </c>
      <c r="I542" t="n">
        <v>23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34329-2026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46254</v>
      </c>
      <c r="E543" s="1" t="n">
        <v>46304</v>
      </c>
      <c r="F543" t="inlineStr">
        <is>
          <t>VÄRMLANDS LÄN</t>
        </is>
      </c>
      <c r="G543" t="inlineStr">
        <is>
          <t>KARLSTAD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31422-2025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45833</v>
      </c>
      <c r="E544" s="1" t="n">
        <v>46304</v>
      </c>
      <c r="F544" t="inlineStr">
        <is>
          <t>VÄRMLANDS LÄN</t>
        </is>
      </c>
      <c r="G544" t="inlineStr">
        <is>
          <t>KARLSTAD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40810-2026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46304</v>
      </c>
      <c r="F545" t="inlineStr">
        <is>
          <t>VÄRMLANDS LÄN</t>
        </is>
      </c>
      <c r="G545" t="inlineStr">
        <is>
          <t>KARLSTAD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31833-2025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45834</v>
      </c>
      <c r="E546" s="1" t="n">
        <v>46304</v>
      </c>
      <c r="F546" t="inlineStr">
        <is>
          <t>VÄRMLANDS LÄN</t>
        </is>
      </c>
      <c r="G546" t="inlineStr">
        <is>
          <t>KARLSTAD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40809-2026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46296</v>
      </c>
      <c r="E547" s="1" t="n">
        <v>46304</v>
      </c>
      <c r="F547" t="inlineStr">
        <is>
          <t>VÄRMLANDS LÄN</t>
        </is>
      </c>
      <c r="G547" t="inlineStr">
        <is>
          <t>KARLSTAD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46304</v>
      </c>
      <c r="F548" t="inlineStr">
        <is>
          <t>VÄRMLANDS LÄN</t>
        </is>
      </c>
      <c r="G548" t="inlineStr">
        <is>
          <t>KARLSTAD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34788-2026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46258</v>
      </c>
      <c r="E549" s="1" t="n">
        <v>46304</v>
      </c>
      <c r="F549" t="inlineStr">
        <is>
          <t>VÄRMLANDS LÄN</t>
        </is>
      </c>
      <c r="G549" t="inlineStr">
        <is>
          <t>KARLSTAD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34722-2026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46258</v>
      </c>
      <c r="E550" s="1" t="n">
        <v>46304</v>
      </c>
      <c r="F550" t="inlineStr">
        <is>
          <t>VÄRMLANDS LÄN</t>
        </is>
      </c>
      <c r="G550" t="inlineStr">
        <is>
          <t>KARLSTAD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4402-2023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45266</v>
      </c>
      <c r="E551" s="1" t="n">
        <v>46304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14.5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435-2024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45337</v>
      </c>
      <c r="E552" s="1" t="n">
        <v>46304</v>
      </c>
      <c r="F552" t="inlineStr">
        <is>
          <t>VÄRMLANDS LÄN</t>
        </is>
      </c>
      <c r="G552" t="inlineStr">
        <is>
          <t>KARLSTAD</t>
        </is>
      </c>
      <c r="I552" t="n">
        <v>101.6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5511-2022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44834</v>
      </c>
      <c r="E553" s="1" t="n">
        <v>46304</v>
      </c>
      <c r="F553" t="inlineStr">
        <is>
          <t>VÄRMLANDS LÄN</t>
        </is>
      </c>
      <c r="G553" t="inlineStr">
        <is>
          <t>KARLSTAD</t>
        </is>
      </c>
      <c r="H553" t="inlineStr">
        <is>
          <t>Naturvårdsverket</t>
        </is>
      </c>
      <c r="I553" t="n">
        <v>44.5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928-2022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44606</v>
      </c>
      <c r="E554" s="1" t="n">
        <v>46304</v>
      </c>
      <c r="F554" t="inlineStr">
        <is>
          <t>VÄRMLANDS LÄN</t>
        </is>
      </c>
      <c r="G554" t="inlineStr">
        <is>
          <t>KARLSTAD</t>
        </is>
      </c>
      <c r="H554" t="inlineStr">
        <is>
          <t>Naturvårdsverket</t>
        </is>
      </c>
      <c r="I554" t="n">
        <v>41.1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4396-2023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45266</v>
      </c>
      <c r="E555" s="1" t="n">
        <v>46304</v>
      </c>
      <c r="F555" t="inlineStr">
        <is>
          <t>VÄRMLANDS LÄN</t>
        </is>
      </c>
      <c r="G555" t="inlineStr">
        <is>
          <t>KARLSTAD</t>
        </is>
      </c>
      <c r="H555" t="inlineStr">
        <is>
          <t>Bergvik skog väst AB</t>
        </is>
      </c>
      <c r="I555" t="n">
        <v>8.199999999999999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2688-2024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45481</v>
      </c>
      <c r="E556" s="1" t="n">
        <v>46304</v>
      </c>
      <c r="F556" t="inlineStr">
        <is>
          <t>VÄRMLANDS LÄN</t>
        </is>
      </c>
      <c r="G556" t="inlineStr">
        <is>
          <t>KARLSTAD</t>
        </is>
      </c>
      <c r="I556" t="n">
        <v>31.6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416-2024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45335</v>
      </c>
      <c r="E557" s="1" t="n">
        <v>46304</v>
      </c>
      <c r="F557" t="inlineStr">
        <is>
          <t>VÄRMLANDS LÄN</t>
        </is>
      </c>
      <c r="G557" t="inlineStr">
        <is>
          <t>KARLSTAD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6972-2022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44901</v>
      </c>
      <c r="E558" s="1" t="n">
        <v>46304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43.4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2560-2024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45476</v>
      </c>
      <c r="E559" s="1" t="n">
        <v>46304</v>
      </c>
      <c r="F559" t="inlineStr">
        <is>
          <t>VÄRMLANDS LÄN</t>
        </is>
      </c>
      <c r="G559" t="inlineStr">
        <is>
          <t>KARLSTAD</t>
        </is>
      </c>
      <c r="I559" t="n">
        <v>19.1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3510-2022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44733</v>
      </c>
      <c r="E560" s="1" t="n">
        <v>46304</v>
      </c>
      <c r="F560" t="inlineStr">
        <is>
          <t>VÄRMLANDS LÄN</t>
        </is>
      </c>
      <c r="G560" t="inlineStr">
        <is>
          <t>KARLSTAD</t>
        </is>
      </c>
      <c r="I560" t="n">
        <v>27.7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4126-2022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44763</v>
      </c>
      <c r="E561" s="1" t="n">
        <v>46304</v>
      </c>
      <c r="F561" t="inlineStr">
        <is>
          <t>VÄRMLANDS LÄN</t>
        </is>
      </c>
      <c r="G561" t="inlineStr">
        <is>
          <t>KARLSTAD</t>
        </is>
      </c>
      <c r="I561" t="n">
        <v>10.2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1875-2023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45076</v>
      </c>
      <c r="E562" s="1" t="n">
        <v>46304</v>
      </c>
      <c r="F562" t="inlineStr">
        <is>
          <t>VÄRMLANDS LÄN</t>
        </is>
      </c>
      <c r="G562" t="inlineStr">
        <is>
          <t>KARLSTAD</t>
        </is>
      </c>
      <c r="H562" t="inlineStr">
        <is>
          <t>Kommuner</t>
        </is>
      </c>
      <c r="I562" t="n">
        <v>163.7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686-2022</t>
        </is>
      </c>
      <c r="B563" t="inlineStr">
        <is>
          <t>samrådsanmälan</t>
        </is>
      </c>
      <c r="C563" t="inlineStr">
        <is>
          <t>Skogsbilväg</t>
        </is>
      </c>
      <c r="D563" s="1" t="n">
        <v>44596</v>
      </c>
      <c r="E563" s="1" t="n">
        <v>46304</v>
      </c>
      <c r="F563" t="inlineStr">
        <is>
          <t>VÄRMLANDS LÄN</t>
        </is>
      </c>
      <c r="G563" t="inlineStr">
        <is>
          <t>KARLSTAD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3546-2022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44735</v>
      </c>
      <c r="E564" s="1" t="n">
        <v>46304</v>
      </c>
      <c r="F564" t="inlineStr">
        <is>
          <t>VÄRMLANDS LÄN</t>
        </is>
      </c>
      <c r="G564" t="inlineStr">
        <is>
          <t>KARLSTAD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664-2025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45716</v>
      </c>
      <c r="E565" s="1" t="n">
        <v>46304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18.2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3060-2025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45964</v>
      </c>
      <c r="E566" s="1" t="n">
        <v>46304</v>
      </c>
      <c r="F566" t="inlineStr">
        <is>
          <t>VÄRMLANDS LÄN</t>
        </is>
      </c>
      <c r="G566" t="inlineStr">
        <is>
          <t>KARLSTAD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>
      <c r="A567" t="inlineStr">
        <is>
          <t>S 100-2026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46036</v>
      </c>
      <c r="E567" s="1" t="n">
        <v>46304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2026-10-09T02:05:35Z</dcterms:created>
  <dcterms:modified xmlns:dcterms="http://purl.org/dc/terms/" xmlns:xsi="http://www.w3.org/2001/XMLSchema-instance" xsi:type="dcterms:W3CDTF">2026-10-09T02:05:36Z</dcterms:modified>
</cp:coreProperties>
</file>