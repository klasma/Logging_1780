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45784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45784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45784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45784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45784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45784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45784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45784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45784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12633-2025</t>
        </is>
      </c>
      <c r="B11" s="1" t="n">
        <v>45733</v>
      </c>
      <c r="C11" s="1" t="n">
        <v>45784</v>
      </c>
      <c r="D11" t="inlineStr">
        <is>
          <t>VÄRMLANDS LÄN</t>
        </is>
      </c>
      <c r="E11" t="inlineStr">
        <is>
          <t>KARLSTAD</t>
        </is>
      </c>
      <c r="F11" t="inlineStr">
        <is>
          <t>Bergvik skog väst AB</t>
        </is>
      </c>
      <c r="G11" t="n">
        <v>9.1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 sköldmossa
Plattlummer
Stubbspretmossa
Mattlummer</t>
        </is>
      </c>
      <c r="S11">
        <f>HYPERLINK("https://klasma.github.io/Logging_171780/artfynd/A 12633-2025 artfynd.xlsx", "A 12633-2025")</f>
        <v/>
      </c>
      <c r="T11">
        <f>HYPERLINK("https://klasma.github.io/Logging_171780/kartor/A 12633-2025 karta.png", "A 12633-2025")</f>
        <v/>
      </c>
      <c r="V11">
        <f>HYPERLINK("https://klasma.github.io/Logging_171780/klagomål/A 12633-2025 FSC-klagomål.docx", "A 12633-2025")</f>
        <v/>
      </c>
      <c r="W11">
        <f>HYPERLINK("https://klasma.github.io/Logging_171780/klagomålsmail/A 12633-2025 FSC-klagomål mail.docx", "A 12633-2025")</f>
        <v/>
      </c>
      <c r="X11">
        <f>HYPERLINK("https://klasma.github.io/Logging_171780/tillsyn/A 12633-2025 tillsynsbegäran.docx", "A 12633-2025")</f>
        <v/>
      </c>
      <c r="Y11">
        <f>HYPERLINK("https://klasma.github.io/Logging_171780/tillsynsmail/A 12633-2025 tillsynsbegäran mail.docx", "A 12633-2025")</f>
        <v/>
      </c>
    </row>
    <row r="12" ht="15" customHeight="1">
      <c r="A12" t="inlineStr">
        <is>
          <t>A 22865-2019</t>
        </is>
      </c>
      <c r="B12" s="1" t="n">
        <v>43591</v>
      </c>
      <c r="C12" s="1" t="n">
        <v>45784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Trådticka
Revlummer</t>
        </is>
      </c>
      <c r="S12">
        <f>HYPERLINK("https://klasma.github.io/Logging_1780/artfynd/A 22865-2019 artfynd.xlsx", "A 22865-2019")</f>
        <v/>
      </c>
      <c r="T12">
        <f>HYPERLINK("https://klasma.github.io/Logging_1780/kartor/A 22865-2019 karta.png", "A 22865-2019")</f>
        <v/>
      </c>
      <c r="V12">
        <f>HYPERLINK("https://klasma.github.io/Logging_1780/klagomål/A 22865-2019 FSC-klagomål.docx", "A 22865-2019")</f>
        <v/>
      </c>
      <c r="W12">
        <f>HYPERLINK("https://klasma.github.io/Logging_1780/klagomålsmail/A 22865-2019 FSC-klagomål mail.docx", "A 22865-2019")</f>
        <v/>
      </c>
      <c r="X12">
        <f>HYPERLINK("https://klasma.github.io/Logging_1780/tillsyn/A 22865-2019 tillsynsbegäran.docx", "A 22865-2019")</f>
        <v/>
      </c>
      <c r="Y12">
        <f>HYPERLINK("https://klasma.github.io/Logging_1780/tillsynsmail/A 22865-2019 tillsynsbegäran mail.docx", "A 22865-2019")</f>
        <v/>
      </c>
    </row>
    <row r="13" ht="15" customHeight="1">
      <c r="A13" t="inlineStr">
        <is>
          <t>A 23049-2019</t>
        </is>
      </c>
      <c r="B13" s="1" t="n">
        <v>43591</v>
      </c>
      <c r="C13" s="1" t="n">
        <v>45784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Brandticka
Vedticka</t>
        </is>
      </c>
      <c r="S13">
        <f>HYPERLINK("https://klasma.github.io/Logging_1780/artfynd/A 23049-2019 artfynd.xlsx", "A 23049-2019")</f>
        <v/>
      </c>
      <c r="T13">
        <f>HYPERLINK("https://klasma.github.io/Logging_1780/kartor/A 23049-2019 karta.png", "A 23049-2019")</f>
        <v/>
      </c>
      <c r="V13">
        <f>HYPERLINK("https://klasma.github.io/Logging_1780/klagomål/A 23049-2019 FSC-klagomål.docx", "A 23049-2019")</f>
        <v/>
      </c>
      <c r="W13">
        <f>HYPERLINK("https://klasma.github.io/Logging_1780/klagomålsmail/A 23049-2019 FSC-klagomål mail.docx", "A 23049-2019")</f>
        <v/>
      </c>
      <c r="X13">
        <f>HYPERLINK("https://klasma.github.io/Logging_1780/tillsyn/A 23049-2019 tillsynsbegäran.docx", "A 23049-2019")</f>
        <v/>
      </c>
      <c r="Y13">
        <f>HYPERLINK("https://klasma.github.io/Logging_1780/tillsynsmail/A 23049-2019 tillsynsbegäran mail.docx", "A 23049-2019")</f>
        <v/>
      </c>
      <c r="Z13">
        <f>HYPERLINK("https://klasma.github.io/Logging_1780/fåglar/A 23049-2019 prioriterade fågelarter.docx", "A 23049-2019")</f>
        <v/>
      </c>
    </row>
    <row r="14" ht="15" customHeight="1">
      <c r="A14" t="inlineStr">
        <is>
          <t>A 56475-2019</t>
        </is>
      </c>
      <c r="B14" s="1" t="n">
        <v>43762</v>
      </c>
      <c r="C14" s="1" t="n">
        <v>45784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Platt fjädermossa</t>
        </is>
      </c>
      <c r="S14">
        <f>HYPERLINK("https://klasma.github.io/Logging_1780/artfynd/A 56475-2019 artfynd.xlsx", "A 56475-2019")</f>
        <v/>
      </c>
      <c r="T14">
        <f>HYPERLINK("https://klasma.github.io/Logging_1780/kartor/A 56475-2019 karta.png", "A 56475-2019")</f>
        <v/>
      </c>
      <c r="V14">
        <f>HYPERLINK("https://klasma.github.io/Logging_1780/klagomål/A 56475-2019 FSC-klagomål.docx", "A 56475-2019")</f>
        <v/>
      </c>
      <c r="W14">
        <f>HYPERLINK("https://klasma.github.io/Logging_1780/klagomålsmail/A 56475-2019 FSC-klagomål mail.docx", "A 56475-2019")</f>
        <v/>
      </c>
      <c r="X14">
        <f>HYPERLINK("https://klasma.github.io/Logging_1780/tillsyn/A 56475-2019 tillsynsbegäran.docx", "A 56475-2019")</f>
        <v/>
      </c>
      <c r="Y14">
        <f>HYPERLINK("https://klasma.github.io/Logging_1780/tillsynsmail/A 56475-2019 tillsynsbegäran mail.docx", "A 56475-2019")</f>
        <v/>
      </c>
    </row>
    <row r="15" ht="15" customHeight="1">
      <c r="A15" t="inlineStr">
        <is>
          <t>A 5520-2020</t>
        </is>
      </c>
      <c r="B15" s="1" t="n">
        <v>43861</v>
      </c>
      <c r="C15" s="1" t="n">
        <v>45784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Svedjenäva
Skogsknipprot
Springkorn</t>
        </is>
      </c>
      <c r="S15">
        <f>HYPERLINK("https://klasma.github.io/Logging_1780/artfynd/A 5520-2020 artfynd.xlsx", "A 5520-2020")</f>
        <v/>
      </c>
      <c r="T15">
        <f>HYPERLINK("https://klasma.github.io/Logging_1780/kartor/A 5520-2020 karta.png", "A 5520-2020")</f>
        <v/>
      </c>
      <c r="V15">
        <f>HYPERLINK("https://klasma.github.io/Logging_1780/klagomål/A 5520-2020 FSC-klagomål.docx", "A 5520-2020")</f>
        <v/>
      </c>
      <c r="W15">
        <f>HYPERLINK("https://klasma.github.io/Logging_1780/klagomålsmail/A 5520-2020 FSC-klagomål mail.docx", "A 5520-2020")</f>
        <v/>
      </c>
      <c r="X15">
        <f>HYPERLINK("https://klasma.github.io/Logging_1780/tillsyn/A 5520-2020 tillsynsbegäran.docx", "A 5520-2020")</f>
        <v/>
      </c>
      <c r="Y15">
        <f>HYPERLINK("https://klasma.github.io/Logging_1780/tillsynsmail/A 5520-2020 tillsynsbegäran mail.docx", "A 5520-2020")</f>
        <v/>
      </c>
    </row>
    <row r="16" ht="15" customHeight="1">
      <c r="A16" t="inlineStr">
        <is>
          <t>A 31896-2021</t>
        </is>
      </c>
      <c r="B16" s="1" t="n">
        <v>44370</v>
      </c>
      <c r="C16" s="1" t="n">
        <v>45784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3.3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Vågticka
Brun gräsfjäril
Vågbandad barkbock</t>
        </is>
      </c>
      <c r="S16">
        <f>HYPERLINK("https://klasma.github.io/Logging_1780/artfynd/A 31896-2021 artfynd.xlsx", "A 31896-2021")</f>
        <v/>
      </c>
      <c r="T16">
        <f>HYPERLINK("https://klasma.github.io/Logging_1780/kartor/A 31896-2021 karta.png", "A 31896-2021")</f>
        <v/>
      </c>
      <c r="V16">
        <f>HYPERLINK("https://klasma.github.io/Logging_1780/klagomål/A 31896-2021 FSC-klagomål.docx", "A 31896-2021")</f>
        <v/>
      </c>
      <c r="W16">
        <f>HYPERLINK("https://klasma.github.io/Logging_1780/klagomålsmail/A 31896-2021 FSC-klagomål mail.docx", "A 31896-2021")</f>
        <v/>
      </c>
      <c r="X16">
        <f>HYPERLINK("https://klasma.github.io/Logging_1780/tillsyn/A 31896-2021 tillsynsbegäran.docx", "A 31896-2021")</f>
        <v/>
      </c>
      <c r="Y16">
        <f>HYPERLINK("https://klasma.github.io/Logging_1780/tillsynsmail/A 31896-2021 tillsynsbegäran mail.docx", "A 31896-2021")</f>
        <v/>
      </c>
    </row>
    <row r="17" ht="15" customHeight="1">
      <c r="A17" t="inlineStr">
        <is>
          <t>A 69506-2021</t>
        </is>
      </c>
      <c r="B17" s="1" t="n">
        <v>44531</v>
      </c>
      <c r="C17" s="1" t="n">
        <v>45784</v>
      </c>
      <c r="D17" t="inlineStr">
        <is>
          <t>VÄRMLANDS LÄN</t>
        </is>
      </c>
      <c r="E17" t="inlineStr">
        <is>
          <t>KARLSTAD</t>
        </is>
      </c>
      <c r="G17" t="n">
        <v>5.2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Sparvuggla
Trana
Trädlärka</t>
        </is>
      </c>
      <c r="S17">
        <f>HYPERLINK("https://klasma.github.io/Logging_1780/artfynd/A 69506-2021 artfynd.xlsx", "A 69506-2021")</f>
        <v/>
      </c>
      <c r="T17">
        <f>HYPERLINK("https://klasma.github.io/Logging_1780/kartor/A 69506-2021 karta.png", "A 69506-2021")</f>
        <v/>
      </c>
      <c r="V17">
        <f>HYPERLINK("https://klasma.github.io/Logging_1780/klagomål/A 69506-2021 FSC-klagomål.docx", "A 69506-2021")</f>
        <v/>
      </c>
      <c r="W17">
        <f>HYPERLINK("https://klasma.github.io/Logging_1780/klagomålsmail/A 69506-2021 FSC-klagomål mail.docx", "A 69506-2021")</f>
        <v/>
      </c>
      <c r="X17">
        <f>HYPERLINK("https://klasma.github.io/Logging_1780/tillsyn/A 69506-2021 tillsynsbegäran.docx", "A 69506-2021")</f>
        <v/>
      </c>
      <c r="Y17">
        <f>HYPERLINK("https://klasma.github.io/Logging_1780/tillsynsmail/A 69506-2021 tillsynsbegäran mail.docx", "A 69506-2021")</f>
        <v/>
      </c>
      <c r="Z17">
        <f>HYPERLINK("https://klasma.github.io/Logging_1780/fåglar/A 69506-2021 prioriterade fågelarter.docx", "A 69506-2021")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45784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45784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45784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45784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45784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45784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45784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45784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45784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45784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45784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45784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45784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45784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45784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45784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45784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45784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45784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45784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45784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45784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45784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45784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45784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45784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45784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45784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45784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45784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45784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45784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45784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45784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45784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45784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45784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45784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45784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45784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45784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45784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45784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45784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45784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45784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45784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45784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45784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45784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45784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45784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45784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45784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45784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45784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45784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45784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45784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45784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45784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45784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45784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45784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45784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45784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45784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45784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45784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45784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45784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45784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45784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45784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45784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45784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45784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45784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45784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45784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45784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45784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45784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45784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45784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45784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45784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45784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45784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45784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45784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45784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45784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45784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45784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45784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45784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45784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45784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45784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45784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45784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45784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45784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45784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45784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45784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45784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45784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45784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45784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45784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45784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45784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45784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45784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45784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45784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45784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45784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45784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45784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45784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45784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45784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45784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45784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45784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45784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45784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45784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45784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45784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45784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45784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45784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45784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45784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45784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45784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45784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45784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45784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45784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45784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45784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45784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45784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45784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45784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45784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45784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45784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45784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45784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45784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45784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45784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45784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45784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45784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45784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45784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45784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45784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45784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45784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45784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45784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45784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45784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45784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45784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45784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45784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45784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45784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45784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45784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45784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45784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45784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45784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45784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45784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45784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45784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45784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45784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45784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45784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45784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45784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45784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45784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45784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45784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45784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45784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45784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45784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45784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45784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45784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45784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45784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45784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45784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45784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45784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45784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45784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45784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45784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45784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45784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45784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45784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45784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45784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45784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45784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45784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45784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45784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45784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45784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45784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45784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45784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45784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45784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45784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45784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45784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45784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45784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45784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45784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45784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45784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45784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45784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45784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45784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45784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45784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45784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45784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45784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45784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45784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45784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45784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45784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45784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45784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45784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45784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45784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45784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45784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45784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45784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45784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45784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45784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45784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45784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45784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45784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45784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45784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45784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45784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45784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45784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45784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45784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45784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45784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45784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45784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45784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45784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45784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45784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45784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45784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45784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45784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45784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45784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45784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45784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45784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45784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45784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45784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45784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45784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45784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45784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45784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45784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45784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45784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45784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45784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45784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45784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45784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45784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45784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45784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45784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45784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45784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45784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45784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45784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45784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45784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45784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45784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45784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45784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45784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45784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45784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45784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45784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45784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45784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45784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45784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45784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45784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45784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45784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45784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45784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45784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45784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45784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45784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45784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45784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45784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45784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45784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45784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45784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45784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45784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45784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45784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45784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45784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45784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45784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45784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45784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45784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45784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45784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45784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45784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45784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45784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45784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45784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45784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45784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45784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45784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45784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45784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45784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45784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45784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45784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45784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45784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45784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45784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45784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45784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45784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45784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45784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45784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45784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45784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45784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45784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45784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45784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45784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45784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45784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45784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45784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45784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45784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45784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45784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45784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45784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45784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45784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45784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45784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45784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45784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45784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45784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45784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45784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45784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45784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45784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45784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45784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45784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45784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45784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45784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45784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45784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45784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45784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45784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45784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45784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45784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45784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45784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45784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45784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45784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45784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45784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45784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45784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45784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45784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45784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45784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45784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45784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45784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45784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45784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45784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45784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45784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45784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45784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45784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45784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45784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45784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45784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45784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45784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45784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45784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45784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45784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45784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45784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45784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45784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45784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45784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45784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45784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45784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45784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45784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45784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45784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45784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45784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45784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45784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45784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45784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45784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45784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45784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45784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45784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45784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45784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45784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45784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45784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45784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45784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45784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45784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45784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45784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45784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45784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45784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45784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45784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45784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45784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45784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45784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45784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45784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45784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45784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45784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45784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45784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45784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45784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45784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45784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45784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45784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45784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45784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45784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45784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45784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45784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45784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45784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45784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45784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45784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45784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45784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45784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45784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45784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45784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45784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45784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45784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45784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45784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45784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45784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45784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45784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45784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45784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45784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45784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45784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45784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45784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45784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45784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45784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45784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45784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45784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45784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45784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45784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45784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45784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45784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45784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45784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45784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45784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45784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45784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45784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45784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45784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45784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45784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45784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45784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45784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45784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45784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45784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45784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45784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45784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45784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45784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45784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45784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45784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45784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45784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45784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45784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45784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45784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45784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45784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45784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45784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45784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45784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45784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45784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45784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45784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45784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45784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45784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45784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45784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45784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45784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45784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45784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45784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45784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45784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45784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45784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45784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45784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45784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45784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45784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45784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45784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45784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45784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45784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45784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45784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45784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45784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45784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45784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45784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45784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45784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45784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45784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45784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45784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45784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45784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45784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45784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45784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45784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45784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45784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45784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45784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45784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45784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45784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45784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45784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45784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45784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45784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45784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45784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45784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45784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45784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45784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45784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45784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45784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45784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45784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45784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45784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45784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45784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45784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45784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45784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45784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45784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45784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45784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45784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45784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45784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45784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45784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45784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45784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45784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45784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45784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45784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45784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45784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45784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45784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45784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45784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45784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45784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45784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45784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45784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45784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45784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45784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45784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45784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45784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45784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45784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45784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45784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45784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45784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45784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45784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45784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45784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45784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45784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45784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45784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45784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45784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45784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45784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45784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45784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45784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45784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45784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45784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45784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45784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45784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45784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45784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45784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45784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45784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45784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45784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45784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45784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45784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45784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45784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45784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45784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45784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45784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45784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45784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45784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45784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45784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45784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45784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45784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45784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45784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45784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45784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45784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45784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45784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45784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45784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45784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45784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45784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45784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45784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45784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45784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45784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45784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45784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45784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45784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45784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45784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45784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45784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45784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45784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45784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45784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45784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45784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45784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45784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45784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45784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45784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45784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45784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45784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45784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45784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45784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45784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45784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45784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45784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45784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45784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45784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45784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45784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45784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45784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45784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45784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45784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45784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45784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45784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45784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45784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45784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45784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45784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45784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45784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45784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45784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45784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45784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45784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45784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45784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45784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45784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45784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45784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45784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45784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45784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45784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45784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45784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45784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45784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45784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45784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45784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45784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45784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45784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45784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45784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45784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45784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45784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45784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45784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45784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45784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45784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45784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45784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45784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45784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45784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45784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45784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45784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45784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45784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45784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45784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45784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45784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45784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45784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45784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45784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45784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45784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45784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45784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45784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45784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45784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45784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45784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45784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45784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45784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45784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45784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45784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45784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45784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45784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45784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45784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45784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45784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45784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45784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45784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45784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45784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45784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45784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45784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45784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45784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45784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45784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45784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45784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45784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45784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45784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45784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45784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45784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45784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45784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45784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45784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45784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45784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45784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45784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45784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45784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45784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45784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45784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45784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45784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45784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45784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45784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45784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45784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45784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45784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45784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45784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45784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45784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45784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45784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45784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45784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45784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45784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45784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45784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45784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45784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45784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45784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45784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45784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45784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45784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45784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45784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45784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45784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45784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45784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45784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45784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45784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45784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45784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45784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45784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45784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45784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45784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45784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45784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45784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45784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45784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45784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45784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45784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45784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45784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45784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45784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45784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45784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45784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45784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45784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45784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45784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45784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45784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45784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45784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45784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45784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45784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45784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45784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45784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45784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45784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45784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45784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45784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45784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45784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45784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45784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45784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45784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45784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45784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45784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45784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45784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45784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45784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45784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45784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45784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45784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45784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45784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45784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45784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45784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45784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45784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45784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45784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45784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45784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45784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45784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45784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45784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45784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45784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45784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45784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45784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45784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45784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45784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45784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45784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45784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45784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45784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45784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45784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45784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45784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45784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45784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45784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45784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45784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45784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45784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45784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45784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45784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45784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45784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45784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45784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45784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45784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45784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45784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45784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45784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45784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45784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45784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45784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45784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45784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45784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45784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45784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45784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45784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45784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45784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45784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45784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45784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45784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45784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45784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45784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45784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45784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45784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45784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45784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45784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45784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45784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45784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45784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45784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45784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45784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45784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45784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45784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45784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45784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45784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45784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45784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45784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45784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45784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45784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45784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45784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45784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45784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45784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45784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45784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45784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45784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45784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45784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45784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45784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45784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45784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45784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45784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45784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45784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45784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45784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45784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45784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45784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45784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45784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45784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45784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45784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45784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45784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45784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45784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45784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45784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45784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45784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45784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45784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45784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45784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45784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45784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45784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45784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45784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45784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45784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45784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45784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45784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45784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45784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45784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45784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45784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45784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45784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45784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45784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45784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45784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45784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45784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45784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45784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45784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17533-2025</t>
        </is>
      </c>
      <c r="B1221" s="1" t="n">
        <v>45757</v>
      </c>
      <c r="C1221" s="1" t="n">
        <v>45784</v>
      </c>
      <c r="D1221" t="inlineStr">
        <is>
          <t>VÄRMLANDS LÄN</t>
        </is>
      </c>
      <c r="E1221" t="inlineStr">
        <is>
          <t>KARLSTAD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17549-2025</t>
        </is>
      </c>
      <c r="B1222" s="1" t="n">
        <v>45757</v>
      </c>
      <c r="C1222" s="1" t="n">
        <v>45784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45784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45784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45784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45784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18727-2025</t>
        </is>
      </c>
      <c r="B1227" s="1" t="n">
        <v>45763</v>
      </c>
      <c r="C1227" s="1" t="n">
        <v>45784</v>
      </c>
      <c r="D1227" t="inlineStr">
        <is>
          <t>VÄRMLANDS LÄN</t>
        </is>
      </c>
      <c r="E1227" t="inlineStr">
        <is>
          <t>KARLSTAD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45784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19089-2025</t>
        </is>
      </c>
      <c r="B1229" s="1" t="n">
        <v>45767</v>
      </c>
      <c r="C1229" s="1" t="n">
        <v>45784</v>
      </c>
      <c r="D1229" t="inlineStr">
        <is>
          <t>VÄRMLANDS LÄN</t>
        </is>
      </c>
      <c r="E1229" t="inlineStr">
        <is>
          <t>KARLSTAD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45784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45784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45784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45784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45784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45784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45784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45784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45784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21442-2025</t>
        </is>
      </c>
      <c r="B1239" s="1" t="n">
        <v>45782</v>
      </c>
      <c r="C1239" s="1" t="n">
        <v>45784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2025-05-07T17:20:10Z</dcterms:created>
  <dcterms:modified xmlns:dcterms="http://purl.org/dc/terms/" xmlns:xsi="http://www.w3.org/2001/XMLSchema-instance" xsi:type="dcterms:W3CDTF">2025-05-07T17:20:11Z</dcterms:modified>
</cp:coreProperties>
</file>