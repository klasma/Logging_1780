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46286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46286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46286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46286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46286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46286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46286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46286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46286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46286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46286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46286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46286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46286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46286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46286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46286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46286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46286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46286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46286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46286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46286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46286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46286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46286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46286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46286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46286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46286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46286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46286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46286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46286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46286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46286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44592</v>
      </c>
      <c r="E47" s="1" t="n">
        <v>46286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Vedskivlav</t>
        </is>
      </c>
      <c r="W47">
        <f>HYPERLINK("https://klasma.github.io/Logging_1780/artfynd/A 4664-2022 artfynd.xlsx", "A 4664-2022")</f>
        <v/>
      </c>
      <c r="X47">
        <f>HYPERLINK("https://klasma.github.io/Logging_1780/kartor/A 4664-2022 karta.png", "A 4664-2022")</f>
        <v/>
      </c>
      <c r="Y47">
        <f>HYPERLINK("https://klasma.github.io/Logging_1780/kartor_geotiff/A 4664-2022 georefererad karta.tif", "A 4664-2022")</f>
        <v/>
      </c>
      <c r="AA47">
        <f>HYPERLINK("https://klasma.github.io/Logging_1780/klagomål/A 4664-2022 FSC-klagomål.docx", "A 4664-2022")</f>
        <v/>
      </c>
      <c r="AB47">
        <f>HYPERLINK("https://klasma.github.io/Logging_1780/klagomålsmail/A 4664-2022 FSC-klagomål mail.docx", "A 4664-2022")</f>
        <v/>
      </c>
      <c r="AC47">
        <f>HYPERLINK("https://klasma.github.io/Logging_1780/tillsyn/A 4664-2022 tillsynsbegäran.docx", "A 4664-2022")</f>
        <v/>
      </c>
      <c r="AD47">
        <f>HYPERLINK("https://klasma.github.io/Logging_1780/tillsynsmail/A 4664-2022 tillsynsbegäran mail.docx", "A 4664-2022")</f>
        <v/>
      </c>
    </row>
    <row r="48" ht="15" customHeight="1">
      <c r="A48" t="inlineStr">
        <is>
          <t>A 36886-2022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46286</v>
      </c>
      <c r="F48" t="inlineStr">
        <is>
          <t>VÄRMLANDS LÄN</t>
        </is>
      </c>
      <c r="G48" t="inlineStr">
        <is>
          <t>KARLSTAD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Gröngöling</t>
        </is>
      </c>
      <c r="W48">
        <f>HYPERLINK("https://klasma.github.io/Logging_1780/artfynd/A 36886-2022 artfynd.xlsx", "A 36886-2022")</f>
        <v/>
      </c>
      <c r="X48">
        <f>HYPERLINK("https://klasma.github.io/Logging_1780/kartor/A 36886-2022 karta.png", "A 36886-2022")</f>
        <v/>
      </c>
      <c r="Y48">
        <f>HYPERLINK("https://klasma.github.io/Logging_1780/kartor_geotiff/A 36886-2022 georefererad karta.tif", "A 36886-2022")</f>
        <v/>
      </c>
      <c r="AA48">
        <f>HYPERLINK("https://klasma.github.io/Logging_1780/klagomål/A 36886-2022 FSC-klagomål.docx", "A 36886-2022")</f>
        <v/>
      </c>
      <c r="AB48">
        <f>HYPERLINK("https://klasma.github.io/Logging_1780/klagomålsmail/A 36886-2022 FSC-klagomål mail.docx", "A 36886-2022")</f>
        <v/>
      </c>
      <c r="AC48">
        <f>HYPERLINK("https://klasma.github.io/Logging_1780/tillsyn/A 36886-2022 tillsynsbegäran.docx", "A 36886-2022")</f>
        <v/>
      </c>
      <c r="AD48">
        <f>HYPERLINK("https://klasma.github.io/Logging_1780/tillsynsmail/A 36886-2022 tillsynsbegäran mail.docx", "A 36886-2022")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46286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46286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10461-2024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45366</v>
      </c>
      <c r="E51" s="1" t="n">
        <v>46286</v>
      </c>
      <c r="F51" t="inlineStr">
        <is>
          <t>VÄRMLANDS LÄN</t>
        </is>
      </c>
      <c r="G51" t="inlineStr">
        <is>
          <t>KARLSTAD</t>
        </is>
      </c>
      <c r="H51" t="inlineStr">
        <is>
          <t>Övriga statliga verk och myndigheter</t>
        </is>
      </c>
      <c r="I51" t="n">
        <v>17.8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Strandlummer</t>
        </is>
      </c>
      <c r="W51">
        <f>HYPERLINK("https://klasma.github.io/Logging_1780/artfynd/A 10461-2024 artfynd.xlsx", "A 10461-2024")</f>
        <v/>
      </c>
      <c r="X51">
        <f>HYPERLINK("https://klasma.github.io/Logging_1780/kartor/A 10461-2024 karta.png", "A 10461-2024")</f>
        <v/>
      </c>
      <c r="Y51">
        <f>HYPERLINK("https://klasma.github.io/Logging_1780/kartor_geotiff/A 10461-2024 georefererad karta.tif", "A 10461-2024")</f>
        <v/>
      </c>
      <c r="AA51">
        <f>HYPERLINK("https://klasma.github.io/Logging_1780/klagomål/A 10461-2024 FSC-klagomål.docx", "A 10461-2024")</f>
        <v/>
      </c>
      <c r="AB51">
        <f>HYPERLINK("https://klasma.github.io/Logging_1780/klagomålsmail/A 10461-2024 FSC-klagomål mail.docx", "A 10461-2024")</f>
        <v/>
      </c>
      <c r="AC51">
        <f>HYPERLINK("https://klasma.github.io/Logging_1780/tillsyn/A 10461-2024 tillsynsbegäran.docx", "A 10461-2024")</f>
        <v/>
      </c>
      <c r="AD51">
        <f>HYPERLINK("https://klasma.github.io/Logging_1780/tillsynsmail/A 10461-2024 tillsynsbegäran mail.docx", "A 10461-2024")</f>
        <v/>
      </c>
    </row>
    <row r="52" ht="15" customHeight="1">
      <c r="A52" t="inlineStr">
        <is>
          <t>A 14002-2022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44650</v>
      </c>
      <c r="E52" s="1" t="n">
        <v>46286</v>
      </c>
      <c r="F52" t="inlineStr">
        <is>
          <t>VÄRMLANDS LÄN</t>
        </is>
      </c>
      <c r="G52" t="inlineStr">
        <is>
          <t>KARLSTAD</t>
        </is>
      </c>
      <c r="I52" t="n">
        <v>2.3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3</v>
      </c>
      <c r="V52" s="2" t="inlineStr">
        <is>
          <t>Knärot</t>
        </is>
      </c>
      <c r="W52">
        <f>HYPERLINK("https://klasma.github.io/Logging_1780/artfynd/A 14002-2022 artfynd.xlsx", "A 14002-2022")</f>
        <v/>
      </c>
      <c r="X52">
        <f>HYPERLINK("https://klasma.github.io/Logging_1780/kartor/A 14002-2022 karta.png", "A 14002-2022")</f>
        <v/>
      </c>
      <c r="Y52">
        <f>HYPERLINK("https://klasma.github.io/Logging_1780/kartor_geotiff/A 14002-2022 georefererad karta.tif", "A 14002-2022")</f>
        <v/>
      </c>
      <c r="Z52">
        <f>HYPERLINK("https://klasma.github.io/Logging_1780/knärot/A 14002-2022 karta knärot.png", "A 14002-2022")</f>
        <v/>
      </c>
      <c r="AA52">
        <f>HYPERLINK("https://klasma.github.io/Logging_1780/klagomål/A 14002-2022 FSC-klagomål.docx", "A 14002-2022")</f>
        <v/>
      </c>
      <c r="AB52">
        <f>HYPERLINK("https://klasma.github.io/Logging_1780/klagomålsmail/A 14002-2022 FSC-klagomål mail.docx", "A 14002-2022")</f>
        <v/>
      </c>
      <c r="AC52">
        <f>HYPERLINK("https://klasma.github.io/Logging_1780/tillsyn/A 14002-2022 tillsynsbegäran.docx", "A 14002-2022")</f>
        <v/>
      </c>
      <c r="AD52">
        <f>HYPERLINK("https://klasma.github.io/Logging_1780/tillsynsmail/A 14002-2022 tillsynsbegäran mail.docx", "A 14002-2022")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46286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46286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46286</v>
      </c>
      <c r="F55" t="inlineStr">
        <is>
          <t>VÄRMLANDS LÄN</t>
        </is>
      </c>
      <c r="G55" t="inlineStr">
        <is>
          <t>KARLSTAD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HYPERLINK("https://klasma.github.io/Logging_1780/artfynd/A 56238-2025 artfynd.xlsx", "A 56238-2025")</f>
        <v/>
      </c>
      <c r="X55">
        <f>HYPERLINK("https://klasma.github.io/Logging_1780/kartor/A 56238-2025 karta.png", "A 56238-2025")</f>
        <v/>
      </c>
      <c r="Y55">
        <f>HYPERLINK("https://klasma.github.io/Logging_1780/kartor_geotiff/A 56238-2025 georefererad karta.tif", "A 56238-2025")</f>
        <v/>
      </c>
      <c r="AA55">
        <f>HYPERLINK("https://klasma.github.io/Logging_1780/klagomål/A 56238-2025 FSC-klagomål.docx", "A 56238-2025")</f>
        <v/>
      </c>
      <c r="AB55">
        <f>HYPERLINK("https://klasma.github.io/Logging_1780/klagomålsmail/A 56238-2025 FSC-klagomål mail.docx", "A 56238-2025")</f>
        <v/>
      </c>
      <c r="AC55">
        <f>HYPERLINK("https://klasma.github.io/Logging_1780/tillsyn/A 56238-2025 tillsynsbegäran.docx", "A 56238-2025")</f>
        <v/>
      </c>
      <c r="AD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46286</v>
      </c>
      <c r="F56" t="inlineStr">
        <is>
          <t>VÄRMLANDS LÄN</t>
        </is>
      </c>
      <c r="G56" t="inlineStr">
        <is>
          <t>KARLSTAD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HYPERLINK("https://klasma.github.io/Logging_1780/artfynd/A 56241-2025 artfynd.xlsx", "A 56241-2025")</f>
        <v/>
      </c>
      <c r="X56">
        <f>HYPERLINK("https://klasma.github.io/Logging_1780/kartor/A 56241-2025 karta.png", "A 56241-2025")</f>
        <v/>
      </c>
      <c r="Y56">
        <f>HYPERLINK("https://klasma.github.io/Logging_1780/kartor_geotiff/A 56241-2025 georefererad karta.tif", "A 56241-2025")</f>
        <v/>
      </c>
      <c r="AA56">
        <f>HYPERLINK("https://klasma.github.io/Logging_1780/klagomål/A 56241-2025 FSC-klagomål.docx", "A 56241-2025")</f>
        <v/>
      </c>
      <c r="AB56">
        <f>HYPERLINK("https://klasma.github.io/Logging_1780/klagomålsmail/A 56241-2025 FSC-klagomål mail.docx", "A 56241-2025")</f>
        <v/>
      </c>
      <c r="AC56">
        <f>HYPERLINK("https://klasma.github.io/Logging_1780/tillsyn/A 56241-2025 tillsynsbegäran.docx", "A 56241-2025")</f>
        <v/>
      </c>
      <c r="AD56">
        <f>HYPERLINK("https://klasma.github.io/Logging_1780/tillsynsmail/A 56241-2025 tillsynsbegäran mail.docx", "A 56241-2025")</f>
        <v/>
      </c>
    </row>
    <row r="57" ht="15" customHeight="1">
      <c r="A57" t="inlineStr">
        <is>
          <t>A 5131-2026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46286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HYPERLINK("https://klasma.github.io/Logging_1780/artfynd/A 5131-2026 artfynd.xlsx", "A 5131-2026")</f>
        <v/>
      </c>
      <c r="X57">
        <f>HYPERLINK("https://klasma.github.io/Logging_1780/kartor/A 5131-2026 karta.png", "A 5131-2026")</f>
        <v/>
      </c>
      <c r="Y57">
        <f>HYPERLINK("https://klasma.github.io/Logging_1780/kartor_geotiff/A 5131-2026 georefererad karta.tif", "A 5131-2026")</f>
        <v/>
      </c>
      <c r="AA57">
        <f>HYPERLINK("https://klasma.github.io/Logging_1780/klagomål/A 5131-2026 FSC-klagomål.docx", "A 5131-2026")</f>
        <v/>
      </c>
      <c r="AB57">
        <f>HYPERLINK("https://klasma.github.io/Logging_1780/klagomålsmail/A 5131-2026 FSC-klagomål mail.docx", "A 5131-2026")</f>
        <v/>
      </c>
      <c r="AC57">
        <f>HYPERLINK("https://klasma.github.io/Logging_1780/tillsyn/A 5131-2026 tillsynsbegäran.docx", "A 5131-2026")</f>
        <v/>
      </c>
      <c r="AD57">
        <f>HYPERLINK("https://klasma.github.io/Logging_1780/tillsynsmail/A 5131-2026 tillsynsbegäran mail.docx", "A 5131-2026")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46286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46286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46286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46286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46286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20241-2022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44698</v>
      </c>
      <c r="E63" s="1" t="n">
        <v>46286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Större vattensalamander</t>
        </is>
      </c>
      <c r="W63">
        <f>HYPERLINK("https://klasma.github.io/Logging_1780/artfynd/A 20241-2022 artfynd.xlsx", "A 20241-2022")</f>
        <v/>
      </c>
      <c r="X63">
        <f>HYPERLINK("https://klasma.github.io/Logging_1780/kartor/A 20241-2022 karta.png", "A 20241-2022")</f>
        <v/>
      </c>
      <c r="Y63">
        <f>HYPERLINK("https://klasma.github.io/Logging_1780/kartor_geotiff/A 20241-2022 georefererad karta.tif", "A 20241-2022")</f>
        <v/>
      </c>
      <c r="AA63">
        <f>HYPERLINK("https://klasma.github.io/Logging_1780/klagomål/A 20241-2022 FSC-klagomål.docx", "A 20241-2022")</f>
        <v/>
      </c>
      <c r="AB63">
        <f>HYPERLINK("https://klasma.github.io/Logging_1780/klagomålsmail/A 20241-2022 FSC-klagomål mail.docx", "A 20241-2022")</f>
        <v/>
      </c>
      <c r="AC63">
        <f>HYPERLINK("https://klasma.github.io/Logging_1780/tillsyn/A 20241-2022 tillsynsbegäran.docx", "A 20241-2022")</f>
        <v/>
      </c>
      <c r="AD63">
        <f>HYPERLINK("https://klasma.github.io/Logging_1780/tillsynsmail/A 20241-2022 tillsynsbegäran mail.docx", "A 20241-2022")</f>
        <v/>
      </c>
    </row>
    <row r="64" ht="15" customHeight="1">
      <c r="A64" t="inlineStr">
        <is>
          <t>A 16739-2026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46113</v>
      </c>
      <c r="E64" s="1" t="n">
        <v>46286</v>
      </c>
      <c r="F64" t="inlineStr">
        <is>
          <t>VÄRMLANDS LÄN</t>
        </is>
      </c>
      <c r="G64" t="inlineStr">
        <is>
          <t>KARLSTAD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HYPERLINK("https://klasma.github.io/Logging_1780/artfynd/A 16739-2026 artfynd.xlsx", "A 16739-2026")</f>
        <v/>
      </c>
      <c r="X64">
        <f>HYPERLINK("https://klasma.github.io/Logging_1780/kartor/A 16739-2026 karta.png", "A 16739-2026")</f>
        <v/>
      </c>
      <c r="Y64">
        <f>HYPERLINK("https://klasma.github.io/Logging_1780/kartor_geotiff/A 16739-2026 georefererad karta.tif", "A 16739-2026")</f>
        <v/>
      </c>
      <c r="AA64">
        <f>HYPERLINK("https://klasma.github.io/Logging_1780/klagomål/A 16739-2026 FSC-klagomål.docx", "A 16739-2026")</f>
        <v/>
      </c>
      <c r="AB64">
        <f>HYPERLINK("https://klasma.github.io/Logging_1780/klagomålsmail/A 16739-2026 FSC-klagomål mail.docx", "A 16739-2026")</f>
        <v/>
      </c>
      <c r="AC64">
        <f>HYPERLINK("https://klasma.github.io/Logging_1780/tillsyn/A 16739-2026 tillsynsbegäran.docx", "A 16739-2026")</f>
        <v/>
      </c>
      <c r="AD64">
        <f>HYPERLINK("https://klasma.github.io/Logging_1780/tillsynsmail/A 16739-2026 tillsynsbegäran mail.docx", "A 16739-2026")</f>
        <v/>
      </c>
      <c r="AE64">
        <f>HYPERLINK("https://klasma.github.io/Logging_1780/fåglar/A 16739-2026 prioriterade fågelarter.docx", "A 16739-2026")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46286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9470-2023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46286</v>
      </c>
      <c r="F66" t="inlineStr">
        <is>
          <t>VÄRMLANDS LÄN</t>
        </is>
      </c>
      <c r="G66" t="inlineStr">
        <is>
          <t>KARLSTAD</t>
        </is>
      </c>
      <c r="H66" t="inlineStr">
        <is>
          <t>Kyrkan</t>
        </is>
      </c>
      <c r="I66" t="n">
        <v>9.800000000000001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HYPERLINK("https://klasma.github.io/Logging_1780/artfynd/A 9470-2023 artfynd.xlsx", "A 9470-2023")</f>
        <v/>
      </c>
      <c r="X66">
        <f>HYPERLINK("https://klasma.github.io/Logging_1780/kartor/A 9470-2023 karta.png", "A 9470-2023")</f>
        <v/>
      </c>
      <c r="Y66">
        <f>HYPERLINK("https://klasma.github.io/Logging_1780/kartor_geotiff/A 9470-2023 georefererad karta.tif", "A 9470-2023")</f>
        <v/>
      </c>
      <c r="AA66">
        <f>HYPERLINK("https://klasma.github.io/Logging_1780/klagomål/A 9470-2023 FSC-klagomål.docx", "A 9470-2023")</f>
        <v/>
      </c>
      <c r="AB66">
        <f>HYPERLINK("https://klasma.github.io/Logging_1780/klagomålsmail/A 9470-2023 FSC-klagomål mail.docx", "A 9470-2023")</f>
        <v/>
      </c>
      <c r="AC66">
        <f>HYPERLINK("https://klasma.github.io/Logging_1780/tillsyn/A 9470-2023 tillsynsbegäran.docx", "A 9470-2023")</f>
        <v/>
      </c>
      <c r="AD66">
        <f>HYPERLINK("https://klasma.github.io/Logging_1780/tillsynsmail/A 9470-2023 tillsynsbegäran mail.docx", "A 9470-2023")</f>
        <v/>
      </c>
    </row>
    <row r="67" ht="15" customHeight="1">
      <c r="A67" t="inlineStr">
        <is>
          <t>A 18470-2022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44686</v>
      </c>
      <c r="E67" s="1" t="n">
        <v>46286</v>
      </c>
      <c r="F67" t="inlineStr">
        <is>
          <t>VÄRMLANDS LÄN</t>
        </is>
      </c>
      <c r="G67" t="inlineStr">
        <is>
          <t>KARLSTAD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Sparvuggla</t>
        </is>
      </c>
      <c r="W67">
        <f>HYPERLINK("https://klasma.github.io/Logging_1780/artfynd/A 18470-2022 artfynd.xlsx", "A 18470-2022")</f>
        <v/>
      </c>
      <c r="X67">
        <f>HYPERLINK("https://klasma.github.io/Logging_1780/kartor/A 18470-2022 karta.png", "A 18470-2022")</f>
        <v/>
      </c>
      <c r="Y67">
        <f>HYPERLINK("https://klasma.github.io/Logging_1780/kartor_geotiff/A 18470-2022 georefererad karta.tif", "A 18470-2022")</f>
        <v/>
      </c>
      <c r="AA67">
        <f>HYPERLINK("https://klasma.github.io/Logging_1780/klagomål/A 18470-2022 FSC-klagomål.docx", "A 18470-2022")</f>
        <v/>
      </c>
      <c r="AB67">
        <f>HYPERLINK("https://klasma.github.io/Logging_1780/klagomålsmail/A 18470-2022 FSC-klagomål mail.docx", "A 18470-2022")</f>
        <v/>
      </c>
      <c r="AC67">
        <f>HYPERLINK("https://klasma.github.io/Logging_1780/tillsyn/A 18470-2022 tillsynsbegäran.docx", "A 18470-2022")</f>
        <v/>
      </c>
      <c r="AD67">
        <f>HYPERLINK("https://klasma.github.io/Logging_1780/tillsynsmail/A 18470-2022 tillsynsbegäran mail.docx", "A 18470-2022")</f>
        <v/>
      </c>
      <c r="AE67">
        <f>HYPERLINK("https://klasma.github.io/Logging_1780/fåglar/A 18470-2022 prioriterade fågelarter.docx", "A 18470-2022")</f>
        <v/>
      </c>
    </row>
    <row r="68" ht="15" customHeight="1">
      <c r="A68" t="inlineStr">
        <is>
          <t>A 55277-2021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46286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3.7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Vitfläckig guldvinge</t>
        </is>
      </c>
      <c r="W68">
        <f>HYPERLINK("https://klasma.github.io/Logging_1780/artfynd/A 55277-2021 artfynd.xlsx", "A 55277-2021")</f>
        <v/>
      </c>
      <c r="X68">
        <f>HYPERLINK("https://klasma.github.io/Logging_1780/kartor/A 55277-2021 karta.png", "A 55277-2021")</f>
        <v/>
      </c>
      <c r="Y68">
        <f>HYPERLINK("https://klasma.github.io/Logging_1780/kartor_geotiff/A 55277-2021 georefererad karta.tif", "A 55277-2021")</f>
        <v/>
      </c>
      <c r="AA68">
        <f>HYPERLINK("https://klasma.github.io/Logging_1780/klagomål/A 55277-2021 FSC-klagomål.docx", "A 55277-2021")</f>
        <v/>
      </c>
      <c r="AB68">
        <f>HYPERLINK("https://klasma.github.io/Logging_1780/klagomålsmail/A 55277-2021 FSC-klagomål mail.docx", "A 55277-2021")</f>
        <v/>
      </c>
      <c r="AC68">
        <f>HYPERLINK("https://klasma.github.io/Logging_1780/tillsyn/A 55277-2021 tillsynsbegäran.docx", "A 55277-2021")</f>
        <v/>
      </c>
      <c r="AD68">
        <f>HYPERLINK("https://klasma.github.io/Logging_1780/tillsynsmail/A 55277-2021 tillsynsbegäran mail.docx", "A 55277-2021")</f>
        <v/>
      </c>
    </row>
    <row r="69" ht="15" customHeight="1">
      <c r="A69" t="inlineStr">
        <is>
          <t>A 51895-2024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45607</v>
      </c>
      <c r="E69" s="1" t="n">
        <v>46286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Strutbräken</t>
        </is>
      </c>
      <c r="W69">
        <f>HYPERLINK("https://klasma.github.io/Logging_1780/artfynd/A 51895-2024 artfynd.xlsx", "A 51895-2024")</f>
        <v/>
      </c>
      <c r="X69">
        <f>HYPERLINK("https://klasma.github.io/Logging_1780/kartor/A 51895-2024 karta.png", "A 51895-2024")</f>
        <v/>
      </c>
      <c r="Y69">
        <f>HYPERLINK("https://klasma.github.io/Logging_1780/kartor_geotiff/A 51895-2024 georefererad karta.tif", "A 51895-2024")</f>
        <v/>
      </c>
      <c r="AA69">
        <f>HYPERLINK("https://klasma.github.io/Logging_1780/klagomål/A 51895-2024 FSC-klagomål.docx", "A 51895-2024")</f>
        <v/>
      </c>
      <c r="AB69">
        <f>HYPERLINK("https://klasma.github.io/Logging_1780/klagomålsmail/A 51895-2024 FSC-klagomål mail.docx", "A 51895-2024")</f>
        <v/>
      </c>
      <c r="AC69">
        <f>HYPERLINK("https://klasma.github.io/Logging_1780/tillsyn/A 51895-2024 tillsynsbegäran.docx", "A 51895-2024")</f>
        <v/>
      </c>
      <c r="AD69">
        <f>HYPERLINK("https://klasma.github.io/Logging_1780/tillsynsmail/A 51895-2024 tillsynsbegäran mail.docx", "A 51895-2024")</f>
        <v/>
      </c>
    </row>
    <row r="70" ht="15" customHeight="1">
      <c r="A70" t="inlineStr">
        <is>
          <t>A 32531-2025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46286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5.8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HYPERLINK("https://klasma.github.io/Logging_1780/artfynd/A 32531-2025 artfynd.xlsx", "A 32531-2025")</f>
        <v/>
      </c>
      <c r="X70">
        <f>HYPERLINK("https://klasma.github.io/Logging_1780/kartor/A 32531-2025 karta.png", "A 32531-2025")</f>
        <v/>
      </c>
      <c r="Y70">
        <f>HYPERLINK("https://klasma.github.io/Logging_1780/kartor_geotiff/A 32531-2025 georefererad karta.tif", "A 32531-2025")</f>
        <v/>
      </c>
      <c r="AA70">
        <f>HYPERLINK("https://klasma.github.io/Logging_1780/klagomål/A 32531-2025 FSC-klagomål.docx", "A 32531-2025")</f>
        <v/>
      </c>
      <c r="AB70">
        <f>HYPERLINK("https://klasma.github.io/Logging_1780/klagomålsmail/A 32531-2025 FSC-klagomål mail.docx", "A 32531-2025")</f>
        <v/>
      </c>
      <c r="AC70">
        <f>HYPERLINK("https://klasma.github.io/Logging_1780/tillsyn/A 32531-2025 tillsynsbegäran.docx", "A 32531-2025")</f>
        <v/>
      </c>
      <c r="AD70">
        <f>HYPERLINK("https://klasma.github.io/Logging_1780/tillsynsmail/A 32531-2025 tillsynsbegäran mail.docx", "A 32531-2025")</f>
        <v/>
      </c>
      <c r="AE70">
        <f>HYPERLINK("https://klasma.github.io/Logging_1780/fåglar/A 32531-2025 prioriterade fågelarter.docx", "A 32531-2025")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46286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46286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46286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59627-2021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46286</v>
      </c>
      <c r="F74" t="inlineStr">
        <is>
          <t>VÄRMLANDS LÄN</t>
        </is>
      </c>
      <c r="G74" t="inlineStr">
        <is>
          <t>KARLSTAD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46286</v>
      </c>
      <c r="F75" t="inlineStr">
        <is>
          <t>VÄRMLANDS LÄN</t>
        </is>
      </c>
      <c r="G75" t="inlineStr">
        <is>
          <t>KARLSTAD</t>
        </is>
      </c>
      <c r="H75" t="inlineStr">
        <is>
          <t>Kommuner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46286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46286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46286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44593</v>
      </c>
      <c r="E79" s="1" t="n">
        <v>46286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70254-2021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44536</v>
      </c>
      <c r="E80" s="1" t="n">
        <v>46286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46286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46286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46286</v>
      </c>
      <c r="F83" t="inlineStr">
        <is>
          <t>VÄRMLANDS LÄN</t>
        </is>
      </c>
      <c r="G83" t="inlineStr">
        <is>
          <t>KARLSTAD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46286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46286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46286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46286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46286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44566</v>
      </c>
      <c r="E89" s="1" t="n">
        <v>46286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46286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44599</v>
      </c>
      <c r="E91" s="1" t="n">
        <v>46286</v>
      </c>
      <c r="F91" t="inlineStr">
        <is>
          <t>VÄRMLANDS LÄN</t>
        </is>
      </c>
      <c r="G91" t="inlineStr">
        <is>
          <t>KARLSTAD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46286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46286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46286</v>
      </c>
      <c r="F94" t="inlineStr">
        <is>
          <t>VÄRMLANDS LÄN</t>
        </is>
      </c>
      <c r="G94" t="inlineStr">
        <is>
          <t>KARLSTAD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46286</v>
      </c>
      <c r="F95" t="inlineStr">
        <is>
          <t>VÄRMLANDS LÄN</t>
        </is>
      </c>
      <c r="G95" t="inlineStr">
        <is>
          <t>KARLSTAD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46286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46286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46286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46286</v>
      </c>
      <c r="F99" t="inlineStr">
        <is>
          <t>VÄRMLANDS LÄN</t>
        </is>
      </c>
      <c r="G99" t="inlineStr">
        <is>
          <t>KARLSTAD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46286</v>
      </c>
      <c r="F100" t="inlineStr">
        <is>
          <t>VÄRMLANDS LÄN</t>
        </is>
      </c>
      <c r="G100" t="inlineStr">
        <is>
          <t>KARLSTAD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46286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46286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46286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46286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46286</v>
      </c>
      <c r="F105" t="inlineStr">
        <is>
          <t>VÄRMLANDS LÄN</t>
        </is>
      </c>
      <c r="G105" t="inlineStr">
        <is>
          <t>KARLSTAD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46286</v>
      </c>
      <c r="F106" t="inlineStr">
        <is>
          <t>VÄRMLANDS LÄN</t>
        </is>
      </c>
      <c r="G106" t="inlineStr">
        <is>
          <t>KARLSTAD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46286</v>
      </c>
      <c r="F107" t="inlineStr">
        <is>
          <t>VÄRMLANDS LÄN</t>
        </is>
      </c>
      <c r="G107" t="inlineStr">
        <is>
          <t>KARLSTAD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46286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46286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46286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46286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46286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46286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46286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46286</v>
      </c>
      <c r="F115" t="inlineStr">
        <is>
          <t>VÄRMLANDS LÄN</t>
        </is>
      </c>
      <c r="G115" t="inlineStr">
        <is>
          <t>KARLSTAD</t>
        </is>
      </c>
      <c r="H115" t="inlineStr">
        <is>
          <t>Naturvårdsverket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46286</v>
      </c>
      <c r="F116" t="inlineStr">
        <is>
          <t>VÄRMLANDS LÄN</t>
        </is>
      </c>
      <c r="G116" t="inlineStr">
        <is>
          <t>KARLSTAD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40855-2022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44825</v>
      </c>
      <c r="E117" s="1" t="n">
        <v>46286</v>
      </c>
      <c r="F117" t="inlineStr">
        <is>
          <t>VÄRMLANDS LÄN</t>
        </is>
      </c>
      <c r="G117" t="inlineStr">
        <is>
          <t>KARLSTAD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46286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46286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44613</v>
      </c>
      <c r="E120" s="1" t="n">
        <v>46286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46286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46286</v>
      </c>
      <c r="F122" t="inlineStr">
        <is>
          <t>VÄRMLANDS LÄN</t>
        </is>
      </c>
      <c r="G122" t="inlineStr">
        <is>
          <t>KARLSTAD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44593</v>
      </c>
      <c r="E123" s="1" t="n">
        <v>46286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46286</v>
      </c>
      <c r="F124" t="inlineStr">
        <is>
          <t>VÄRMLANDS LÄN</t>
        </is>
      </c>
      <c r="G124" t="inlineStr">
        <is>
          <t>KARLSTAD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46286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46286</v>
      </c>
      <c r="F126" t="inlineStr">
        <is>
          <t>VÄRMLANDS LÄN</t>
        </is>
      </c>
      <c r="G126" t="inlineStr">
        <is>
          <t>KARLSTAD</t>
        </is>
      </c>
      <c r="H126" t="inlineStr">
        <is>
          <t>Övriga statliga verk och myndigheter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44754</v>
      </c>
      <c r="E127" s="1" t="n">
        <v>46286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46286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73004-2021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44547</v>
      </c>
      <c r="E129" s="1" t="n">
        <v>46286</v>
      </c>
      <c r="F129" t="inlineStr">
        <is>
          <t>VÄRMLANDS LÄN</t>
        </is>
      </c>
      <c r="G129" t="inlineStr">
        <is>
          <t>KARLSTAD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46286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46286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10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46286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46286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44763</v>
      </c>
      <c r="E134" s="1" t="n">
        <v>46286</v>
      </c>
      <c r="F134" t="inlineStr">
        <is>
          <t>VÄRMLANDS LÄN</t>
        </is>
      </c>
      <c r="G134" t="inlineStr">
        <is>
          <t>KARLSTAD</t>
        </is>
      </c>
      <c r="H134" t="inlineStr">
        <is>
          <t>Kyrkan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45039</v>
      </c>
      <c r="E135" s="1" t="n">
        <v>46286</v>
      </c>
      <c r="F135" t="inlineStr">
        <is>
          <t>VÄRMLANDS LÄN</t>
        </is>
      </c>
      <c r="G135" t="inlineStr">
        <is>
          <t>KARLSTAD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46286</v>
      </c>
      <c r="F136" t="inlineStr">
        <is>
          <t>VÄRMLANDS LÄN</t>
        </is>
      </c>
      <c r="G136" t="inlineStr">
        <is>
          <t>KARLSTAD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46286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46286</v>
      </c>
      <c r="F138" t="inlineStr">
        <is>
          <t>VÄRMLANDS LÄN</t>
        </is>
      </c>
      <c r="G138" t="inlineStr">
        <is>
          <t>KARLSTAD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46286</v>
      </c>
      <c r="F139" t="inlineStr">
        <is>
          <t>VÄRMLANDS LÄN</t>
        </is>
      </c>
      <c r="G139" t="inlineStr">
        <is>
          <t>KARLSTAD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46286</v>
      </c>
      <c r="F140" t="inlineStr">
        <is>
          <t>VÄRMLANDS LÄN</t>
        </is>
      </c>
      <c r="G140" t="inlineStr">
        <is>
          <t>KARLSTAD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46286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46286</v>
      </c>
      <c r="F142" t="inlineStr">
        <is>
          <t>VÄRMLANDS LÄN</t>
        </is>
      </c>
      <c r="G142" t="inlineStr">
        <is>
          <t>KARLSTAD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45307</v>
      </c>
      <c r="E143" s="1" t="n">
        <v>46286</v>
      </c>
      <c r="F143" t="inlineStr">
        <is>
          <t>VÄRMLANDS LÄN</t>
        </is>
      </c>
      <c r="G143" t="inlineStr">
        <is>
          <t>KARLSTAD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46286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46286</v>
      </c>
      <c r="F145" t="inlineStr">
        <is>
          <t>VÄRMLANDS LÄN</t>
        </is>
      </c>
      <c r="G145" t="inlineStr">
        <is>
          <t>KARLSTAD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73753-2021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46286</v>
      </c>
      <c r="F146" t="inlineStr">
        <is>
          <t>VÄRMLANDS LÄN</t>
        </is>
      </c>
      <c r="G146" t="inlineStr">
        <is>
          <t>KARLSTAD</t>
        </is>
      </c>
      <c r="H146" t="inlineStr">
        <is>
          <t>Kyrkan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46286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45698</v>
      </c>
      <c r="E148" s="1" t="n">
        <v>46286</v>
      </c>
      <c r="F148" t="inlineStr">
        <is>
          <t>VÄRMLANDS LÄN</t>
        </is>
      </c>
      <c r="G148" t="inlineStr">
        <is>
          <t>KARLSTAD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46286</v>
      </c>
      <c r="F149" t="inlineStr">
        <is>
          <t>VÄRMLANDS LÄN</t>
        </is>
      </c>
      <c r="G149" t="inlineStr">
        <is>
          <t>KARLSTAD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45071</v>
      </c>
      <c r="E150" s="1" t="n">
        <v>46286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46286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46286</v>
      </c>
      <c r="F152" t="inlineStr">
        <is>
          <t>VÄRMLANDS LÄN</t>
        </is>
      </c>
      <c r="G152" t="inlineStr">
        <is>
          <t>KARLSTAD</t>
        </is>
      </c>
      <c r="I152" t="n">
        <v>10.6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45487</v>
      </c>
      <c r="E153" s="1" t="n">
        <v>46286</v>
      </c>
      <c r="F153" t="inlineStr">
        <is>
          <t>VÄRMLANDS LÄN</t>
        </is>
      </c>
      <c r="G153" t="inlineStr">
        <is>
          <t>KARLSTAD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46286</v>
      </c>
      <c r="F154" t="inlineStr">
        <is>
          <t>VÄRMLANDS LÄN</t>
        </is>
      </c>
      <c r="G154" t="inlineStr">
        <is>
          <t>KARLSTAD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46286</v>
      </c>
      <c r="F155" t="inlineStr">
        <is>
          <t>VÄRMLANDS LÄN</t>
        </is>
      </c>
      <c r="G155" t="inlineStr">
        <is>
          <t>KARLSTAD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46286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46286</v>
      </c>
      <c r="F157" t="inlineStr">
        <is>
          <t>VÄRMLANDS LÄN</t>
        </is>
      </c>
      <c r="G157" t="inlineStr">
        <is>
          <t>KARLSTAD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45457</v>
      </c>
      <c r="E158" s="1" t="n">
        <v>46286</v>
      </c>
      <c r="F158" t="inlineStr">
        <is>
          <t>VÄRMLANDS LÄN</t>
        </is>
      </c>
      <c r="G158" t="inlineStr">
        <is>
          <t>KARLSTAD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46286</v>
      </c>
      <c r="F159" t="inlineStr">
        <is>
          <t>VÄRMLANDS LÄN</t>
        </is>
      </c>
      <c r="G159" t="inlineStr">
        <is>
          <t>KARLSTAD</t>
        </is>
      </c>
      <c r="I159" t="n">
        <v>22.7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46286</v>
      </c>
      <c r="F160" t="inlineStr">
        <is>
          <t>VÄRMLANDS LÄN</t>
        </is>
      </c>
      <c r="G160" t="inlineStr">
        <is>
          <t>KARLSTAD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46286</v>
      </c>
      <c r="F161" t="inlineStr">
        <is>
          <t>VÄRMLANDS LÄN</t>
        </is>
      </c>
      <c r="G161" t="inlineStr">
        <is>
          <t>KARLSTAD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46286</v>
      </c>
      <c r="F162" t="inlineStr">
        <is>
          <t>VÄRMLANDS LÄN</t>
        </is>
      </c>
      <c r="G162" t="inlineStr">
        <is>
          <t>KARLSTAD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45238</v>
      </c>
      <c r="E163" s="1" t="n">
        <v>46286</v>
      </c>
      <c r="F163" t="inlineStr">
        <is>
          <t>VÄRMLANDS LÄN</t>
        </is>
      </c>
      <c r="G163" t="inlineStr">
        <is>
          <t>KARLSTAD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46286</v>
      </c>
      <c r="F164" t="inlineStr">
        <is>
          <t>VÄRMLANDS LÄN</t>
        </is>
      </c>
      <c r="G164" t="inlineStr">
        <is>
          <t>KARLSTAD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46286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46286</v>
      </c>
      <c r="F166" t="inlineStr">
        <is>
          <t>VÄRMLANDS LÄN</t>
        </is>
      </c>
      <c r="G166" t="inlineStr">
        <is>
          <t>KARLSTAD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46286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46286</v>
      </c>
      <c r="F168" t="inlineStr">
        <is>
          <t>VÄRMLANDS LÄN</t>
        </is>
      </c>
      <c r="G168" t="inlineStr">
        <is>
          <t>KARLSTAD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44985</v>
      </c>
      <c r="E169" s="1" t="n">
        <v>46286</v>
      </c>
      <c r="F169" t="inlineStr">
        <is>
          <t>VÄRMLANDS LÄN</t>
        </is>
      </c>
      <c r="G169" t="inlineStr">
        <is>
          <t>KARLSTAD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46286</v>
      </c>
      <c r="F170" t="inlineStr">
        <is>
          <t>VÄRMLANDS LÄN</t>
        </is>
      </c>
      <c r="G170" t="inlineStr">
        <is>
          <t>KARLSTAD</t>
        </is>
      </c>
      <c r="I170" t="n">
        <v>8.6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46286</v>
      </c>
      <c r="F171" t="inlineStr">
        <is>
          <t>VÄRMLANDS LÄN</t>
        </is>
      </c>
      <c r="G171" t="inlineStr">
        <is>
          <t>KARLSTAD</t>
        </is>
      </c>
      <c r="H171" t="inlineStr">
        <is>
          <t>Övriga statliga verk och myndigheter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45704</v>
      </c>
      <c r="E172" s="1" t="n">
        <v>46286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46286</v>
      </c>
      <c r="F173" t="inlineStr">
        <is>
          <t>VÄRMLANDS LÄN</t>
        </is>
      </c>
      <c r="G173" t="inlineStr">
        <is>
          <t>KARLSTAD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45168</v>
      </c>
      <c r="E174" s="1" t="n">
        <v>46286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46286</v>
      </c>
      <c r="F175" t="inlineStr">
        <is>
          <t>VÄRMLANDS LÄN</t>
        </is>
      </c>
      <c r="G175" t="inlineStr">
        <is>
          <t>KARLSTAD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46286</v>
      </c>
      <c r="F176" t="inlineStr">
        <is>
          <t>VÄRMLANDS LÄN</t>
        </is>
      </c>
      <c r="G176" t="inlineStr">
        <is>
          <t>KARLSTAD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46286</v>
      </c>
      <c r="F177" t="inlineStr">
        <is>
          <t>VÄRMLANDS LÄN</t>
        </is>
      </c>
      <c r="G177" t="inlineStr">
        <is>
          <t>KARLSTAD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45095</v>
      </c>
      <c r="E178" s="1" t="n">
        <v>46286</v>
      </c>
      <c r="F178" t="inlineStr">
        <is>
          <t>VÄRMLANDS LÄN</t>
        </is>
      </c>
      <c r="G178" t="inlineStr">
        <is>
          <t>KARLSTAD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44566</v>
      </c>
      <c r="E179" s="1" t="n">
        <v>46286</v>
      </c>
      <c r="F179" t="inlineStr">
        <is>
          <t>VÄRMLANDS LÄN</t>
        </is>
      </c>
      <c r="G179" t="inlineStr">
        <is>
          <t>KARLSTAD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46286</v>
      </c>
      <c r="F180" t="inlineStr">
        <is>
          <t>VÄRMLANDS LÄN</t>
        </is>
      </c>
      <c r="G180" t="inlineStr">
        <is>
          <t>KARLSTAD</t>
        </is>
      </c>
      <c r="H180" t="inlineStr">
        <is>
          <t>Kommuner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46286</v>
      </c>
      <c r="F181" t="inlineStr">
        <is>
          <t>VÄRMLANDS LÄN</t>
        </is>
      </c>
      <c r="G181" t="inlineStr">
        <is>
          <t>KARLSTAD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  <c r="Z181">
        <f>HYPERLINK("https://klasma.github.io/Logging_1780/knärot/A 55764-2022 karta knärot.png", "A 55764-2022")</f>
        <v/>
      </c>
      <c r="AA181">
        <f>HYPERLINK("https://klasma.github.io/Logging_1780/klagomål/A 55764-2022 FSC-klagomål.docx", "A 55764-2022")</f>
        <v/>
      </c>
      <c r="AB181">
        <f>HYPERLINK("https://klasma.github.io/Logging_1780/klagomålsmail/A 55764-2022 FSC-klagomål mail.docx", "A 55764-2022")</f>
        <v/>
      </c>
      <c r="AC181">
        <f>HYPERLINK("https://klasma.github.io/Logging_1780/tillsyn/A 55764-2022 tillsynsbegäran.docx", "A 55764-2022")</f>
        <v/>
      </c>
      <c r="AD181">
        <f>HYPERLINK("https://klasma.github.io/Logging_1780/tillsynsmail/A 55764-2022 tillsynsbegäran mail.docx", "A 55764-2022")</f>
        <v/>
      </c>
    </row>
    <row r="182" ht="15" customHeight="1">
      <c r="A182" t="inlineStr">
        <is>
          <t>A 41376-2024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46286</v>
      </c>
      <c r="F182" t="inlineStr">
        <is>
          <t>VÄRMLANDS LÄN</t>
        </is>
      </c>
      <c r="G182" t="inlineStr">
        <is>
          <t>KARLSTAD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45711</v>
      </c>
      <c r="E183" s="1" t="n">
        <v>46286</v>
      </c>
      <c r="F183" t="inlineStr">
        <is>
          <t>VÄRMLANDS LÄN</t>
        </is>
      </c>
      <c r="G183" t="inlineStr">
        <is>
          <t>KARLSTAD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44654</v>
      </c>
      <c r="E184" s="1" t="n">
        <v>46286</v>
      </c>
      <c r="F184" t="inlineStr">
        <is>
          <t>VÄRMLANDS LÄN</t>
        </is>
      </c>
      <c r="G184" t="inlineStr">
        <is>
          <t>KARLSTAD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46286</v>
      </c>
      <c r="F185" t="inlineStr">
        <is>
          <t>VÄRMLANDS LÄN</t>
        </is>
      </c>
      <c r="G185" t="inlineStr">
        <is>
          <t>KARLSTAD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46286</v>
      </c>
      <c r="F186" t="inlineStr">
        <is>
          <t>VÄRMLANDS LÄN</t>
        </is>
      </c>
      <c r="G186" t="inlineStr">
        <is>
          <t>KARLSTAD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46286</v>
      </c>
      <c r="F187" t="inlineStr">
        <is>
          <t>VÄRMLANDS LÄN</t>
        </is>
      </c>
      <c r="G187" t="inlineStr">
        <is>
          <t>KARLSTAD</t>
        </is>
      </c>
      <c r="H187" t="inlineStr">
        <is>
          <t>Bergvik skog väst AB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45432</v>
      </c>
      <c r="E188" s="1" t="n">
        <v>46286</v>
      </c>
      <c r="F188" t="inlineStr">
        <is>
          <t>VÄRMLANDS LÄN</t>
        </is>
      </c>
      <c r="G188" t="inlineStr">
        <is>
          <t>KARLSTAD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46286</v>
      </c>
      <c r="F189" t="inlineStr">
        <is>
          <t>VÄRMLANDS LÄN</t>
        </is>
      </c>
      <c r="G189" t="inlineStr">
        <is>
          <t>KARLSTAD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44855</v>
      </c>
      <c r="E190" s="1" t="n">
        <v>46286</v>
      </c>
      <c r="F190" t="inlineStr">
        <is>
          <t>VÄRMLANDS LÄN</t>
        </is>
      </c>
      <c r="G190" t="inlineStr">
        <is>
          <t>KARLSTAD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13287-2024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45386</v>
      </c>
      <c r="E191" s="1" t="n">
        <v>46286</v>
      </c>
      <c r="F191" t="inlineStr">
        <is>
          <t>VÄRMLANDS LÄN</t>
        </is>
      </c>
      <c r="G191" t="inlineStr">
        <is>
          <t>KARLSTAD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47349-2022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44852</v>
      </c>
      <c r="E192" s="1" t="n">
        <v>46286</v>
      </c>
      <c r="F192" t="inlineStr">
        <is>
          <t>VÄRMLANDS LÄN</t>
        </is>
      </c>
      <c r="G192" t="inlineStr">
        <is>
          <t>KARLSTAD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44952</v>
      </c>
      <c r="E193" s="1" t="n">
        <v>46286</v>
      </c>
      <c r="F193" t="inlineStr">
        <is>
          <t>VÄRMLANDS LÄN</t>
        </is>
      </c>
      <c r="G193" t="inlineStr">
        <is>
          <t>KARLSTAD</t>
        </is>
      </c>
      <c r="I193" t="n">
        <v>10.7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45005</v>
      </c>
      <c r="E194" s="1" t="n">
        <v>46286</v>
      </c>
      <c r="F194" t="inlineStr">
        <is>
          <t>VÄRMLANDS LÄN</t>
        </is>
      </c>
      <c r="G194" t="inlineStr">
        <is>
          <t>KARLSTAD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46286</v>
      </c>
      <c r="F195" t="inlineStr">
        <is>
          <t>VÄRMLANDS LÄN</t>
        </is>
      </c>
      <c r="G195" t="inlineStr">
        <is>
          <t>KARLSTAD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44484</v>
      </c>
      <c r="E196" s="1" t="n">
        <v>46286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46286</v>
      </c>
      <c r="F197" t="inlineStr">
        <is>
          <t>VÄRMLANDS LÄN</t>
        </is>
      </c>
      <c r="G197" t="inlineStr">
        <is>
          <t>KARLSTAD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46286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46286</v>
      </c>
      <c r="F199" t="inlineStr">
        <is>
          <t>VÄRMLANDS LÄN</t>
        </is>
      </c>
      <c r="G199" t="inlineStr">
        <is>
          <t>KARLSTAD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46286</v>
      </c>
      <c r="F200" t="inlineStr">
        <is>
          <t>VÄRMLANDS LÄN</t>
        </is>
      </c>
      <c r="G200" t="inlineStr">
        <is>
          <t>KARLSTAD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46286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46286</v>
      </c>
      <c r="F202" t="inlineStr">
        <is>
          <t>VÄRMLANDS LÄN</t>
        </is>
      </c>
      <c r="G202" t="inlineStr">
        <is>
          <t>KARLSTAD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45520</v>
      </c>
      <c r="E203" s="1" t="n">
        <v>46286</v>
      </c>
      <c r="F203" t="inlineStr">
        <is>
          <t>VÄRMLANDS LÄN</t>
        </is>
      </c>
      <c r="G203" t="inlineStr">
        <is>
          <t>KARLSTAD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46286</v>
      </c>
      <c r="F204" t="inlineStr">
        <is>
          <t>VÄRMLANDS LÄN</t>
        </is>
      </c>
      <c r="G204" t="inlineStr">
        <is>
          <t>KARLSTAD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46286</v>
      </c>
      <c r="F205" t="inlineStr">
        <is>
          <t>VÄRMLANDS LÄN</t>
        </is>
      </c>
      <c r="G205" t="inlineStr">
        <is>
          <t>KARLSTAD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45114</v>
      </c>
      <c r="E206" s="1" t="n">
        <v>46286</v>
      </c>
      <c r="F206" t="inlineStr">
        <is>
          <t>VÄRMLANDS LÄN</t>
        </is>
      </c>
      <c r="G206" t="inlineStr">
        <is>
          <t>KARLSTAD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46286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46286</v>
      </c>
      <c r="F208" t="inlineStr">
        <is>
          <t>VÄRMLANDS LÄN</t>
        </is>
      </c>
      <c r="G208" t="inlineStr">
        <is>
          <t>KARLSTAD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46286</v>
      </c>
      <c r="F209" t="inlineStr">
        <is>
          <t>VÄRMLANDS LÄN</t>
        </is>
      </c>
      <c r="G209" t="inlineStr">
        <is>
          <t>KARLSTAD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45302</v>
      </c>
      <c r="E210" s="1" t="n">
        <v>46286</v>
      </c>
      <c r="F210" t="inlineStr">
        <is>
          <t>VÄRMLANDS LÄN</t>
        </is>
      </c>
      <c r="G210" t="inlineStr">
        <is>
          <t>KARLSTAD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46286</v>
      </c>
      <c r="F211" t="inlineStr">
        <is>
          <t>VÄRMLANDS LÄN</t>
        </is>
      </c>
      <c r="G211" t="inlineStr">
        <is>
          <t>KARLSTAD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45751</v>
      </c>
      <c r="E212" s="1" t="n">
        <v>46286</v>
      </c>
      <c r="F212" t="inlineStr">
        <is>
          <t>VÄRMLANDS LÄN</t>
        </is>
      </c>
      <c r="G212" t="inlineStr">
        <is>
          <t>KARLSTAD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46286</v>
      </c>
      <c r="F213" t="inlineStr">
        <is>
          <t>VÄRMLANDS LÄN</t>
        </is>
      </c>
      <c r="G213" t="inlineStr">
        <is>
          <t>KARLSTAD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44904</v>
      </c>
      <c r="E214" s="1" t="n">
        <v>46286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46286</v>
      </c>
      <c r="F215" t="inlineStr">
        <is>
          <t>VÄRMLANDS LÄN</t>
        </is>
      </c>
      <c r="G215" t="inlineStr">
        <is>
          <t>KARLSTAD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46286</v>
      </c>
      <c r="F216" t="inlineStr">
        <is>
          <t>VÄRMLANDS LÄN</t>
        </is>
      </c>
      <c r="G216" t="inlineStr">
        <is>
          <t>KARLSTAD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45308</v>
      </c>
      <c r="E217" s="1" t="n">
        <v>46286</v>
      </c>
      <c r="F217" t="inlineStr">
        <is>
          <t>VÄRMLANDS LÄN</t>
        </is>
      </c>
      <c r="G217" t="inlineStr">
        <is>
          <t>KARLSTAD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46286</v>
      </c>
      <c r="F218" t="inlineStr">
        <is>
          <t>VÄRMLANDS LÄN</t>
        </is>
      </c>
      <c r="G218" t="inlineStr">
        <is>
          <t>KARLSTAD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46286</v>
      </c>
      <c r="F219" t="inlineStr">
        <is>
          <t>VÄRMLANDS LÄN</t>
        </is>
      </c>
      <c r="G219" t="inlineStr">
        <is>
          <t>KARLSTAD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46286</v>
      </c>
      <c r="F220" t="inlineStr">
        <is>
          <t>VÄRMLANDS LÄN</t>
        </is>
      </c>
      <c r="G220" t="inlineStr">
        <is>
          <t>KARLSTAD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46286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46286</v>
      </c>
      <c r="F222" t="inlineStr">
        <is>
          <t>VÄRMLANDS LÄN</t>
        </is>
      </c>
      <c r="G222" t="inlineStr">
        <is>
          <t>KARLSTAD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46286</v>
      </c>
      <c r="F223" t="inlineStr">
        <is>
          <t>VÄRMLANDS LÄN</t>
        </is>
      </c>
      <c r="G223" t="inlineStr">
        <is>
          <t>KARLSTAD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46286</v>
      </c>
      <c r="F224" t="inlineStr">
        <is>
          <t>VÄRMLANDS LÄN</t>
        </is>
      </c>
      <c r="G224" t="inlineStr">
        <is>
          <t>KARLSTAD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46286</v>
      </c>
      <c r="F225" t="inlineStr">
        <is>
          <t>VÄRMLANDS LÄN</t>
        </is>
      </c>
      <c r="G225" t="inlineStr">
        <is>
          <t>KARLSTAD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46286</v>
      </c>
      <c r="F226" t="inlineStr">
        <is>
          <t>VÄRMLANDS LÄN</t>
        </is>
      </c>
      <c r="G226" t="inlineStr">
        <is>
          <t>KARLSTAD</t>
        </is>
      </c>
      <c r="I226" t="n">
        <v>10.9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46286</v>
      </c>
      <c r="F227" t="inlineStr">
        <is>
          <t>VÄRMLANDS LÄN</t>
        </is>
      </c>
      <c r="G227" t="inlineStr">
        <is>
          <t>KARLSTAD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46286</v>
      </c>
      <c r="F228" t="inlineStr">
        <is>
          <t>VÄRMLANDS LÄN</t>
        </is>
      </c>
      <c r="G228" t="inlineStr">
        <is>
          <t>KARLSTAD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46286</v>
      </c>
      <c r="F229" t="inlineStr">
        <is>
          <t>VÄRMLANDS LÄN</t>
        </is>
      </c>
      <c r="G229" t="inlineStr">
        <is>
          <t>KARLSTAD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34321-2024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45524</v>
      </c>
      <c r="E230" s="1" t="n">
        <v>46286</v>
      </c>
      <c r="F230" t="inlineStr">
        <is>
          <t>VÄRMLANDS LÄN</t>
        </is>
      </c>
      <c r="G230" t="inlineStr">
        <is>
          <t>KARLSTAD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44937</v>
      </c>
      <c r="E231" s="1" t="n">
        <v>46286</v>
      </c>
      <c r="F231" t="inlineStr">
        <is>
          <t>VÄRMLANDS LÄN</t>
        </is>
      </c>
      <c r="G231" t="inlineStr">
        <is>
          <t>KARLSTAD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45322</v>
      </c>
      <c r="E232" s="1" t="n">
        <v>46286</v>
      </c>
      <c r="F232" t="inlineStr">
        <is>
          <t>VÄRMLANDS LÄN</t>
        </is>
      </c>
      <c r="G232" t="inlineStr">
        <is>
          <t>KARLSTAD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46286</v>
      </c>
      <c r="F233" t="inlineStr">
        <is>
          <t>VÄRMLANDS LÄN</t>
        </is>
      </c>
      <c r="G233" t="inlineStr">
        <is>
          <t>KARLSTAD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46286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46286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46286</v>
      </c>
      <c r="F236" t="inlineStr">
        <is>
          <t>VÄRMLANDS LÄN</t>
        </is>
      </c>
      <c r="G236" t="inlineStr">
        <is>
          <t>KARLSTAD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46286</v>
      </c>
      <c r="F237" t="inlineStr">
        <is>
          <t>VÄRMLANDS LÄN</t>
        </is>
      </c>
      <c r="G237" t="inlineStr">
        <is>
          <t>KARLSTAD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46286</v>
      </c>
      <c r="F238" t="inlineStr">
        <is>
          <t>VÄRMLANDS LÄN</t>
        </is>
      </c>
      <c r="G238" t="inlineStr">
        <is>
          <t>KARLSTAD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45877</v>
      </c>
      <c r="E239" s="1" t="n">
        <v>46286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45877</v>
      </c>
      <c r="E240" s="1" t="n">
        <v>46286</v>
      </c>
      <c r="F240" t="inlineStr">
        <is>
          <t>VÄRMLANDS LÄN</t>
        </is>
      </c>
      <c r="G240" t="inlineStr">
        <is>
          <t>KARLSTAD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46286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46286</v>
      </c>
      <c r="F242" t="inlineStr">
        <is>
          <t>VÄRMLANDS LÄN</t>
        </is>
      </c>
      <c r="G242" t="inlineStr">
        <is>
          <t>KARLSTAD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42829-2025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46286</v>
      </c>
      <c r="F243" t="inlineStr">
        <is>
          <t>VÄRMLANDS LÄN</t>
        </is>
      </c>
      <c r="G243" t="inlineStr">
        <is>
          <t>KARLSTAD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46286</v>
      </c>
      <c r="F244" t="inlineStr">
        <is>
          <t>VÄRMLANDS LÄN</t>
        </is>
      </c>
      <c r="G244" t="inlineStr">
        <is>
          <t>KARLSTAD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43400-2025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45911</v>
      </c>
      <c r="E245" s="1" t="n">
        <v>46286</v>
      </c>
      <c r="F245" t="inlineStr">
        <is>
          <t>VÄRMLANDS LÄN</t>
        </is>
      </c>
      <c r="G245" t="inlineStr">
        <is>
          <t>KARLSTAD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46286</v>
      </c>
      <c r="F246" t="inlineStr">
        <is>
          <t>VÄRMLANDS LÄN</t>
        </is>
      </c>
      <c r="G246" t="inlineStr">
        <is>
          <t>KARLSTAD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46286</v>
      </c>
      <c r="F247" t="inlineStr">
        <is>
          <t>VÄRMLANDS LÄN</t>
        </is>
      </c>
      <c r="G247" t="inlineStr">
        <is>
          <t>KARLSTAD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46286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45688</v>
      </c>
      <c r="E249" s="1" t="n">
        <v>46286</v>
      </c>
      <c r="F249" t="inlineStr">
        <is>
          <t>VÄRMLANDS LÄN</t>
        </is>
      </c>
      <c r="G249" t="inlineStr">
        <is>
          <t>KARLSTAD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46286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46286</v>
      </c>
      <c r="F251" t="inlineStr">
        <is>
          <t>VÄRMLANDS LÄN</t>
        </is>
      </c>
      <c r="G251" t="inlineStr">
        <is>
          <t>KARLSTAD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44634</v>
      </c>
      <c r="E252" s="1" t="n">
        <v>46286</v>
      </c>
      <c r="F252" t="inlineStr">
        <is>
          <t>VÄRMLANDS LÄN</t>
        </is>
      </c>
      <c r="G252" t="inlineStr">
        <is>
          <t>KARLSTAD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66642-2021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44519</v>
      </c>
      <c r="E253" s="1" t="n">
        <v>46286</v>
      </c>
      <c r="F253" t="inlineStr">
        <is>
          <t>VÄRMLANDS LÄN</t>
        </is>
      </c>
      <c r="G253" t="inlineStr">
        <is>
          <t>KARLSTAD</t>
        </is>
      </c>
      <c r="I253" t="n">
        <v>18.2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46286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46286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17.9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46286</v>
      </c>
      <c r="F256" t="inlineStr">
        <is>
          <t>VÄRMLANDS LÄN</t>
        </is>
      </c>
      <c r="G256" t="inlineStr">
        <is>
          <t>KARLSTAD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45243</v>
      </c>
      <c r="E257" s="1" t="n">
        <v>46286</v>
      </c>
      <c r="F257" t="inlineStr">
        <is>
          <t>VÄRMLANDS LÄN</t>
        </is>
      </c>
      <c r="G257" t="inlineStr">
        <is>
          <t>KARLSTAD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44664</v>
      </c>
      <c r="E258" s="1" t="n">
        <v>46286</v>
      </c>
      <c r="F258" t="inlineStr">
        <is>
          <t>VÄRMLANDS LÄN</t>
        </is>
      </c>
      <c r="G258" t="inlineStr">
        <is>
          <t>KARLSTAD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46286</v>
      </c>
      <c r="F259" t="inlineStr">
        <is>
          <t>VÄRMLANDS LÄN</t>
        </is>
      </c>
      <c r="G259" t="inlineStr">
        <is>
          <t>KARLSTAD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46286</v>
      </c>
      <c r="F260" t="inlineStr">
        <is>
          <t>VÄRMLANDS LÄN</t>
        </is>
      </c>
      <c r="G260" t="inlineStr">
        <is>
          <t>KARLSTAD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45299</v>
      </c>
      <c r="E261" s="1" t="n">
        <v>46286</v>
      </c>
      <c r="F261" t="inlineStr">
        <is>
          <t>VÄRMLANDS LÄN</t>
        </is>
      </c>
      <c r="G261" t="inlineStr">
        <is>
          <t>KARLSTAD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46286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46286</v>
      </c>
      <c r="F263" t="inlineStr">
        <is>
          <t>VÄRMLANDS LÄN</t>
        </is>
      </c>
      <c r="G263" t="inlineStr">
        <is>
          <t>KARLSTAD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46286</v>
      </c>
      <c r="F264" t="inlineStr">
        <is>
          <t>VÄRMLANDS LÄN</t>
        </is>
      </c>
      <c r="G264" t="inlineStr">
        <is>
          <t>KARLSTAD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46286</v>
      </c>
      <c r="F265" t="inlineStr">
        <is>
          <t>VÄRMLANDS LÄN</t>
        </is>
      </c>
      <c r="G265" t="inlineStr">
        <is>
          <t>KARLSTAD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46286</v>
      </c>
      <c r="F266" t="inlineStr">
        <is>
          <t>VÄRMLANDS LÄN</t>
        </is>
      </c>
      <c r="G266" t="inlineStr">
        <is>
          <t>KARLSTAD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44459</v>
      </c>
      <c r="E267" s="1" t="n">
        <v>46286</v>
      </c>
      <c r="F267" t="inlineStr">
        <is>
          <t>VÄRMLANDS LÄN</t>
        </is>
      </c>
      <c r="G267" t="inlineStr">
        <is>
          <t>KARLSTAD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46286</v>
      </c>
      <c r="F268" t="inlineStr">
        <is>
          <t>VÄRMLANDS LÄN</t>
        </is>
      </c>
      <c r="G268" t="inlineStr">
        <is>
          <t>KARLSTAD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9405-2025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45715</v>
      </c>
      <c r="E269" s="1" t="n">
        <v>46286</v>
      </c>
      <c r="F269" t="inlineStr">
        <is>
          <t>VÄRMLANDS LÄN</t>
        </is>
      </c>
      <c r="G269" t="inlineStr">
        <is>
          <t>KARLSTAD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46286</v>
      </c>
      <c r="F270" t="inlineStr">
        <is>
          <t>VÄRMLANDS LÄN</t>
        </is>
      </c>
      <c r="G270" t="inlineStr">
        <is>
          <t>KARLSTAD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46286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46286</v>
      </c>
      <c r="F272" t="inlineStr">
        <is>
          <t>VÄRMLANDS LÄN</t>
        </is>
      </c>
      <c r="G272" t="inlineStr">
        <is>
          <t>KARLSTAD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46286</v>
      </c>
      <c r="F273" t="inlineStr">
        <is>
          <t>VÄRMLANDS LÄN</t>
        </is>
      </c>
      <c r="G273" t="inlineStr">
        <is>
          <t>KARLSTAD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46286</v>
      </c>
      <c r="F274" t="inlineStr">
        <is>
          <t>VÄRMLANDS LÄN</t>
        </is>
      </c>
      <c r="G274" t="inlineStr">
        <is>
          <t>KARLSTAD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46286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46286</v>
      </c>
      <c r="F276" t="inlineStr">
        <is>
          <t>VÄRMLANDS LÄN</t>
        </is>
      </c>
      <c r="G276" t="inlineStr">
        <is>
          <t>KARLSTAD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46286</v>
      </c>
      <c r="F277" t="inlineStr">
        <is>
          <t>VÄRMLANDS LÄN</t>
        </is>
      </c>
      <c r="G277" t="inlineStr">
        <is>
          <t>KARLSTAD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46286</v>
      </c>
      <c r="F278" t="inlineStr">
        <is>
          <t>VÄRMLANDS LÄN</t>
        </is>
      </c>
      <c r="G278" t="inlineStr">
        <is>
          <t>KARLSTAD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45098</v>
      </c>
      <c r="E279" s="1" t="n">
        <v>46286</v>
      </c>
      <c r="F279" t="inlineStr">
        <is>
          <t>VÄRMLANDS LÄN</t>
        </is>
      </c>
      <c r="G279" t="inlineStr">
        <is>
          <t>KARLSTAD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46286</v>
      </c>
      <c r="F280" t="inlineStr">
        <is>
          <t>VÄRMLANDS LÄN</t>
        </is>
      </c>
      <c r="G280" t="inlineStr">
        <is>
          <t>KARLSTAD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46286</v>
      </c>
      <c r="F281" t="inlineStr">
        <is>
          <t>VÄRMLANDS LÄN</t>
        </is>
      </c>
      <c r="G281" t="inlineStr">
        <is>
          <t>KARLSTAD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46286</v>
      </c>
      <c r="F282" t="inlineStr">
        <is>
          <t>VÄRMLANDS LÄN</t>
        </is>
      </c>
      <c r="G282" t="inlineStr">
        <is>
          <t>KARLSTAD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46286</v>
      </c>
      <c r="F283" t="inlineStr">
        <is>
          <t>VÄRMLANDS LÄN</t>
        </is>
      </c>
      <c r="G283" t="inlineStr">
        <is>
          <t>KARLSTAD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46286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46286</v>
      </c>
      <c r="F285" t="inlineStr">
        <is>
          <t>VÄRMLANDS LÄN</t>
        </is>
      </c>
      <c r="G285" t="inlineStr">
        <is>
          <t>KARLSTAD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46286</v>
      </c>
      <c r="F286" t="inlineStr">
        <is>
          <t>VÄRMLANDS LÄN</t>
        </is>
      </c>
      <c r="G286" t="inlineStr">
        <is>
          <t>KARLSTAD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45734</v>
      </c>
      <c r="E287" s="1" t="n">
        <v>46286</v>
      </c>
      <c r="F287" t="inlineStr">
        <is>
          <t>VÄRMLANDS LÄN</t>
        </is>
      </c>
      <c r="G287" t="inlineStr">
        <is>
          <t>KARLSTAD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45099</v>
      </c>
      <c r="E288" s="1" t="n">
        <v>46286</v>
      </c>
      <c r="F288" t="inlineStr">
        <is>
          <t>VÄRMLANDS LÄN</t>
        </is>
      </c>
      <c r="G288" t="inlineStr">
        <is>
          <t>KARLSTAD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46286</v>
      </c>
      <c r="F289" t="inlineStr">
        <is>
          <t>VÄRMLANDS LÄN</t>
        </is>
      </c>
      <c r="G289" t="inlineStr">
        <is>
          <t>KARLSTAD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46286</v>
      </c>
      <c r="F290" t="inlineStr">
        <is>
          <t>VÄRMLANDS LÄN</t>
        </is>
      </c>
      <c r="G290" t="inlineStr">
        <is>
          <t>KARLSTAD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46286</v>
      </c>
      <c r="F291" t="inlineStr">
        <is>
          <t>VÄRMLANDS LÄN</t>
        </is>
      </c>
      <c r="G291" t="inlineStr">
        <is>
          <t>KARLSTAD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46286</v>
      </c>
      <c r="F292" t="inlineStr">
        <is>
          <t>VÄRMLANDS LÄN</t>
        </is>
      </c>
      <c r="G292" t="inlineStr">
        <is>
          <t>KARLSTAD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46286</v>
      </c>
      <c r="F293" t="inlineStr">
        <is>
          <t>VÄRMLANDS LÄN</t>
        </is>
      </c>
      <c r="G293" t="inlineStr">
        <is>
          <t>KARLSTAD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46286</v>
      </c>
      <c r="F294" t="inlineStr">
        <is>
          <t>VÄRMLANDS LÄN</t>
        </is>
      </c>
      <c r="G294" t="inlineStr">
        <is>
          <t>KARLSTAD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46286</v>
      </c>
      <c r="F295" t="inlineStr">
        <is>
          <t>VÄRMLANDS LÄN</t>
        </is>
      </c>
      <c r="G295" t="inlineStr">
        <is>
          <t>KARLSTAD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46286</v>
      </c>
      <c r="F296" t="inlineStr">
        <is>
          <t>VÄRMLANDS LÄN</t>
        </is>
      </c>
      <c r="G296" t="inlineStr">
        <is>
          <t>KARLSTAD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45641</v>
      </c>
      <c r="E297" s="1" t="n">
        <v>46286</v>
      </c>
      <c r="F297" t="inlineStr">
        <is>
          <t>VÄRMLANDS LÄN</t>
        </is>
      </c>
      <c r="G297" t="inlineStr">
        <is>
          <t>KARLSTAD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70127-2021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44533</v>
      </c>
      <c r="E298" s="1" t="n">
        <v>46286</v>
      </c>
      <c r="F298" t="inlineStr">
        <is>
          <t>VÄRMLANDS LÄN</t>
        </is>
      </c>
      <c r="G298" t="inlineStr">
        <is>
          <t>KARLSTAD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46286</v>
      </c>
      <c r="F299" t="inlineStr">
        <is>
          <t>VÄRMLANDS LÄN</t>
        </is>
      </c>
      <c r="G299" t="inlineStr">
        <is>
          <t>KARLSTAD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45320</v>
      </c>
      <c r="E300" s="1" t="n">
        <v>46286</v>
      </c>
      <c r="F300" t="inlineStr">
        <is>
          <t>VÄRMLANDS LÄN</t>
        </is>
      </c>
      <c r="G300" t="inlineStr">
        <is>
          <t>KARLSTAD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46286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46286</v>
      </c>
      <c r="F302" t="inlineStr">
        <is>
          <t>VÄRMLANDS LÄN</t>
        </is>
      </c>
      <c r="G302" t="inlineStr">
        <is>
          <t>KARLSTAD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44666</v>
      </c>
      <c r="E303" s="1" t="n">
        <v>46286</v>
      </c>
      <c r="F303" t="inlineStr">
        <is>
          <t>VÄRMLANDS LÄN</t>
        </is>
      </c>
      <c r="G303" t="inlineStr">
        <is>
          <t>KARLSTAD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46286</v>
      </c>
      <c r="F304" t="inlineStr">
        <is>
          <t>VÄRMLANDS LÄN</t>
        </is>
      </c>
      <c r="G304" t="inlineStr">
        <is>
          <t>KARLSTAD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46286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41510-2023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45175</v>
      </c>
      <c r="E306" s="1" t="n">
        <v>46286</v>
      </c>
      <c r="F306" t="inlineStr">
        <is>
          <t>VÄRMLANDS LÄN</t>
        </is>
      </c>
      <c r="G306" t="inlineStr">
        <is>
          <t>KARLSTAD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45382</v>
      </c>
      <c r="E307" s="1" t="n">
        <v>46286</v>
      </c>
      <c r="F307" t="inlineStr">
        <is>
          <t>VÄRMLANDS LÄN</t>
        </is>
      </c>
      <c r="G307" t="inlineStr">
        <is>
          <t>KARLSTAD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46286</v>
      </c>
      <c r="F308" t="inlineStr">
        <is>
          <t>VÄRMLANDS LÄN</t>
        </is>
      </c>
      <c r="G308" t="inlineStr">
        <is>
          <t>KARLSTAD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51096-2021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46286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45061</v>
      </c>
      <c r="E310" s="1" t="n">
        <v>46286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72772-2021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46286</v>
      </c>
      <c r="F311" t="inlineStr">
        <is>
          <t>VÄRMLANDS LÄN</t>
        </is>
      </c>
      <c r="G311" t="inlineStr">
        <is>
          <t>KARLSTAD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46286</v>
      </c>
      <c r="F312" t="inlineStr">
        <is>
          <t>VÄRMLANDS LÄN</t>
        </is>
      </c>
      <c r="G312" t="inlineStr">
        <is>
          <t>KARLSTAD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46286</v>
      </c>
      <c r="F313" t="inlineStr">
        <is>
          <t>VÄRMLANDS LÄN</t>
        </is>
      </c>
      <c r="G313" t="inlineStr">
        <is>
          <t>KARLSTAD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46286</v>
      </c>
      <c r="F314" t="inlineStr">
        <is>
          <t>VÄRMLANDS LÄN</t>
        </is>
      </c>
      <c r="G314" t="inlineStr">
        <is>
          <t>KARLSTAD</t>
        </is>
      </c>
      <c r="H314" t="inlineStr">
        <is>
          <t>Naturvårdsverket</t>
        </is>
      </c>
      <c r="I314" t="n">
        <v>16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46286</v>
      </c>
      <c r="F315" t="inlineStr">
        <is>
          <t>VÄRMLANDS LÄN</t>
        </is>
      </c>
      <c r="G315" t="inlineStr">
        <is>
          <t>KARLSTAD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46286</v>
      </c>
      <c r="F316" t="inlineStr">
        <is>
          <t>VÄRMLANDS LÄN</t>
        </is>
      </c>
      <c r="G316" t="inlineStr">
        <is>
          <t>KARLSTAD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50236-2024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45600</v>
      </c>
      <c r="E317" s="1" t="n">
        <v>46286</v>
      </c>
      <c r="F317" t="inlineStr">
        <is>
          <t>VÄRMLANDS LÄN</t>
        </is>
      </c>
      <c r="G317" t="inlineStr">
        <is>
          <t>KARLSTAD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46286</v>
      </c>
      <c r="F318" t="inlineStr">
        <is>
          <t>VÄRMLANDS LÄN</t>
        </is>
      </c>
      <c r="G318" t="inlineStr">
        <is>
          <t>KARLSTAD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HYPERLINK("https://klasma.github.io/Logging_1780/knärot/A 57466-2025 karta knärot.png", "A 57466-2025")</f>
        <v/>
      </c>
      <c r="AA318">
        <f>HYPERLINK("https://klasma.github.io/Logging_1780/klagomål/A 57466-2025 FSC-klagomål.docx", "A 57466-2025")</f>
        <v/>
      </c>
      <c r="AB318">
        <f>HYPERLINK("https://klasma.github.io/Logging_1780/klagomålsmail/A 57466-2025 FSC-klagomål mail.docx", "A 57466-2025")</f>
        <v/>
      </c>
      <c r="AC318">
        <f>HYPERLINK("https://klasma.github.io/Logging_1780/tillsyn/A 57466-2025 tillsynsbegäran.docx", "A 57466-2025")</f>
        <v/>
      </c>
      <c r="AD318">
        <f>HYPERLINK("https://klasma.github.io/Logging_1780/tillsynsmail/A 57466-2025 tillsynsbegäran mail.docx", "A 57466-2025")</f>
        <v/>
      </c>
    </row>
    <row r="319" ht="15" customHeight="1">
      <c r="A319" t="inlineStr">
        <is>
          <t>A 72072-2021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44544</v>
      </c>
      <c r="E319" s="1" t="n">
        <v>46286</v>
      </c>
      <c r="F319" t="inlineStr">
        <is>
          <t>VÄRMLANDS LÄN</t>
        </is>
      </c>
      <c r="G319" t="inlineStr">
        <is>
          <t>KARLSTAD</t>
        </is>
      </c>
      <c r="H319" t="inlineStr">
        <is>
          <t>Kommuner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46286</v>
      </c>
      <c r="F320" t="inlineStr">
        <is>
          <t>VÄRMLANDS LÄN</t>
        </is>
      </c>
      <c r="G320" t="inlineStr">
        <is>
          <t>KARLSTAD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46286</v>
      </c>
      <c r="F321" t="inlineStr">
        <is>
          <t>VÄRMLANDS LÄN</t>
        </is>
      </c>
      <c r="G321" t="inlineStr">
        <is>
          <t>KARLSTAD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46286</v>
      </c>
      <c r="F322" t="inlineStr">
        <is>
          <t>VÄRMLANDS LÄN</t>
        </is>
      </c>
      <c r="G322" t="inlineStr">
        <is>
          <t>KARLSTAD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46286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46286</v>
      </c>
      <c r="F324" t="inlineStr">
        <is>
          <t>VÄRMLANDS LÄN</t>
        </is>
      </c>
      <c r="G324" t="inlineStr">
        <is>
          <t>KARLSTAD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50955-2025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45946</v>
      </c>
      <c r="E325" s="1" t="n">
        <v>46286</v>
      </c>
      <c r="F325" t="inlineStr">
        <is>
          <t>VÄRMLANDS LÄN</t>
        </is>
      </c>
      <c r="G325" t="inlineStr">
        <is>
          <t>KARLSTAD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46286</v>
      </c>
      <c r="F326" t="inlineStr">
        <is>
          <t>VÄRMLANDS LÄN</t>
        </is>
      </c>
      <c r="G326" t="inlineStr">
        <is>
          <t>KARLSTAD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60724-2022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44913</v>
      </c>
      <c r="E327" s="1" t="n">
        <v>46286</v>
      </c>
      <c r="F327" t="inlineStr">
        <is>
          <t>VÄRMLANDS LÄN</t>
        </is>
      </c>
      <c r="G327" t="inlineStr">
        <is>
          <t>KARLSTAD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44672</v>
      </c>
      <c r="E328" s="1" t="n">
        <v>46286</v>
      </c>
      <c r="F328" t="inlineStr">
        <is>
          <t>VÄRMLANDS LÄN</t>
        </is>
      </c>
      <c r="G328" t="inlineStr">
        <is>
          <t>KARLSTAD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45217</v>
      </c>
      <c r="E329" s="1" t="n">
        <v>46286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44573</v>
      </c>
      <c r="E330" s="1" t="n">
        <v>46286</v>
      </c>
      <c r="F330" t="inlineStr">
        <is>
          <t>VÄRMLANDS LÄN</t>
        </is>
      </c>
      <c r="G330" t="inlineStr">
        <is>
          <t>KARLSTAD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46286</v>
      </c>
      <c r="F331" t="inlineStr">
        <is>
          <t>VÄRMLANDS LÄN</t>
        </is>
      </c>
      <c r="G331" t="inlineStr">
        <is>
          <t>KARLSTAD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45861</v>
      </c>
      <c r="E332" s="1" t="n">
        <v>46286</v>
      </c>
      <c r="F332" t="inlineStr">
        <is>
          <t>VÄRMLANDS LÄN</t>
        </is>
      </c>
      <c r="G332" t="inlineStr">
        <is>
          <t>KARLSTAD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46286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60434-2025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45995</v>
      </c>
      <c r="E334" s="1" t="n">
        <v>46286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45382</v>
      </c>
      <c r="E335" s="1" t="n">
        <v>46286</v>
      </c>
      <c r="F335" t="inlineStr">
        <is>
          <t>VÄRMLANDS LÄN</t>
        </is>
      </c>
      <c r="G335" t="inlineStr">
        <is>
          <t>KARLSTAD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46286</v>
      </c>
      <c r="F336" t="inlineStr">
        <is>
          <t>VÄRMLANDS LÄN</t>
        </is>
      </c>
      <c r="G336" t="inlineStr">
        <is>
          <t>KARLSTAD</t>
        </is>
      </c>
      <c r="I336" t="n">
        <v>18.5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45721</v>
      </c>
      <c r="E337" s="1" t="n">
        <v>46286</v>
      </c>
      <c r="F337" t="inlineStr">
        <is>
          <t>VÄRMLANDS LÄN</t>
        </is>
      </c>
      <c r="G337" t="inlineStr">
        <is>
          <t>KARLSTAD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45630</v>
      </c>
      <c r="E338" s="1" t="n">
        <v>46286</v>
      </c>
      <c r="F338" t="inlineStr">
        <is>
          <t>VÄRMLANDS LÄN</t>
        </is>
      </c>
      <c r="G338" t="inlineStr">
        <is>
          <t>KARLSTAD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46286</v>
      </c>
      <c r="F339" t="inlineStr">
        <is>
          <t>VÄRMLANDS LÄN</t>
        </is>
      </c>
      <c r="G339" t="inlineStr">
        <is>
          <t>KARLSTAD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46286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61673-2025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46002</v>
      </c>
      <c r="E341" s="1" t="n">
        <v>46286</v>
      </c>
      <c r="F341" t="inlineStr">
        <is>
          <t>VÄRMLANDS LÄN</t>
        </is>
      </c>
      <c r="G341" t="inlineStr">
        <is>
          <t>KARLSTAD</t>
        </is>
      </c>
      <c r="H341" t="inlineStr">
        <is>
          <t>Naturvårdsverket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64061-2023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46286</v>
      </c>
      <c r="F342" t="inlineStr">
        <is>
          <t>VÄRMLANDS LÄN</t>
        </is>
      </c>
      <c r="G342" t="inlineStr">
        <is>
          <t>KARLSTAD</t>
        </is>
      </c>
      <c r="I342" t="n">
        <v>9.300000000000001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45646</v>
      </c>
      <c r="E343" s="1" t="n">
        <v>46286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24648-2022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44727</v>
      </c>
      <c r="E344" s="1" t="n">
        <v>46286</v>
      </c>
      <c r="F344" t="inlineStr">
        <is>
          <t>VÄRMLANDS LÄN</t>
        </is>
      </c>
      <c r="G344" t="inlineStr">
        <is>
          <t>KARLSTAD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46286</v>
      </c>
      <c r="F345" t="inlineStr">
        <is>
          <t>VÄRMLANDS LÄN</t>
        </is>
      </c>
      <c r="G345" t="inlineStr">
        <is>
          <t>KARLSTAD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45575</v>
      </c>
      <c r="E346" s="1" t="n">
        <v>46286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46286</v>
      </c>
      <c r="F347" t="inlineStr">
        <is>
          <t>VÄRMLANDS LÄN</t>
        </is>
      </c>
      <c r="G347" t="inlineStr">
        <is>
          <t>KARLSTAD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46286</v>
      </c>
      <c r="F348" t="inlineStr">
        <is>
          <t>VÄRMLANDS LÄN</t>
        </is>
      </c>
      <c r="G348" t="inlineStr">
        <is>
          <t>KARLSTAD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44735</v>
      </c>
      <c r="E349" s="1" t="n">
        <v>46286</v>
      </c>
      <c r="F349" t="inlineStr">
        <is>
          <t>VÄRMLANDS LÄN</t>
        </is>
      </c>
      <c r="G349" t="inlineStr">
        <is>
          <t>KARLSTAD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46286</v>
      </c>
      <c r="F350" t="inlineStr">
        <is>
          <t>VÄRMLANDS LÄN</t>
        </is>
      </c>
      <c r="G350" t="inlineStr">
        <is>
          <t>KARLSTAD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46286</v>
      </c>
      <c r="F351" t="inlineStr">
        <is>
          <t>VÄRMLANDS LÄN</t>
        </is>
      </c>
      <c r="G351" t="inlineStr">
        <is>
          <t>KARLSTAD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63172-2025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46286</v>
      </c>
      <c r="F352" t="inlineStr">
        <is>
          <t>VÄRMLANDS LÄN</t>
        </is>
      </c>
      <c r="G352" t="inlineStr">
        <is>
          <t>KARLSTAD</t>
        </is>
      </c>
      <c r="H352" t="inlineStr">
        <is>
          <t>Naturvårdsverket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44873</v>
      </c>
      <c r="E353" s="1" t="n">
        <v>46286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46170</v>
      </c>
      <c r="E354" s="1" t="n">
        <v>46286</v>
      </c>
      <c r="F354" t="inlineStr">
        <is>
          <t>VÄRMLANDS LÄN</t>
        </is>
      </c>
      <c r="G354" t="inlineStr">
        <is>
          <t>KARLSTAD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46286</v>
      </c>
      <c r="F355" t="inlineStr">
        <is>
          <t>VÄRMLANDS LÄN</t>
        </is>
      </c>
      <c r="G355" t="inlineStr">
        <is>
          <t>KARLSTAD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46286</v>
      </c>
      <c r="F356" t="inlineStr">
        <is>
          <t>VÄRMLANDS LÄN</t>
        </is>
      </c>
      <c r="G356" t="inlineStr">
        <is>
          <t>KARLSTAD</t>
        </is>
      </c>
      <c r="H356" t="inlineStr">
        <is>
          <t>Kyrkan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46286</v>
      </c>
      <c r="F357" t="inlineStr">
        <is>
          <t>VÄRMLANDS LÄN</t>
        </is>
      </c>
      <c r="G357" t="inlineStr">
        <is>
          <t>KARLSTAD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46286</v>
      </c>
      <c r="F358" t="inlineStr">
        <is>
          <t>VÄRMLANDS LÄN</t>
        </is>
      </c>
      <c r="G358" t="inlineStr">
        <is>
          <t>KARLSTAD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55250-2022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44887</v>
      </c>
      <c r="E359" s="1" t="n">
        <v>46286</v>
      </c>
      <c r="F359" t="inlineStr">
        <is>
          <t>VÄRMLANDS LÄN</t>
        </is>
      </c>
      <c r="G359" t="inlineStr">
        <is>
          <t>KARLSTAD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46286</v>
      </c>
      <c r="F360" t="inlineStr">
        <is>
          <t>VÄRMLANDS LÄN</t>
        </is>
      </c>
      <c r="G360" t="inlineStr">
        <is>
          <t>KARLSTAD</t>
        </is>
      </c>
      <c r="H360" t="inlineStr">
        <is>
          <t>Kyrkan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46286</v>
      </c>
      <c r="F361" t="inlineStr">
        <is>
          <t>VÄRMLANDS LÄN</t>
        </is>
      </c>
      <c r="G361" t="inlineStr">
        <is>
          <t>KARLSTAD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44594</v>
      </c>
      <c r="E362" s="1" t="n">
        <v>46286</v>
      </c>
      <c r="F362" t="inlineStr">
        <is>
          <t>VÄRMLANDS LÄN</t>
        </is>
      </c>
      <c r="G362" t="inlineStr">
        <is>
          <t>KARLSTAD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46286</v>
      </c>
      <c r="F363" t="inlineStr">
        <is>
          <t>VÄRMLANDS LÄN</t>
        </is>
      </c>
      <c r="G363" t="inlineStr">
        <is>
          <t>KARLSTAD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46286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45767</v>
      </c>
      <c r="E365" s="1" t="n">
        <v>46286</v>
      </c>
      <c r="F365" t="inlineStr">
        <is>
          <t>VÄRMLANDS LÄN</t>
        </is>
      </c>
      <c r="G365" t="inlineStr">
        <is>
          <t>KARLSTAD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45068</v>
      </c>
      <c r="E366" s="1" t="n">
        <v>46286</v>
      </c>
      <c r="F366" t="inlineStr">
        <is>
          <t>VÄRMLANDS LÄN</t>
        </is>
      </c>
      <c r="G366" t="inlineStr">
        <is>
          <t>KARLSTAD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46286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44461</v>
      </c>
      <c r="E368" s="1" t="n">
        <v>46286</v>
      </c>
      <c r="F368" t="inlineStr">
        <is>
          <t>VÄRMLANDS LÄN</t>
        </is>
      </c>
      <c r="G368" t="inlineStr">
        <is>
          <t>KARLSTAD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46286</v>
      </c>
      <c r="F369" t="inlineStr">
        <is>
          <t>VÄRMLANDS LÄN</t>
        </is>
      </c>
      <c r="G369" t="inlineStr">
        <is>
          <t>KARLSTAD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46286</v>
      </c>
      <c r="F370" t="inlineStr">
        <is>
          <t>VÄRMLANDS LÄN</t>
        </is>
      </c>
      <c r="G370" t="inlineStr">
        <is>
          <t>KARLSTAD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46286</v>
      </c>
      <c r="F371" t="inlineStr">
        <is>
          <t>VÄRMLANDS LÄN</t>
        </is>
      </c>
      <c r="G371" t="inlineStr">
        <is>
          <t>KARLSTAD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46286</v>
      </c>
      <c r="F372" t="inlineStr">
        <is>
          <t>VÄRMLANDS LÄN</t>
        </is>
      </c>
      <c r="G372" t="inlineStr">
        <is>
          <t>KARLSTAD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46286</v>
      </c>
      <c r="F373" t="inlineStr">
        <is>
          <t>VÄRMLANDS LÄN</t>
        </is>
      </c>
      <c r="G373" t="inlineStr">
        <is>
          <t>KARLSTAD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46286</v>
      </c>
      <c r="F374" t="inlineStr">
        <is>
          <t>VÄRMLANDS LÄN</t>
        </is>
      </c>
      <c r="G374" t="inlineStr">
        <is>
          <t>KARLSTAD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46286</v>
      </c>
      <c r="F375" t="inlineStr">
        <is>
          <t>VÄRMLANDS LÄN</t>
        </is>
      </c>
      <c r="G375" t="inlineStr">
        <is>
          <t>KARLSTAD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46286</v>
      </c>
      <c r="F376" t="inlineStr">
        <is>
          <t>VÄRMLANDS LÄN</t>
        </is>
      </c>
      <c r="G376" t="inlineStr">
        <is>
          <t>KARLSTAD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12029-2023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44995</v>
      </c>
      <c r="E377" s="1" t="n">
        <v>46286</v>
      </c>
      <c r="F377" t="inlineStr">
        <is>
          <t>VÄRMLANDS LÄN</t>
        </is>
      </c>
      <c r="G377" t="inlineStr">
        <is>
          <t>KARLSTAD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46286</v>
      </c>
      <c r="F378" t="inlineStr">
        <is>
          <t>VÄRMLANDS LÄN</t>
        </is>
      </c>
      <c r="G378" t="inlineStr">
        <is>
          <t>KARLSTAD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46286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46286</v>
      </c>
      <c r="F380" t="inlineStr">
        <is>
          <t>VÄRMLANDS LÄN</t>
        </is>
      </c>
      <c r="G380" t="inlineStr">
        <is>
          <t>KARLSTAD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37076-2023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45154</v>
      </c>
      <c r="E381" s="1" t="n">
        <v>46286</v>
      </c>
      <c r="F381" t="inlineStr">
        <is>
          <t>VÄRMLANDS LÄN</t>
        </is>
      </c>
      <c r="G381" t="inlineStr">
        <is>
          <t>KARLSTAD</t>
        </is>
      </c>
      <c r="H381" t="inlineStr">
        <is>
          <t>Övriga statliga verk och myndigheter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65085-2023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45288</v>
      </c>
      <c r="E382" s="1" t="n">
        <v>46286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44979</v>
      </c>
      <c r="E383" s="1" t="n">
        <v>46286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46286</v>
      </c>
      <c r="F384" t="inlineStr">
        <is>
          <t>VÄRMLANDS LÄN</t>
        </is>
      </c>
      <c r="G384" t="inlineStr">
        <is>
          <t>KARLSTAD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44952</v>
      </c>
      <c r="E385" s="1" t="n">
        <v>46286</v>
      </c>
      <c r="F385" t="inlineStr">
        <is>
          <t>VÄRMLANDS LÄN</t>
        </is>
      </c>
      <c r="G385" t="inlineStr">
        <is>
          <t>KARLSTAD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46286</v>
      </c>
      <c r="F386" t="inlineStr">
        <is>
          <t>VÄRMLANDS LÄN</t>
        </is>
      </c>
      <c r="G386" t="inlineStr">
        <is>
          <t>KARLSTAD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46286</v>
      </c>
      <c r="F387" t="inlineStr">
        <is>
          <t>VÄRMLANDS LÄN</t>
        </is>
      </c>
      <c r="G387" t="inlineStr">
        <is>
          <t>KARLSTAD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46286</v>
      </c>
      <c r="F388" t="inlineStr">
        <is>
          <t>VÄRMLANDS LÄN</t>
        </is>
      </c>
      <c r="G388" t="inlineStr">
        <is>
          <t>KARLSTAD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46286</v>
      </c>
      <c r="F389" t="inlineStr">
        <is>
          <t>VÄRMLANDS LÄN</t>
        </is>
      </c>
      <c r="G389" t="inlineStr">
        <is>
          <t>KARLSTAD</t>
        </is>
      </c>
      <c r="I389" t="n">
        <v>21.7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46286</v>
      </c>
      <c r="F390" t="inlineStr">
        <is>
          <t>VÄRMLANDS LÄN</t>
        </is>
      </c>
      <c r="G390" t="inlineStr">
        <is>
          <t>KARLSTAD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46286</v>
      </c>
      <c r="F391" t="inlineStr">
        <is>
          <t>VÄRMLANDS LÄN</t>
        </is>
      </c>
      <c r="G391" t="inlineStr">
        <is>
          <t>KARLSTAD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44593</v>
      </c>
      <c r="E392" s="1" t="n">
        <v>46286</v>
      </c>
      <c r="F392" t="inlineStr">
        <is>
          <t>VÄRMLANDS LÄN</t>
        </is>
      </c>
      <c r="G392" t="inlineStr">
        <is>
          <t>KARLSTAD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46286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46286</v>
      </c>
      <c r="F394" t="inlineStr">
        <is>
          <t>VÄRMLANDS LÄN</t>
        </is>
      </c>
      <c r="G394" t="inlineStr">
        <is>
          <t>KARLSTAD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46286</v>
      </c>
      <c r="F395" t="inlineStr">
        <is>
          <t>VÄRMLANDS LÄN</t>
        </is>
      </c>
      <c r="G395" t="inlineStr">
        <is>
          <t>KARLSTAD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59626-2021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44491</v>
      </c>
      <c r="E396" s="1" t="n">
        <v>46286</v>
      </c>
      <c r="F396" t="inlineStr">
        <is>
          <t>VÄRMLANDS LÄN</t>
        </is>
      </c>
      <c r="G396" t="inlineStr">
        <is>
          <t>KARLSTAD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46286</v>
      </c>
      <c r="F397" t="inlineStr">
        <is>
          <t>VÄRMLANDS LÄN</t>
        </is>
      </c>
      <c r="G397" t="inlineStr">
        <is>
          <t>KARLSTAD</t>
        </is>
      </c>
      <c r="H397" t="inlineStr">
        <is>
          <t>Kommuner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45723</v>
      </c>
      <c r="E398" s="1" t="n">
        <v>46286</v>
      </c>
      <c r="F398" t="inlineStr">
        <is>
          <t>VÄRMLANDS LÄN</t>
        </is>
      </c>
      <c r="G398" t="inlineStr">
        <is>
          <t>KARLSTAD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46286</v>
      </c>
      <c r="F399" t="inlineStr">
        <is>
          <t>VÄRMLANDS LÄN</t>
        </is>
      </c>
      <c r="G399" t="inlineStr">
        <is>
          <t>KARLSTAD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46286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46286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46286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11342-2026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46082</v>
      </c>
      <c r="E403" s="1" t="n">
        <v>46286</v>
      </c>
      <c r="F403" t="inlineStr">
        <is>
          <t>VÄRMLANDS LÄN</t>
        </is>
      </c>
      <c r="G403" t="inlineStr">
        <is>
          <t>KARLSTAD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44649</v>
      </c>
      <c r="E404" s="1" t="n">
        <v>46286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20.8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46286</v>
      </c>
      <c r="F405" t="inlineStr">
        <is>
          <t>VÄRMLANDS LÄN</t>
        </is>
      </c>
      <c r="G405" t="inlineStr">
        <is>
          <t>KARLSTAD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46286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45630</v>
      </c>
      <c r="E407" s="1" t="n">
        <v>46286</v>
      </c>
      <c r="F407" t="inlineStr">
        <is>
          <t>VÄRMLANDS LÄN</t>
        </is>
      </c>
      <c r="G407" t="inlineStr">
        <is>
          <t>KARLSTAD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46286</v>
      </c>
      <c r="F408" t="inlineStr">
        <is>
          <t>VÄRMLANDS LÄN</t>
        </is>
      </c>
      <c r="G408" t="inlineStr">
        <is>
          <t>KARLSTAD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46286</v>
      </c>
      <c r="F409" t="inlineStr">
        <is>
          <t>VÄRMLANDS LÄN</t>
        </is>
      </c>
      <c r="G409" t="inlineStr">
        <is>
          <t>KARLSTAD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46286</v>
      </c>
      <c r="F410" t="inlineStr">
        <is>
          <t>VÄRMLANDS LÄN</t>
        </is>
      </c>
      <c r="G410" t="inlineStr">
        <is>
          <t>KARLSTAD</t>
        </is>
      </c>
      <c r="I410" t="n">
        <v>10.7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46286</v>
      </c>
      <c r="F411" t="inlineStr">
        <is>
          <t>VÄRMLANDS LÄN</t>
        </is>
      </c>
      <c r="G411" t="inlineStr">
        <is>
          <t>KARLSTAD</t>
        </is>
      </c>
      <c r="H411" t="inlineStr">
        <is>
          <t>Bergvik skog väst AB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46190</v>
      </c>
      <c r="E412" s="1" t="n">
        <v>46286</v>
      </c>
      <c r="F412" t="inlineStr">
        <is>
          <t>VÄRMLANDS LÄN</t>
        </is>
      </c>
      <c r="G412" t="inlineStr">
        <is>
          <t>KARLSTAD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12903-2026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46092</v>
      </c>
      <c r="E413" s="1" t="n">
        <v>46286</v>
      </c>
      <c r="F413" t="inlineStr">
        <is>
          <t>VÄRMLANDS LÄN</t>
        </is>
      </c>
      <c r="G413" t="inlineStr">
        <is>
          <t>KARLSTAD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46286</v>
      </c>
      <c r="F414" t="inlineStr">
        <is>
          <t>VÄRMLANDS LÄN</t>
        </is>
      </c>
      <c r="G414" t="inlineStr">
        <is>
          <t>KARLSTAD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46286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46286</v>
      </c>
      <c r="F416" t="inlineStr">
        <is>
          <t>VÄRMLANDS LÄN</t>
        </is>
      </c>
      <c r="G416" t="inlineStr">
        <is>
          <t>KARLSTAD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46286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46286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46286</v>
      </c>
      <c r="F419" t="inlineStr">
        <is>
          <t>VÄRMLANDS LÄN</t>
        </is>
      </c>
      <c r="G419" t="inlineStr">
        <is>
          <t>KARLSTAD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46286</v>
      </c>
      <c r="F420" t="inlineStr">
        <is>
          <t>VÄRMLANDS LÄN</t>
        </is>
      </c>
      <c r="G420" t="inlineStr">
        <is>
          <t>KARLSTAD</t>
        </is>
      </c>
      <c r="H420" t="inlineStr">
        <is>
          <t>Bergvik skog väst AB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46286</v>
      </c>
      <c r="F421" t="inlineStr">
        <is>
          <t>VÄRMLANDS LÄN</t>
        </is>
      </c>
      <c r="G421" t="inlineStr">
        <is>
          <t>KARLSTAD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14079-2026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46099</v>
      </c>
      <c r="E422" s="1" t="n">
        <v>46286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45366</v>
      </c>
      <c r="E423" s="1" t="n">
        <v>46286</v>
      </c>
      <c r="F423" t="inlineStr">
        <is>
          <t>VÄRMLANDS LÄN</t>
        </is>
      </c>
      <c r="G423" t="inlineStr">
        <is>
          <t>KARLSTAD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46286</v>
      </c>
      <c r="F424" t="inlineStr">
        <is>
          <t>VÄRMLANDS LÄN</t>
        </is>
      </c>
      <c r="G424" t="inlineStr">
        <is>
          <t>KARLSTAD</t>
        </is>
      </c>
      <c r="H424" t="inlineStr">
        <is>
          <t>Bergvik skog väst AB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44566</v>
      </c>
      <c r="E425" s="1" t="n">
        <v>46286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14890-2026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46104</v>
      </c>
      <c r="E426" s="1" t="n">
        <v>46286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46286</v>
      </c>
      <c r="F427" t="inlineStr">
        <is>
          <t>VÄRMLANDS LÄN</t>
        </is>
      </c>
      <c r="G427" t="inlineStr">
        <is>
          <t>KARLSTAD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45168</v>
      </c>
      <c r="E428" s="1" t="n">
        <v>46286</v>
      </c>
      <c r="F428" t="inlineStr">
        <is>
          <t>VÄRMLANDS LÄN</t>
        </is>
      </c>
      <c r="G428" t="inlineStr">
        <is>
          <t>KARLSTAD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45757-2022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46286</v>
      </c>
      <c r="F429" t="inlineStr">
        <is>
          <t>VÄRMLANDS LÄN</t>
        </is>
      </c>
      <c r="G429" t="inlineStr">
        <is>
          <t>KARLSTAD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15772-2026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46107</v>
      </c>
      <c r="E430" s="1" t="n">
        <v>46286</v>
      </c>
      <c r="F430" t="inlineStr">
        <is>
          <t>VÄRMLANDS LÄN</t>
        </is>
      </c>
      <c r="G430" t="inlineStr">
        <is>
          <t>KARLSTAD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25799-2022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44708</v>
      </c>
      <c r="E431" s="1" t="n">
        <v>46286</v>
      </c>
      <c r="F431" t="inlineStr">
        <is>
          <t>VÄRMLANDS LÄN</t>
        </is>
      </c>
      <c r="G431" t="inlineStr">
        <is>
          <t>KARLSTAD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46286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44986</v>
      </c>
      <c r="E433" s="1" t="n">
        <v>46286</v>
      </c>
      <c r="F433" t="inlineStr">
        <is>
          <t>VÄRMLANDS LÄN</t>
        </is>
      </c>
      <c r="G433" t="inlineStr">
        <is>
          <t>KARLSTAD</t>
        </is>
      </c>
      <c r="H433" t="inlineStr">
        <is>
          <t>Kommuner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46286</v>
      </c>
      <c r="F434" t="inlineStr">
        <is>
          <t>VÄRMLANDS LÄN</t>
        </is>
      </c>
      <c r="G434" t="inlineStr">
        <is>
          <t>KARLSTAD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46286</v>
      </c>
      <c r="F435" t="inlineStr">
        <is>
          <t>VÄRMLANDS LÄN</t>
        </is>
      </c>
      <c r="G435" t="inlineStr">
        <is>
          <t>KARLSTAD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46286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51663-2023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46286</v>
      </c>
      <c r="F437" t="inlineStr">
        <is>
          <t>VÄRMLANDS LÄN</t>
        </is>
      </c>
      <c r="G437" t="inlineStr">
        <is>
          <t>KARLSTAD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69008-2021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44530</v>
      </c>
      <c r="E438" s="1" t="n">
        <v>46286</v>
      </c>
      <c r="F438" t="inlineStr">
        <is>
          <t>VÄRMLANDS LÄN</t>
        </is>
      </c>
      <c r="G438" t="inlineStr">
        <is>
          <t>KARLSTAD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45163</v>
      </c>
      <c r="E439" s="1" t="n">
        <v>46286</v>
      </c>
      <c r="F439" t="inlineStr">
        <is>
          <t>VÄRMLANDS LÄN</t>
        </is>
      </c>
      <c r="G439" t="inlineStr">
        <is>
          <t>KARLSTAD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22798-2022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44715</v>
      </c>
      <c r="E440" s="1" t="n">
        <v>46286</v>
      </c>
      <c r="F440" t="inlineStr">
        <is>
          <t>VÄRMLANDS LÄN</t>
        </is>
      </c>
      <c r="G440" t="inlineStr">
        <is>
          <t>KARLSTAD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45163</v>
      </c>
      <c r="E441" s="1" t="n">
        <v>46286</v>
      </c>
      <c r="F441" t="inlineStr">
        <is>
          <t>VÄRMLANDS LÄN</t>
        </is>
      </c>
      <c r="G441" t="inlineStr">
        <is>
          <t>KARLSTAD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46286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45544</v>
      </c>
      <c r="E443" s="1" t="n">
        <v>46286</v>
      </c>
      <c r="F443" t="inlineStr">
        <is>
          <t>VÄRMLANDS LÄN</t>
        </is>
      </c>
      <c r="G443" t="inlineStr">
        <is>
          <t>KARLSTAD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58456-2022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46286</v>
      </c>
      <c r="F444" t="inlineStr">
        <is>
          <t>VÄRMLANDS LÄN</t>
        </is>
      </c>
      <c r="G444" t="inlineStr">
        <is>
          <t>KARLSTAD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46203</v>
      </c>
      <c r="E445" s="1" t="n">
        <v>46286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45184</v>
      </c>
      <c r="E446" s="1" t="n">
        <v>46286</v>
      </c>
      <c r="F446" t="inlineStr">
        <is>
          <t>VÄRMLANDS LÄN</t>
        </is>
      </c>
      <c r="G446" t="inlineStr">
        <is>
          <t>KARLSTAD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46286</v>
      </c>
      <c r="F447" t="inlineStr">
        <is>
          <t>VÄRMLANDS LÄN</t>
        </is>
      </c>
      <c r="G447" t="inlineStr">
        <is>
          <t>KARLSTAD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46286</v>
      </c>
      <c r="F448" t="inlineStr">
        <is>
          <t>VÄRMLANDS LÄN</t>
        </is>
      </c>
      <c r="G448" t="inlineStr">
        <is>
          <t>KARLSTAD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46286</v>
      </c>
      <c r="F449" t="inlineStr">
        <is>
          <t>VÄRMLANDS LÄN</t>
        </is>
      </c>
      <c r="G449" t="inlineStr">
        <is>
          <t>KARLSTAD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46286</v>
      </c>
      <c r="F450" t="inlineStr">
        <is>
          <t>VÄRMLANDS LÄN</t>
        </is>
      </c>
      <c r="G450" t="inlineStr">
        <is>
          <t>KARLSTAD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45908</v>
      </c>
      <c r="E451" s="1" t="n">
        <v>46286</v>
      </c>
      <c r="F451" t="inlineStr">
        <is>
          <t>VÄRMLANDS LÄN</t>
        </is>
      </c>
      <c r="G451" t="inlineStr">
        <is>
          <t>KARLSTAD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45070</v>
      </c>
      <c r="E452" s="1" t="n">
        <v>46286</v>
      </c>
      <c r="F452" t="inlineStr">
        <is>
          <t>VÄRMLANDS LÄN</t>
        </is>
      </c>
      <c r="G452" t="inlineStr">
        <is>
          <t>KARLSTAD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44999</v>
      </c>
      <c r="E453" s="1" t="n">
        <v>46286</v>
      </c>
      <c r="F453" t="inlineStr">
        <is>
          <t>VÄRMLANDS LÄN</t>
        </is>
      </c>
      <c r="G453" t="inlineStr">
        <is>
          <t>KARLSTAD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46286</v>
      </c>
      <c r="F454" t="inlineStr">
        <is>
          <t>VÄRMLANDS LÄN</t>
        </is>
      </c>
      <c r="G454" t="inlineStr">
        <is>
          <t>KARLSTAD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45204</v>
      </c>
      <c r="E455" s="1" t="n">
        <v>46286</v>
      </c>
      <c r="F455" t="inlineStr">
        <is>
          <t>VÄRMLANDS LÄN</t>
        </is>
      </c>
      <c r="G455" t="inlineStr">
        <is>
          <t>KARLSTAD</t>
        </is>
      </c>
      <c r="H455" t="inlineStr">
        <is>
          <t>Kommuner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46286</v>
      </c>
      <c r="F456" t="inlineStr">
        <is>
          <t>VÄRMLANDS LÄN</t>
        </is>
      </c>
      <c r="G456" t="inlineStr">
        <is>
          <t>KARLSTAD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46286</v>
      </c>
      <c r="F457" t="inlineStr">
        <is>
          <t>VÄRMLANDS LÄN</t>
        </is>
      </c>
      <c r="G457" t="inlineStr">
        <is>
          <t>KARLSTAD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45836</v>
      </c>
      <c r="E458" s="1" t="n">
        <v>46286</v>
      </c>
      <c r="F458" t="inlineStr">
        <is>
          <t>VÄRMLANDS LÄN</t>
        </is>
      </c>
      <c r="G458" t="inlineStr">
        <is>
          <t>KARLSTAD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46286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45028</v>
      </c>
      <c r="E460" s="1" t="n">
        <v>46286</v>
      </c>
      <c r="F460" t="inlineStr">
        <is>
          <t>VÄRMLANDS LÄN</t>
        </is>
      </c>
      <c r="G460" t="inlineStr">
        <is>
          <t>KARLSTAD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45751</v>
      </c>
      <c r="E461" s="1" t="n">
        <v>46286</v>
      </c>
      <c r="F461" t="inlineStr">
        <is>
          <t>VÄRMLANDS LÄN</t>
        </is>
      </c>
      <c r="G461" t="inlineStr">
        <is>
          <t>KARLSTAD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19666-2023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45051</v>
      </c>
      <c r="E462" s="1" t="n">
        <v>46286</v>
      </c>
      <c r="F462" t="inlineStr">
        <is>
          <t>VÄRMLANDS LÄN</t>
        </is>
      </c>
      <c r="G462" t="inlineStr">
        <is>
          <t>KARLSTAD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46286</v>
      </c>
      <c r="F463" t="inlineStr">
        <is>
          <t>VÄRMLANDS LÄN</t>
        </is>
      </c>
      <c r="G463" t="inlineStr">
        <is>
          <t>KARLSTAD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45390</v>
      </c>
      <c r="E464" s="1" t="n">
        <v>46286</v>
      </c>
      <c r="F464" t="inlineStr">
        <is>
          <t>VÄRMLANDS LÄN</t>
        </is>
      </c>
      <c r="G464" t="inlineStr">
        <is>
          <t>KARLSTAD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45688</v>
      </c>
      <c r="E465" s="1" t="n">
        <v>46286</v>
      </c>
      <c r="F465" t="inlineStr">
        <is>
          <t>VÄRMLANDS LÄN</t>
        </is>
      </c>
      <c r="G465" t="inlineStr">
        <is>
          <t>KARLSTAD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46286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46286</v>
      </c>
      <c r="F467" t="inlineStr">
        <is>
          <t>VÄRMLANDS LÄN</t>
        </is>
      </c>
      <c r="G467" t="inlineStr">
        <is>
          <t>KARLSTAD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44634</v>
      </c>
      <c r="E468" s="1" t="n">
        <v>46286</v>
      </c>
      <c r="F468" t="inlineStr">
        <is>
          <t>VÄRMLANDS LÄN</t>
        </is>
      </c>
      <c r="G468" t="inlineStr">
        <is>
          <t>KARLSTAD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45524</v>
      </c>
      <c r="E469" s="1" t="n">
        <v>46286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46286</v>
      </c>
      <c r="F470" t="inlineStr">
        <is>
          <t>VÄRMLANDS LÄN</t>
        </is>
      </c>
      <c r="G470" t="inlineStr">
        <is>
          <t>KARLSTAD</t>
        </is>
      </c>
      <c r="I470" t="n">
        <v>10.7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46286</v>
      </c>
      <c r="F471" t="inlineStr">
        <is>
          <t>VÄRMLANDS LÄN</t>
        </is>
      </c>
      <c r="G471" t="inlineStr">
        <is>
          <t>KARLSTAD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45693</v>
      </c>
      <c r="E472" s="1" t="n">
        <v>46286</v>
      </c>
      <c r="F472" t="inlineStr">
        <is>
          <t>VÄRMLANDS LÄN</t>
        </is>
      </c>
      <c r="G472" t="inlineStr">
        <is>
          <t>KARLSTAD</t>
        </is>
      </c>
      <c r="H472" t="inlineStr">
        <is>
          <t>Bergvik skog väst AB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46286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46286</v>
      </c>
      <c r="F474" t="inlineStr">
        <is>
          <t>VÄRMLANDS LÄN</t>
        </is>
      </c>
      <c r="G474" t="inlineStr">
        <is>
          <t>KARLSTAD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57449-2022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44896</v>
      </c>
      <c r="E475" s="1" t="n">
        <v>46286</v>
      </c>
      <c r="F475" t="inlineStr">
        <is>
          <t>VÄRMLANDS LÄN</t>
        </is>
      </c>
      <c r="G475" t="inlineStr">
        <is>
          <t>KARLSTAD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45641</v>
      </c>
      <c r="E476" s="1" t="n">
        <v>46286</v>
      </c>
      <c r="F476" t="inlineStr">
        <is>
          <t>VÄRMLANDS LÄN</t>
        </is>
      </c>
      <c r="G476" t="inlineStr">
        <is>
          <t>KARLSTAD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46286</v>
      </c>
      <c r="F477" t="inlineStr">
        <is>
          <t>VÄRMLANDS LÄN</t>
        </is>
      </c>
      <c r="G477" t="inlineStr">
        <is>
          <t>KARLSTAD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46286</v>
      </c>
      <c r="F478" t="inlineStr">
        <is>
          <t>VÄRMLANDS LÄN</t>
        </is>
      </c>
      <c r="G478" t="inlineStr">
        <is>
          <t>KARLSTAD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45300</v>
      </c>
      <c r="E479" s="1" t="n">
        <v>46286</v>
      </c>
      <c r="F479" t="inlineStr">
        <is>
          <t>VÄRMLANDS LÄN</t>
        </is>
      </c>
      <c r="G479" t="inlineStr">
        <is>
          <t>KARLSTAD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5056-2022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44593</v>
      </c>
      <c r="E480" s="1" t="n">
        <v>46286</v>
      </c>
      <c r="F480" t="inlineStr">
        <is>
          <t>VÄRMLANDS LÄN</t>
        </is>
      </c>
      <c r="G480" t="inlineStr">
        <is>
          <t>KARLSTAD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46286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60184-2023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46286</v>
      </c>
      <c r="F482" t="inlineStr">
        <is>
          <t>VÄRMLANDS LÄN</t>
        </is>
      </c>
      <c r="G482" t="inlineStr">
        <is>
          <t>KARLSTAD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46286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46286</v>
      </c>
      <c r="F484" t="inlineStr">
        <is>
          <t>VÄRMLANDS LÄN</t>
        </is>
      </c>
      <c r="G484" t="inlineStr">
        <is>
          <t>KARLSTAD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34329-2026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46254</v>
      </c>
      <c r="E485" s="1" t="n">
        <v>46286</v>
      </c>
      <c r="F485" t="inlineStr">
        <is>
          <t>VÄRMLANDS LÄN</t>
        </is>
      </c>
      <c r="G485" t="inlineStr">
        <is>
          <t>KARLSTAD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41563-2023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46286</v>
      </c>
      <c r="F486" t="inlineStr">
        <is>
          <t>VÄRMLANDS LÄN</t>
        </is>
      </c>
      <c r="G486" t="inlineStr">
        <is>
          <t>KARLSTAD</t>
        </is>
      </c>
      <c r="H486" t="inlineStr">
        <is>
          <t>Övriga Aktiebolag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46286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34788-2026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46258</v>
      </c>
      <c r="E488" s="1" t="n">
        <v>46286</v>
      </c>
      <c r="F488" t="inlineStr">
        <is>
          <t>VÄRMLANDS LÄN</t>
        </is>
      </c>
      <c r="G488" t="inlineStr">
        <is>
          <t>KARLSTAD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34722-2026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46258</v>
      </c>
      <c r="E489" s="1" t="n">
        <v>46286</v>
      </c>
      <c r="F489" t="inlineStr">
        <is>
          <t>VÄRMLANDS LÄN</t>
        </is>
      </c>
      <c r="G489" t="inlineStr">
        <is>
          <t>KARLSTAD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46286</v>
      </c>
      <c r="F490" t="inlineStr">
        <is>
          <t>VÄRMLANDS LÄN</t>
        </is>
      </c>
      <c r="G490" t="inlineStr">
        <is>
          <t>KARLSTAD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28154-2022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44746</v>
      </c>
      <c r="E491" s="1" t="n">
        <v>46286</v>
      </c>
      <c r="F491" t="inlineStr">
        <is>
          <t>VÄRMLANDS LÄN</t>
        </is>
      </c>
      <c r="G491" t="inlineStr">
        <is>
          <t>KARLSTAD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46286</v>
      </c>
      <c r="F492" t="inlineStr">
        <is>
          <t>VÄRMLANDS LÄN</t>
        </is>
      </c>
      <c r="G492" t="inlineStr">
        <is>
          <t>KARLSTAD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46286</v>
      </c>
      <c r="F493" t="inlineStr">
        <is>
          <t>VÄRMLANDS LÄN</t>
        </is>
      </c>
      <c r="G493" t="inlineStr">
        <is>
          <t>KARLSTAD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31415-2026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46220</v>
      </c>
      <c r="E494" s="1" t="n">
        <v>46286</v>
      </c>
      <c r="F494" t="inlineStr">
        <is>
          <t>VÄRMLANDS LÄN</t>
        </is>
      </c>
      <c r="G494" t="inlineStr">
        <is>
          <t>KARLSTAD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31391-2026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46220</v>
      </c>
      <c r="E495" s="1" t="n">
        <v>46286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46222</v>
      </c>
      <c r="E496" s="1" t="n">
        <v>46286</v>
      </c>
      <c r="F496" t="inlineStr">
        <is>
          <t>VÄRMLANDS LÄN</t>
        </is>
      </c>
      <c r="G496" t="inlineStr">
        <is>
          <t>KARLSTAD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46222</v>
      </c>
      <c r="E497" s="1" t="n">
        <v>46286</v>
      </c>
      <c r="F497" t="inlineStr">
        <is>
          <t>VÄRMLANDS LÄN</t>
        </is>
      </c>
      <c r="G497" t="inlineStr">
        <is>
          <t>KARLSTAD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46222</v>
      </c>
      <c r="E498" s="1" t="n">
        <v>46286</v>
      </c>
      <c r="F498" t="inlineStr">
        <is>
          <t>VÄRMLANDS LÄN</t>
        </is>
      </c>
      <c r="G498" t="inlineStr">
        <is>
          <t>KARLSTAD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46222</v>
      </c>
      <c r="E499" s="1" t="n">
        <v>46286</v>
      </c>
      <c r="F499" t="inlineStr">
        <is>
          <t>VÄRMLANDS LÄN</t>
        </is>
      </c>
      <c r="G499" t="inlineStr">
        <is>
          <t>KARLSTAD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46222</v>
      </c>
      <c r="E500" s="1" t="n">
        <v>46286</v>
      </c>
      <c r="F500" t="inlineStr">
        <is>
          <t>VÄRMLANDS LÄN</t>
        </is>
      </c>
      <c r="G500" t="inlineStr">
        <is>
          <t>KARLSTAD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46222</v>
      </c>
      <c r="E501" s="1" t="n">
        <v>46286</v>
      </c>
      <c r="F501" t="inlineStr">
        <is>
          <t>VÄRMLANDS LÄN</t>
        </is>
      </c>
      <c r="G501" t="inlineStr">
        <is>
          <t>KARLSTAD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45386</v>
      </c>
      <c r="E502" s="1" t="n">
        <v>46286</v>
      </c>
      <c r="F502" t="inlineStr">
        <is>
          <t>VÄRMLANDS LÄN</t>
        </is>
      </c>
      <c r="G502" t="inlineStr">
        <is>
          <t>KARLSTAD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45306</v>
      </c>
      <c r="E503" s="1" t="n">
        <v>46286</v>
      </c>
      <c r="F503" t="inlineStr">
        <is>
          <t>VÄRMLANDS LÄN</t>
        </is>
      </c>
      <c r="G503" t="inlineStr">
        <is>
          <t>KARLSTAD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45775</v>
      </c>
      <c r="E504" s="1" t="n">
        <v>46286</v>
      </c>
      <c r="F504" t="inlineStr">
        <is>
          <t>VÄRMLANDS LÄN</t>
        </is>
      </c>
      <c r="G504" t="inlineStr">
        <is>
          <t>KARLSTAD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46286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46220</v>
      </c>
      <c r="E506" s="1" t="n">
        <v>46286</v>
      </c>
      <c r="F506" t="inlineStr">
        <is>
          <t>VÄRMLANDS LÄN</t>
        </is>
      </c>
      <c r="G506" t="inlineStr">
        <is>
          <t>KARLSTAD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46286</v>
      </c>
      <c r="F507" t="inlineStr">
        <is>
          <t>VÄRMLANDS LÄN</t>
        </is>
      </c>
      <c r="G507" t="inlineStr">
        <is>
          <t>KARLSTAD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31430-2026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46220</v>
      </c>
      <c r="E508" s="1" t="n">
        <v>46286</v>
      </c>
      <c r="F508" t="inlineStr">
        <is>
          <t>VÄRMLANDS LÄN</t>
        </is>
      </c>
      <c r="G508" t="inlineStr">
        <is>
          <t>KARLSTAD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45177</v>
      </c>
      <c r="E509" s="1" t="n">
        <v>46286</v>
      </c>
      <c r="F509" t="inlineStr">
        <is>
          <t>VÄRMLANDS LÄN</t>
        </is>
      </c>
      <c r="G509" t="inlineStr">
        <is>
          <t>KARLSTAD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41321-2023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45174</v>
      </c>
      <c r="E510" s="1" t="n">
        <v>46286</v>
      </c>
      <c r="F510" t="inlineStr">
        <is>
          <t>VÄRMLANDS LÄN</t>
        </is>
      </c>
      <c r="G510" t="inlineStr">
        <is>
          <t>KARLSTAD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46286</v>
      </c>
      <c r="F511" t="inlineStr">
        <is>
          <t>VÄRMLANDS LÄN</t>
        </is>
      </c>
      <c r="G511" t="inlineStr">
        <is>
          <t>KARLSTAD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53305-2023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45229</v>
      </c>
      <c r="E512" s="1" t="n">
        <v>46286</v>
      </c>
      <c r="F512" t="inlineStr">
        <is>
          <t>VÄRMLANDS LÄN</t>
        </is>
      </c>
      <c r="G512" t="inlineStr">
        <is>
          <t>KARLSTAD</t>
        </is>
      </c>
      <c r="H512" t="inlineStr">
        <is>
          <t>Övriga Aktiebolag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16757-2024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45411</v>
      </c>
      <c r="E513" s="1" t="n">
        <v>46286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46286</v>
      </c>
      <c r="F514" t="inlineStr">
        <is>
          <t>VÄRMLANDS LÄN</t>
        </is>
      </c>
      <c r="G514" t="inlineStr">
        <is>
          <t>KARLSTAD</t>
        </is>
      </c>
      <c r="H514" t="inlineStr">
        <is>
          <t>Övriga statliga verk och myndigheter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46286</v>
      </c>
      <c r="F515" t="inlineStr">
        <is>
          <t>VÄRMLANDS LÄN</t>
        </is>
      </c>
      <c r="G515" t="inlineStr">
        <is>
          <t>KARLSTAD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12399-2024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45379</v>
      </c>
      <c r="E516" s="1" t="n">
        <v>46286</v>
      </c>
      <c r="F516" t="inlineStr">
        <is>
          <t>VÄRMLANDS LÄN</t>
        </is>
      </c>
      <c r="G516" t="inlineStr">
        <is>
          <t>KARLSTAD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54141-2024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45616</v>
      </c>
      <c r="E517" s="1" t="n">
        <v>46286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45782</v>
      </c>
      <c r="E518" s="1" t="n">
        <v>46286</v>
      </c>
      <c r="F518" t="inlineStr">
        <is>
          <t>VÄRMLANDS LÄN</t>
        </is>
      </c>
      <c r="G518" t="inlineStr">
        <is>
          <t>KARLSTAD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45782</v>
      </c>
      <c r="E519" s="1" t="n">
        <v>46286</v>
      </c>
      <c r="F519" t="inlineStr">
        <is>
          <t>VÄRMLANDS LÄN</t>
        </is>
      </c>
      <c r="G519" t="inlineStr">
        <is>
          <t>KARLSTAD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46286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46270</v>
      </c>
      <c r="E521" s="1" t="n">
        <v>46286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46270</v>
      </c>
      <c r="E522" s="1" t="n">
        <v>46286</v>
      </c>
      <c r="F522" t="inlineStr">
        <is>
          <t>VÄRMLANDS LÄN</t>
        </is>
      </c>
      <c r="G522" t="inlineStr">
        <is>
          <t>KARLSTAD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21866-2025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46286</v>
      </c>
      <c r="F523" t="inlineStr">
        <is>
          <t>VÄRMLANDS LÄN</t>
        </is>
      </c>
      <c r="G523" t="inlineStr">
        <is>
          <t>KARLSTAD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46286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46286</v>
      </c>
      <c r="F525" t="inlineStr">
        <is>
          <t>VÄRMLANDS LÄN</t>
        </is>
      </c>
      <c r="G525" t="inlineStr">
        <is>
          <t>KARLSTAD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45911</v>
      </c>
      <c r="E526" s="1" t="n">
        <v>46286</v>
      </c>
      <c r="F526" t="inlineStr">
        <is>
          <t>VÄRMLANDS LÄN</t>
        </is>
      </c>
      <c r="G526" t="inlineStr">
        <is>
          <t>KARLSTAD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21849-2025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46286</v>
      </c>
      <c r="F527" t="inlineStr">
        <is>
          <t>VÄRMLANDS LÄN</t>
        </is>
      </c>
      <c r="G527" t="inlineStr">
        <is>
          <t>KARLSTAD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46286</v>
      </c>
      <c r="F528" t="inlineStr">
        <is>
          <t>VÄRMLANDS LÄN</t>
        </is>
      </c>
      <c r="G528" t="inlineStr">
        <is>
          <t>KARLSTAD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22585-2025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45789</v>
      </c>
      <c r="E529" s="1" t="n">
        <v>46286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39792-2024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45553</v>
      </c>
      <c r="E530" s="1" t="n">
        <v>46286</v>
      </c>
      <c r="F530" t="inlineStr">
        <is>
          <t>VÄRMLANDS LÄN</t>
        </is>
      </c>
      <c r="G530" t="inlineStr">
        <is>
          <t>KARLSTAD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46281</v>
      </c>
      <c r="E531" s="1" t="n">
        <v>46286</v>
      </c>
      <c r="F531" t="inlineStr">
        <is>
          <t>VÄRMLANDS LÄN</t>
        </is>
      </c>
      <c r="G531" t="inlineStr">
        <is>
          <t>KARLSTAD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45466</v>
      </c>
      <c r="E532" s="1" t="n">
        <v>46286</v>
      </c>
      <c r="F532" t="inlineStr">
        <is>
          <t>VÄRMLANDS LÄN</t>
        </is>
      </c>
      <c r="G532" t="inlineStr">
        <is>
          <t>KARLSTAD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45356</v>
      </c>
      <c r="E533" s="1" t="n">
        <v>46286</v>
      </c>
      <c r="F533" t="inlineStr">
        <is>
          <t>VÄRMLANDS LÄN</t>
        </is>
      </c>
      <c r="G533" t="inlineStr">
        <is>
          <t>KARLSTAD</t>
        </is>
      </c>
      <c r="I533" t="n">
        <v>12.5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38298-2022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46286</v>
      </c>
      <c r="F534" t="inlineStr">
        <is>
          <t>VÄRMLANDS LÄN</t>
        </is>
      </c>
      <c r="G534" t="inlineStr">
        <is>
          <t>KARLSTAD</t>
        </is>
      </c>
      <c r="H534" t="inlineStr">
        <is>
          <t>Bergvik skog väst AB</t>
        </is>
      </c>
      <c r="I534" t="n">
        <v>24.3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55081-2024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45621</v>
      </c>
      <c r="E535" s="1" t="n">
        <v>46286</v>
      </c>
      <c r="F535" t="inlineStr">
        <is>
          <t>VÄRMLANDS LÄN</t>
        </is>
      </c>
      <c r="G535" t="inlineStr">
        <is>
          <t>KARLSTAD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46286</v>
      </c>
      <c r="F536" t="inlineStr">
        <is>
          <t>VÄRMLANDS LÄN</t>
        </is>
      </c>
      <c r="G536" t="inlineStr">
        <is>
          <t>KARLSTAD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19166-2023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45044</v>
      </c>
      <c r="E537" s="1" t="n">
        <v>46286</v>
      </c>
      <c r="F537" t="inlineStr">
        <is>
          <t>VÄRMLANDS LÄN</t>
        </is>
      </c>
      <c r="G537" t="inlineStr">
        <is>
          <t>KARLSTAD</t>
        </is>
      </c>
      <c r="H537" t="inlineStr">
        <is>
          <t>Övriga statliga verk och myndigheter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57503-2024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46286</v>
      </c>
      <c r="F538" t="inlineStr">
        <is>
          <t>VÄRMLANDS LÄN</t>
        </is>
      </c>
      <c r="G538" t="inlineStr">
        <is>
          <t>KARLSTAD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46286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44888</v>
      </c>
      <c r="E540" s="1" t="n">
        <v>46286</v>
      </c>
      <c r="F540" t="inlineStr">
        <is>
          <t>VÄRMLANDS LÄN</t>
        </is>
      </c>
      <c r="G540" t="inlineStr">
        <is>
          <t>KARLSTAD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16033-2024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45405</v>
      </c>
      <c r="E541" s="1" t="n">
        <v>46286</v>
      </c>
      <c r="F541" t="inlineStr">
        <is>
          <t>VÄRMLANDS LÄN</t>
        </is>
      </c>
      <c r="G541" t="inlineStr">
        <is>
          <t>KARLSTAD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45810</v>
      </c>
      <c r="E542" s="1" t="n">
        <v>46286</v>
      </c>
      <c r="F542" t="inlineStr">
        <is>
          <t>VÄRMLANDS LÄN</t>
        </is>
      </c>
      <c r="G542" t="inlineStr">
        <is>
          <t>KARLSTAD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46286</v>
      </c>
      <c r="F543" t="inlineStr">
        <is>
          <t>VÄRMLANDS LÄN</t>
        </is>
      </c>
      <c r="G543" t="inlineStr">
        <is>
          <t>KARLSTAD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45720</v>
      </c>
      <c r="E544" s="1" t="n">
        <v>46286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41514-2024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45560</v>
      </c>
      <c r="E545" s="1" t="n">
        <v>46286</v>
      </c>
      <c r="F545" t="inlineStr">
        <is>
          <t>VÄRMLANDS LÄN</t>
        </is>
      </c>
      <c r="G545" t="inlineStr">
        <is>
          <t>KARLSTAD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45813</v>
      </c>
      <c r="E546" s="1" t="n">
        <v>46286</v>
      </c>
      <c r="F546" t="inlineStr">
        <is>
          <t>VÄRMLANDS LÄN</t>
        </is>
      </c>
      <c r="G546" t="inlineStr">
        <is>
          <t>KARLSTAD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45813</v>
      </c>
      <c r="E547" s="1" t="n">
        <v>46286</v>
      </c>
      <c r="F547" t="inlineStr">
        <is>
          <t>VÄRMLANDS LÄN</t>
        </is>
      </c>
      <c r="G547" t="inlineStr">
        <is>
          <t>KARLSTAD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45813</v>
      </c>
      <c r="E548" s="1" t="n">
        <v>46286</v>
      </c>
      <c r="F548" t="inlineStr">
        <is>
          <t>VÄRMLANDS LÄN</t>
        </is>
      </c>
      <c r="G548" t="inlineStr">
        <is>
          <t>KARLSTAD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45813</v>
      </c>
      <c r="E549" s="1" t="n">
        <v>46286</v>
      </c>
      <c r="F549" t="inlineStr">
        <is>
          <t>VÄRMLANDS LÄN</t>
        </is>
      </c>
      <c r="G549" t="inlineStr">
        <is>
          <t>KARLSTAD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54254-2024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45616</v>
      </c>
      <c r="E550" s="1" t="n">
        <v>46286</v>
      </c>
      <c r="F550" t="inlineStr">
        <is>
          <t>VÄRMLANDS LÄN</t>
        </is>
      </c>
      <c r="G550" t="inlineStr">
        <is>
          <t>KARLSTAD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45819</v>
      </c>
      <c r="E551" s="1" t="n">
        <v>46286</v>
      </c>
      <c r="F551" t="inlineStr">
        <is>
          <t>VÄRMLANDS LÄN</t>
        </is>
      </c>
      <c r="G551" t="inlineStr">
        <is>
          <t>KARLSTAD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36072-2024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45533</v>
      </c>
      <c r="E552" s="1" t="n">
        <v>46286</v>
      </c>
      <c r="F552" t="inlineStr">
        <is>
          <t>VÄRMLANDS LÄN</t>
        </is>
      </c>
      <c r="G552" t="inlineStr">
        <is>
          <t>KARLSTAD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29192-2025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45822</v>
      </c>
      <c r="E553" s="1" t="n">
        <v>46286</v>
      </c>
      <c r="F553" t="inlineStr">
        <is>
          <t>VÄRMLANDS LÄN</t>
        </is>
      </c>
      <c r="G553" t="inlineStr">
        <is>
          <t>KARLSTAD</t>
        </is>
      </c>
      <c r="I553" t="n">
        <v>23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46286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46286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46286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45838</v>
      </c>
      <c r="E557" s="1" t="n">
        <v>46286</v>
      </c>
      <c r="F557" t="inlineStr">
        <is>
          <t>VÄRMLANDS LÄN</t>
        </is>
      </c>
      <c r="G557" t="inlineStr">
        <is>
          <t>KARLSTAD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46286</v>
      </c>
      <c r="F558" t="inlineStr">
        <is>
          <t>VÄRMLANDS LÄN</t>
        </is>
      </c>
      <c r="G558" t="inlineStr">
        <is>
          <t>KARLSTAD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45785</v>
      </c>
      <c r="E559" s="1" t="n">
        <v>46286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46286</v>
      </c>
      <c r="F560" t="inlineStr">
        <is>
          <t>VÄRMLANDS LÄN</t>
        </is>
      </c>
      <c r="G560" t="inlineStr">
        <is>
          <t>KARLSTAD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37932-2025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45881</v>
      </c>
      <c r="E561" s="1" t="n">
        <v>46286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46286</v>
      </c>
      <c r="F562" t="inlineStr">
        <is>
          <t>VÄRMLANDS LÄN</t>
        </is>
      </c>
      <c r="G562" t="inlineStr">
        <is>
          <t>KARLSTAD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4402-2023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46286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435-2024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45337</v>
      </c>
      <c r="E564" s="1" t="n">
        <v>46286</v>
      </c>
      <c r="F564" t="inlineStr">
        <is>
          <t>VÄRMLANDS LÄN</t>
        </is>
      </c>
      <c r="G564" t="inlineStr">
        <is>
          <t>KARLSTAD</t>
        </is>
      </c>
      <c r="I564" t="n">
        <v>101.6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5511-2022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44834</v>
      </c>
      <c r="E565" s="1" t="n">
        <v>46286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928-2022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44606</v>
      </c>
      <c r="E566" s="1" t="n">
        <v>46286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4396-2023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46286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2688-2024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45481</v>
      </c>
      <c r="E568" s="1" t="n">
        <v>46286</v>
      </c>
      <c r="F568" t="inlineStr">
        <is>
          <t>VÄRMLANDS LÄN</t>
        </is>
      </c>
      <c r="G568" t="inlineStr">
        <is>
          <t>KARLSTAD</t>
        </is>
      </c>
      <c r="I568" t="n">
        <v>31.6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416-2024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45335</v>
      </c>
      <c r="E569" s="1" t="n">
        <v>46286</v>
      </c>
      <c r="F569" t="inlineStr">
        <is>
          <t>VÄRMLANDS LÄN</t>
        </is>
      </c>
      <c r="G569" t="inlineStr">
        <is>
          <t>KARLSTAD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6972-2022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44901</v>
      </c>
      <c r="E570" s="1" t="n">
        <v>46286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2560-2024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45476</v>
      </c>
      <c r="E571" s="1" t="n">
        <v>46286</v>
      </c>
      <c r="F571" t="inlineStr">
        <is>
          <t>VÄRMLANDS LÄN</t>
        </is>
      </c>
      <c r="G571" t="inlineStr">
        <is>
          <t>KARLSTAD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46286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4126-2022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44763</v>
      </c>
      <c r="E573" s="1" t="n">
        <v>46286</v>
      </c>
      <c r="F573" t="inlineStr">
        <is>
          <t>VÄRMLANDS LÄN</t>
        </is>
      </c>
      <c r="G573" t="inlineStr">
        <is>
          <t>KARLSTAD</t>
        </is>
      </c>
      <c r="I573" t="n">
        <v>10.2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1875-2023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45076</v>
      </c>
      <c r="E574" s="1" t="n">
        <v>46286</v>
      </c>
      <c r="F574" t="inlineStr">
        <is>
          <t>VÄRMLANDS LÄN</t>
        </is>
      </c>
      <c r="G574" t="inlineStr">
        <is>
          <t>KARLSTAD</t>
        </is>
      </c>
      <c r="H574" t="inlineStr">
        <is>
          <t>Kommuner</t>
        </is>
      </c>
      <c r="I574" t="n">
        <v>163.7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46286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46286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664-2025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45716</v>
      </c>
      <c r="E577" s="1" t="n">
        <v>46286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18.2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3060-2025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45964</v>
      </c>
      <c r="E578" s="1" t="n">
        <v>46286</v>
      </c>
      <c r="F578" t="inlineStr">
        <is>
          <t>VÄRMLANDS LÄN</t>
        </is>
      </c>
      <c r="G578" t="inlineStr">
        <is>
          <t>KARLSTAD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>
      <c r="A579" t="inlineStr">
        <is>
          <t>S 100-2026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46036</v>
      </c>
      <c r="E579" s="1" t="n">
        <v>46286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2026-09-21T02:04:41Z</dcterms:created>
  <dcterms:modified xmlns:dcterms="http://purl.org/dc/terms/" xmlns:xsi="http://www.w3.org/2001/XMLSchema-instance" xsi:type="dcterms:W3CDTF">2026-09-21T02:04:42Z</dcterms:modified>
</cp:coreProperties>
</file>