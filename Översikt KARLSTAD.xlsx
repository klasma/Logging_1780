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45790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45790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45790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45790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45790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45790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45790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45790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45790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12633-2025</t>
        </is>
      </c>
      <c r="B11" s="1" t="n">
        <v>45733</v>
      </c>
      <c r="C11" s="1" t="n">
        <v>45790</v>
      </c>
      <c r="D11" t="inlineStr">
        <is>
          <t>VÄRMLANDS LÄN</t>
        </is>
      </c>
      <c r="E11" t="inlineStr">
        <is>
          <t>KARLSTAD</t>
        </is>
      </c>
      <c r="F11" t="inlineStr">
        <is>
          <t>Bergvik skog väst AB</t>
        </is>
      </c>
      <c r="G11" t="n">
        <v>9.1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 sköldmossa
Plattlummer
Stubbspretmossa
Mattlummer</t>
        </is>
      </c>
      <c r="S11">
        <f>HYPERLINK("https://klasma.github.io/Logging_171780/artfynd/A 12633-2025 artfynd.xlsx", "A 12633-2025")</f>
        <v/>
      </c>
      <c r="T11">
        <f>HYPERLINK("https://klasma.github.io/Logging_171780/kartor/A 12633-2025 karta.png", "A 12633-2025")</f>
        <v/>
      </c>
      <c r="V11">
        <f>HYPERLINK("https://klasma.github.io/Logging_171780/klagomål/A 12633-2025 FSC-klagomål.docx", "A 12633-2025")</f>
        <v/>
      </c>
      <c r="W11">
        <f>HYPERLINK("https://klasma.github.io/Logging_171780/klagomålsmail/A 12633-2025 FSC-klagomål mail.docx", "A 12633-2025")</f>
        <v/>
      </c>
      <c r="X11">
        <f>HYPERLINK("https://klasma.github.io/Logging_171780/tillsyn/A 12633-2025 tillsynsbegäran.docx", "A 12633-2025")</f>
        <v/>
      </c>
      <c r="Y11">
        <f>HYPERLINK("https://klasma.github.io/Logging_171780/tillsynsmail/A 12633-2025 tillsynsbegäran mail.docx", "A 12633-2025")</f>
        <v/>
      </c>
    </row>
    <row r="12" ht="15" customHeight="1">
      <c r="A12" t="inlineStr">
        <is>
          <t>A 22865-2019</t>
        </is>
      </c>
      <c r="B12" s="1" t="n">
        <v>43591</v>
      </c>
      <c r="C12" s="1" t="n">
        <v>45790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Trådticka
Revlummer</t>
        </is>
      </c>
      <c r="S12">
        <f>HYPERLINK("https://klasma.github.io/Logging_1780/artfynd/A 22865-2019 artfynd.xlsx", "A 22865-2019")</f>
        <v/>
      </c>
      <c r="T12">
        <f>HYPERLINK("https://klasma.github.io/Logging_1780/kartor/A 22865-2019 karta.png", "A 22865-2019")</f>
        <v/>
      </c>
      <c r="V12">
        <f>HYPERLINK("https://klasma.github.io/Logging_1780/klagomål/A 22865-2019 FSC-klagomål.docx", "A 22865-2019")</f>
        <v/>
      </c>
      <c r="W12">
        <f>HYPERLINK("https://klasma.github.io/Logging_1780/klagomålsmail/A 22865-2019 FSC-klagomål mail.docx", "A 22865-2019")</f>
        <v/>
      </c>
      <c r="X12">
        <f>HYPERLINK("https://klasma.github.io/Logging_1780/tillsyn/A 22865-2019 tillsynsbegäran.docx", "A 22865-2019")</f>
        <v/>
      </c>
      <c r="Y12">
        <f>HYPERLINK("https://klasma.github.io/Logging_1780/tillsynsmail/A 22865-2019 tillsynsbegäran mail.docx", "A 22865-2019")</f>
        <v/>
      </c>
    </row>
    <row r="13" ht="15" customHeight="1">
      <c r="A13" t="inlineStr">
        <is>
          <t>A 23049-2019</t>
        </is>
      </c>
      <c r="B13" s="1" t="n">
        <v>43591</v>
      </c>
      <c r="C13" s="1" t="n">
        <v>45790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Brandticka
Vedticka</t>
        </is>
      </c>
      <c r="S13">
        <f>HYPERLINK("https://klasma.github.io/Logging_1780/artfynd/A 23049-2019 artfynd.xlsx", "A 23049-2019")</f>
        <v/>
      </c>
      <c r="T13">
        <f>HYPERLINK("https://klasma.github.io/Logging_1780/kartor/A 23049-2019 karta.png", "A 23049-2019")</f>
        <v/>
      </c>
      <c r="V13">
        <f>HYPERLINK("https://klasma.github.io/Logging_1780/klagomål/A 23049-2019 FSC-klagomål.docx", "A 23049-2019")</f>
        <v/>
      </c>
      <c r="W13">
        <f>HYPERLINK("https://klasma.github.io/Logging_1780/klagomålsmail/A 23049-2019 FSC-klagomål mail.docx", "A 23049-2019")</f>
        <v/>
      </c>
      <c r="X13">
        <f>HYPERLINK("https://klasma.github.io/Logging_1780/tillsyn/A 23049-2019 tillsynsbegäran.docx", "A 23049-2019")</f>
        <v/>
      </c>
      <c r="Y13">
        <f>HYPERLINK("https://klasma.github.io/Logging_1780/tillsynsmail/A 23049-2019 tillsynsbegäran mail.docx", "A 23049-2019")</f>
        <v/>
      </c>
      <c r="Z13">
        <f>HYPERLINK("https://klasma.github.io/Logging_1780/fåglar/A 23049-2019 prioriterade fågelarter.docx", "A 23049-2019")</f>
        <v/>
      </c>
    </row>
    <row r="14" ht="15" customHeight="1">
      <c r="A14" t="inlineStr">
        <is>
          <t>A 56475-2019</t>
        </is>
      </c>
      <c r="B14" s="1" t="n">
        <v>43762</v>
      </c>
      <c r="C14" s="1" t="n">
        <v>45790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Platt fjädermossa</t>
        </is>
      </c>
      <c r="S14">
        <f>HYPERLINK("https://klasma.github.io/Logging_1780/artfynd/A 56475-2019 artfynd.xlsx", "A 56475-2019")</f>
        <v/>
      </c>
      <c r="T14">
        <f>HYPERLINK("https://klasma.github.io/Logging_1780/kartor/A 56475-2019 karta.png", "A 56475-2019")</f>
        <v/>
      </c>
      <c r="V14">
        <f>HYPERLINK("https://klasma.github.io/Logging_1780/klagomål/A 56475-2019 FSC-klagomål.docx", "A 56475-2019")</f>
        <v/>
      </c>
      <c r="W14">
        <f>HYPERLINK("https://klasma.github.io/Logging_1780/klagomålsmail/A 56475-2019 FSC-klagomål mail.docx", "A 56475-2019")</f>
        <v/>
      </c>
      <c r="X14">
        <f>HYPERLINK("https://klasma.github.io/Logging_1780/tillsyn/A 56475-2019 tillsynsbegäran.docx", "A 56475-2019")</f>
        <v/>
      </c>
      <c r="Y14">
        <f>HYPERLINK("https://klasma.github.io/Logging_1780/tillsynsmail/A 56475-2019 tillsynsbegäran mail.docx", "A 56475-2019")</f>
        <v/>
      </c>
    </row>
    <row r="15" ht="15" customHeight="1">
      <c r="A15" t="inlineStr">
        <is>
          <t>A 5520-2020</t>
        </is>
      </c>
      <c r="B15" s="1" t="n">
        <v>43861</v>
      </c>
      <c r="C15" s="1" t="n">
        <v>45790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Svedjenäva
Skogsknipprot
Springkorn</t>
        </is>
      </c>
      <c r="S15">
        <f>HYPERLINK("https://klasma.github.io/Logging_1780/artfynd/A 5520-2020 artfynd.xlsx", "A 5520-2020")</f>
        <v/>
      </c>
      <c r="T15">
        <f>HYPERLINK("https://klasma.github.io/Logging_1780/kartor/A 5520-2020 karta.png", "A 5520-2020")</f>
        <v/>
      </c>
      <c r="V15">
        <f>HYPERLINK("https://klasma.github.io/Logging_1780/klagomål/A 5520-2020 FSC-klagomål.docx", "A 5520-2020")</f>
        <v/>
      </c>
      <c r="W15">
        <f>HYPERLINK("https://klasma.github.io/Logging_1780/klagomålsmail/A 5520-2020 FSC-klagomål mail.docx", "A 5520-2020")</f>
        <v/>
      </c>
      <c r="X15">
        <f>HYPERLINK("https://klasma.github.io/Logging_1780/tillsyn/A 5520-2020 tillsynsbegäran.docx", "A 5520-2020")</f>
        <v/>
      </c>
      <c r="Y15">
        <f>HYPERLINK("https://klasma.github.io/Logging_1780/tillsynsmail/A 5520-2020 tillsynsbegäran mail.docx", "A 5520-2020")</f>
        <v/>
      </c>
    </row>
    <row r="16" ht="15" customHeight="1">
      <c r="A16" t="inlineStr">
        <is>
          <t>A 31896-2021</t>
        </is>
      </c>
      <c r="B16" s="1" t="n">
        <v>44370</v>
      </c>
      <c r="C16" s="1" t="n">
        <v>45790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3.3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Vågticka
Brun gräsfjäril
Vågbandad barkbock</t>
        </is>
      </c>
      <c r="S16">
        <f>HYPERLINK("https://klasma.github.io/Logging_1780/artfynd/A 31896-2021 artfynd.xlsx", "A 31896-2021")</f>
        <v/>
      </c>
      <c r="T16">
        <f>HYPERLINK("https://klasma.github.io/Logging_1780/kartor/A 31896-2021 karta.png", "A 31896-2021")</f>
        <v/>
      </c>
      <c r="V16">
        <f>HYPERLINK("https://klasma.github.io/Logging_1780/klagomål/A 31896-2021 FSC-klagomål.docx", "A 31896-2021")</f>
        <v/>
      </c>
      <c r="W16">
        <f>HYPERLINK("https://klasma.github.io/Logging_1780/klagomålsmail/A 31896-2021 FSC-klagomål mail.docx", "A 31896-2021")</f>
        <v/>
      </c>
      <c r="X16">
        <f>HYPERLINK("https://klasma.github.io/Logging_1780/tillsyn/A 31896-2021 tillsynsbegäran.docx", "A 31896-2021")</f>
        <v/>
      </c>
      <c r="Y16">
        <f>HYPERLINK("https://klasma.github.io/Logging_1780/tillsynsmail/A 31896-2021 tillsynsbegäran mail.docx", "A 31896-2021")</f>
        <v/>
      </c>
    </row>
    <row r="17" ht="15" customHeight="1">
      <c r="A17" t="inlineStr">
        <is>
          <t>A 69506-2021</t>
        </is>
      </c>
      <c r="B17" s="1" t="n">
        <v>44531</v>
      </c>
      <c r="C17" s="1" t="n">
        <v>45790</v>
      </c>
      <c r="D17" t="inlineStr">
        <is>
          <t>VÄRMLANDS LÄN</t>
        </is>
      </c>
      <c r="E17" t="inlineStr">
        <is>
          <t>KARLSTAD</t>
        </is>
      </c>
      <c r="G17" t="n">
        <v>5.2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Sparvuggla
Trana
Trädlärka</t>
        </is>
      </c>
      <c r="S17">
        <f>HYPERLINK("https://klasma.github.io/Logging_1780/artfynd/A 69506-2021 artfynd.xlsx", "A 69506-2021")</f>
        <v/>
      </c>
      <c r="T17">
        <f>HYPERLINK("https://klasma.github.io/Logging_1780/kartor/A 69506-2021 karta.png", "A 69506-2021")</f>
        <v/>
      </c>
      <c r="V17">
        <f>HYPERLINK("https://klasma.github.io/Logging_1780/klagomål/A 69506-2021 FSC-klagomål.docx", "A 69506-2021")</f>
        <v/>
      </c>
      <c r="W17">
        <f>HYPERLINK("https://klasma.github.io/Logging_1780/klagomålsmail/A 69506-2021 FSC-klagomål mail.docx", "A 69506-2021")</f>
        <v/>
      </c>
      <c r="X17">
        <f>HYPERLINK("https://klasma.github.io/Logging_1780/tillsyn/A 69506-2021 tillsynsbegäran.docx", "A 69506-2021")</f>
        <v/>
      </c>
      <c r="Y17">
        <f>HYPERLINK("https://klasma.github.io/Logging_1780/tillsynsmail/A 69506-2021 tillsynsbegäran mail.docx", "A 69506-2021")</f>
        <v/>
      </c>
      <c r="Z17">
        <f>HYPERLINK("https://klasma.github.io/Logging_1780/fåglar/A 69506-2021 prioriterade fågelarter.docx", "A 69506-2021")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45790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45790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45790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45790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45790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45790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45790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45790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45790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45790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45790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45790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45790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45790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45790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45790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45790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45790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45790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45790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45790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45790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45790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45790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45790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45790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45790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45790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45790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45790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45790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45790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45790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45790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45790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45790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45790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45790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45790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45790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45790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45790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45790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45790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45790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45790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45790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59055-2023</t>
        </is>
      </c>
      <c r="B65" s="1" t="n">
        <v>45252</v>
      </c>
      <c r="C65" s="1" t="n">
        <v>45790</v>
      </c>
      <c r="D65" t="inlineStr">
        <is>
          <t>VÄRMLANDS LÄN</t>
        </is>
      </c>
      <c r="E65" t="inlineStr">
        <is>
          <t>KARLSTAD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HYPERLINK("https://klasma.github.io/Logging_1780/artfynd/A 59055-2023 artfynd.xlsx", "A 59055-2023")</f>
        <v/>
      </c>
      <c r="T65">
        <f>HYPERLINK("https://klasma.github.io/Logging_1780/kartor/A 59055-2023 karta.png", "A 59055-2023")</f>
        <v/>
      </c>
      <c r="V65">
        <f>HYPERLINK("https://klasma.github.io/Logging_1780/klagomål/A 59055-2023 FSC-klagomål.docx", "A 59055-2023")</f>
        <v/>
      </c>
      <c r="W65">
        <f>HYPERLINK("https://klasma.github.io/Logging_1780/klagomålsmail/A 59055-2023 FSC-klagomål mail.docx", "A 59055-2023")</f>
        <v/>
      </c>
      <c r="X65">
        <f>HYPERLINK("https://klasma.github.io/Logging_1780/tillsyn/A 59055-2023 tillsynsbegäran.docx", "A 59055-2023")</f>
        <v/>
      </c>
      <c r="Y65">
        <f>HYPERLINK("https://klasma.github.io/Logging_1780/tillsynsmail/A 59055-2023 tillsynsbegäran mail.docx", "A 59055-2023")</f>
        <v/>
      </c>
      <c r="Z65">
        <f>HYPERLINK("https://klasma.github.io/Logging_1780/fåglar/A 59055-2023 prioriterade fågelarter.docx", "A 59055-2023")</f>
        <v/>
      </c>
    </row>
    <row r="66" ht="15" customHeight="1">
      <c r="A66" t="inlineStr">
        <is>
          <t>A 61650-2023</t>
        </is>
      </c>
      <c r="B66" s="1" t="n">
        <v>45265</v>
      </c>
      <c r="C66" s="1" t="n">
        <v>45790</v>
      </c>
      <c r="D66" t="inlineStr">
        <is>
          <t>VÄRMLANDS LÄN</t>
        </is>
      </c>
      <c r="E66" t="inlineStr">
        <is>
          <t>KARLSTAD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61650-2023 artfynd.xlsx", "A 61650-2023")</f>
        <v/>
      </c>
      <c r="T66">
        <f>HYPERLINK("https://klasma.github.io/Logging_1780/kartor/A 61650-2023 karta.png", "A 61650-2023")</f>
        <v/>
      </c>
      <c r="V66">
        <f>HYPERLINK("https://klasma.github.io/Logging_1780/klagomål/A 61650-2023 FSC-klagomål.docx", "A 61650-2023")</f>
        <v/>
      </c>
      <c r="W66">
        <f>HYPERLINK("https://klasma.github.io/Logging_1780/klagomålsmail/A 61650-2023 FSC-klagomål mail.docx", "A 61650-2023")</f>
        <v/>
      </c>
      <c r="X66">
        <f>HYPERLINK("https://klasma.github.io/Logging_1780/tillsyn/A 61650-2023 tillsynsbegäran.docx", "A 61650-2023")</f>
        <v/>
      </c>
      <c r="Y66">
        <f>HYPERLINK("https://klasma.github.io/Logging_1780/tillsynsmail/A 61650-2023 tillsynsbegäran mail.docx", "A 61650-2023")</f>
        <v/>
      </c>
      <c r="Z66">
        <f>HYPERLINK("https://klasma.github.io/Logging_1780/fåglar/A 61650-2023 prioriterade fågelarter.docx", "A 61650-2023")</f>
        <v/>
      </c>
    </row>
    <row r="67" ht="15" customHeight="1">
      <c r="A67" t="inlineStr">
        <is>
          <t>A 61654-2023</t>
        </is>
      </c>
      <c r="B67" s="1" t="n">
        <v>45265</v>
      </c>
      <c r="C67" s="1" t="n">
        <v>45790</v>
      </c>
      <c r="D67" t="inlineStr">
        <is>
          <t>VÄRMLANDS LÄN</t>
        </is>
      </c>
      <c r="E67" t="inlineStr">
        <is>
          <t>KARLSTAD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Gråkråka</t>
        </is>
      </c>
      <c r="S67">
        <f>HYPERLINK("https://klasma.github.io/Logging_1780/artfynd/A 61654-2023 artfynd.xlsx", "A 61654-2023")</f>
        <v/>
      </c>
      <c r="T67">
        <f>HYPERLINK("https://klasma.github.io/Logging_1780/kartor/A 61654-2023 karta.png", "A 61654-2023")</f>
        <v/>
      </c>
      <c r="V67">
        <f>HYPERLINK("https://klasma.github.io/Logging_1780/klagomål/A 61654-2023 FSC-klagomål.docx", "A 61654-2023")</f>
        <v/>
      </c>
      <c r="W67">
        <f>HYPERLINK("https://klasma.github.io/Logging_1780/klagomålsmail/A 61654-2023 FSC-klagomål mail.docx", "A 61654-2023")</f>
        <v/>
      </c>
      <c r="X67">
        <f>HYPERLINK("https://klasma.github.io/Logging_1780/tillsyn/A 61654-2023 tillsynsbegäran.docx", "A 61654-2023")</f>
        <v/>
      </c>
      <c r="Y67">
        <f>HYPERLINK("https://klasma.github.io/Logging_1780/tillsynsmail/A 61654-2023 tillsynsbegäran mail.docx", "A 61654-2023")</f>
        <v/>
      </c>
    </row>
    <row r="68" ht="15" customHeight="1">
      <c r="A68" t="inlineStr">
        <is>
          <t>A 8674-2024</t>
        </is>
      </c>
      <c r="B68" s="1" t="n">
        <v>45354</v>
      </c>
      <c r="C68" s="1" t="n">
        <v>45790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HYPERLINK("https://klasma.github.io/Logging_1780/artfynd/A 8674-2024 artfynd.xlsx", "A 8674-2024")</f>
        <v/>
      </c>
      <c r="T68">
        <f>HYPERLINK("https://klasma.github.io/Logging_1780/kartor/A 8674-2024 karta.png", "A 8674-2024")</f>
        <v/>
      </c>
      <c r="V68">
        <f>HYPERLINK("https://klasma.github.io/Logging_1780/klagomål/A 8674-2024 FSC-klagomål.docx", "A 8674-2024")</f>
        <v/>
      </c>
      <c r="W68">
        <f>HYPERLINK("https://klasma.github.io/Logging_1780/klagomålsmail/A 8674-2024 FSC-klagomål mail.docx", "A 8674-2024")</f>
        <v/>
      </c>
      <c r="X68">
        <f>HYPERLINK("https://klasma.github.io/Logging_1780/tillsyn/A 8674-2024 tillsynsbegäran.docx", "A 8674-2024")</f>
        <v/>
      </c>
      <c r="Y68">
        <f>HYPERLINK("https://klasma.github.io/Logging_1780/tillsynsmail/A 8674-2024 tillsynsbegäran mail.docx", "A 8674-2024")</f>
        <v/>
      </c>
    </row>
    <row r="69" ht="15" customHeight="1">
      <c r="A69" t="inlineStr">
        <is>
          <t>A 23338-2024</t>
        </is>
      </c>
      <c r="B69" s="1" t="n">
        <v>45453</v>
      </c>
      <c r="C69" s="1" t="n">
        <v>45790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23338-2024 artfynd.xlsx", "A 23338-2024")</f>
        <v/>
      </c>
      <c r="T69">
        <f>HYPERLINK("https://klasma.github.io/Logging_1780/kartor/A 23338-2024 karta.png", "A 23338-2024")</f>
        <v/>
      </c>
      <c r="V69">
        <f>HYPERLINK("https://klasma.github.io/Logging_1780/klagomål/A 23338-2024 FSC-klagomål.docx", "A 23338-2024")</f>
        <v/>
      </c>
      <c r="W69">
        <f>HYPERLINK("https://klasma.github.io/Logging_1780/klagomålsmail/A 23338-2024 FSC-klagomål mail.docx", "A 23338-2024")</f>
        <v/>
      </c>
      <c r="X69">
        <f>HYPERLINK("https://klasma.github.io/Logging_1780/tillsyn/A 23338-2024 tillsynsbegäran.docx", "A 23338-2024")</f>
        <v/>
      </c>
      <c r="Y69">
        <f>HYPERLINK("https://klasma.github.io/Logging_1780/tillsynsmail/A 23338-2024 tillsynsbegäran mail.docx", "A 23338-2024")</f>
        <v/>
      </c>
    </row>
    <row r="70" ht="15" customHeight="1">
      <c r="A70" t="inlineStr">
        <is>
          <t>A 46668-2024</t>
        </is>
      </c>
      <c r="B70" s="1" t="n">
        <v>45583</v>
      </c>
      <c r="C70" s="1" t="n">
        <v>45790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HYPERLINK("https://klasma.github.io/Logging_1780/artfynd/A 46668-2024 artfynd.xlsx", "A 46668-2024")</f>
        <v/>
      </c>
      <c r="T70">
        <f>HYPERLINK("https://klasma.github.io/Logging_1780/kartor/A 46668-2024 karta.png", "A 46668-2024")</f>
        <v/>
      </c>
      <c r="V70">
        <f>HYPERLINK("https://klasma.github.io/Logging_1780/klagomål/A 46668-2024 FSC-klagomål.docx", "A 46668-2024")</f>
        <v/>
      </c>
      <c r="W70">
        <f>HYPERLINK("https://klasma.github.io/Logging_1780/klagomålsmail/A 46668-2024 FSC-klagomål mail.docx", "A 46668-2024")</f>
        <v/>
      </c>
      <c r="X70">
        <f>HYPERLINK("https://klasma.github.io/Logging_1780/tillsyn/A 46668-2024 tillsynsbegäran.docx", "A 46668-2024")</f>
        <v/>
      </c>
      <c r="Y70">
        <f>HYPERLINK("https://klasma.github.io/Logging_1780/tillsynsmail/A 46668-2024 tillsynsbegäran mail.docx", "A 46668-2024")</f>
        <v/>
      </c>
    </row>
    <row r="71" ht="15" customHeight="1">
      <c r="A71" t="inlineStr">
        <is>
          <t>A 57145-2024</t>
        </is>
      </c>
      <c r="B71" s="1" t="n">
        <v>45629</v>
      </c>
      <c r="C71" s="1" t="n">
        <v>45790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Bårdlav</t>
        </is>
      </c>
      <c r="S71">
        <f>HYPERLINK("https://klasma.github.io/Logging_1780/artfynd/A 57145-2024 artfynd.xlsx", "A 57145-2024")</f>
        <v/>
      </c>
      <c r="T71">
        <f>HYPERLINK("https://klasma.github.io/Logging_1780/kartor/A 57145-2024 karta.png", "A 57145-2024")</f>
        <v/>
      </c>
      <c r="V71">
        <f>HYPERLINK("https://klasma.github.io/Logging_1780/klagomål/A 57145-2024 FSC-klagomål.docx", "A 57145-2024")</f>
        <v/>
      </c>
      <c r="W71">
        <f>HYPERLINK("https://klasma.github.io/Logging_1780/klagomålsmail/A 57145-2024 FSC-klagomål mail.docx", "A 57145-2024")</f>
        <v/>
      </c>
      <c r="X71">
        <f>HYPERLINK("https://klasma.github.io/Logging_1780/tillsyn/A 57145-2024 tillsynsbegäran.docx", "A 57145-2024")</f>
        <v/>
      </c>
      <c r="Y71">
        <f>HYPERLINK("https://klasma.github.io/Logging_1780/tillsynsmail/A 57145-2024 tillsynsbegäran mail.docx", "A 57145-2024")</f>
        <v/>
      </c>
    </row>
    <row r="72" ht="15" customHeight="1">
      <c r="A72" t="inlineStr">
        <is>
          <t>A 57349-2024</t>
        </is>
      </c>
      <c r="B72" s="1" t="n">
        <v>45629</v>
      </c>
      <c r="C72" s="1" t="n">
        <v>45790</v>
      </c>
      <c r="D72" t="inlineStr">
        <is>
          <t>VÄRMLANDS LÄN</t>
        </is>
      </c>
      <c r="E72" t="inlineStr">
        <is>
          <t>KARLSTAD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HYPERLINK("https://klasma.github.io/Logging_1780/artfynd/A 57349-2024 artfynd.xlsx", "A 57349-2024")</f>
        <v/>
      </c>
      <c r="T72">
        <f>HYPERLINK("https://klasma.github.io/Logging_1780/kartor/A 57349-2024 karta.png", "A 57349-2024")</f>
        <v/>
      </c>
      <c r="V72">
        <f>HYPERLINK("https://klasma.github.io/Logging_1780/klagomål/A 57349-2024 FSC-klagomål.docx", "A 57349-2024")</f>
        <v/>
      </c>
      <c r="W72">
        <f>HYPERLINK("https://klasma.github.io/Logging_1780/klagomålsmail/A 57349-2024 FSC-klagomål mail.docx", "A 57349-2024")</f>
        <v/>
      </c>
      <c r="X72">
        <f>HYPERLINK("https://klasma.github.io/Logging_1780/tillsyn/A 57349-2024 tillsynsbegäran.docx", "A 57349-2024")</f>
        <v/>
      </c>
      <c r="Y72">
        <f>HYPERLINK("https://klasma.github.io/Logging_1780/tillsynsmail/A 57349-2024 tillsynsbegäran mail.docx", "A 57349-2024")</f>
        <v/>
      </c>
    </row>
    <row r="73" ht="15" customHeight="1">
      <c r="A73" t="inlineStr">
        <is>
          <t>A 60280-2024</t>
        </is>
      </c>
      <c r="B73" s="1" t="n">
        <v>45642</v>
      </c>
      <c r="C73" s="1" t="n">
        <v>45790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Grönfink</t>
        </is>
      </c>
      <c r="S73">
        <f>HYPERLINK("https://klasma.github.io/Logging_1780/artfynd/A 60280-2024 artfynd.xlsx", "A 60280-2024")</f>
        <v/>
      </c>
      <c r="T73">
        <f>HYPERLINK("https://klasma.github.io/Logging_1780/kartor/A 60280-2024 karta.png", "A 60280-2024")</f>
        <v/>
      </c>
      <c r="V73">
        <f>HYPERLINK("https://klasma.github.io/Logging_1780/klagomål/A 60280-2024 FSC-klagomål.docx", "A 60280-2024")</f>
        <v/>
      </c>
      <c r="W73">
        <f>HYPERLINK("https://klasma.github.io/Logging_1780/klagomålsmail/A 60280-2024 FSC-klagomål mail.docx", "A 60280-2024")</f>
        <v/>
      </c>
      <c r="X73">
        <f>HYPERLINK("https://klasma.github.io/Logging_1780/tillsyn/A 60280-2024 tillsynsbegäran.docx", "A 60280-2024")</f>
        <v/>
      </c>
      <c r="Y73">
        <f>HYPERLINK("https://klasma.github.io/Logging_1780/tillsynsmail/A 60280-2024 tillsynsbegäran mail.docx", "A 60280-2024")</f>
        <v/>
      </c>
      <c r="Z73">
        <f>HYPERLINK("https://klasma.github.io/Logging_1780/fåglar/A 60280-2024 prioriterade fågelarter.docx", "A 60280-2024")</f>
        <v/>
      </c>
    </row>
    <row r="74" ht="15" customHeight="1">
      <c r="A74" t="inlineStr">
        <is>
          <t>A 5055-2025</t>
        </is>
      </c>
      <c r="B74" s="1" t="n">
        <v>45691</v>
      </c>
      <c r="C74" s="1" t="n">
        <v>45790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HYPERLINK("https://klasma.github.io/Logging_1780/artfynd/A 5055-2025 artfynd.xlsx", "A 5055-2025")</f>
        <v/>
      </c>
      <c r="T74">
        <f>HYPERLINK("https://klasma.github.io/Logging_1780/kartor/A 5055-2025 karta.png", "A 5055-2025")</f>
        <v/>
      </c>
      <c r="U74">
        <f>HYPERLINK("https://klasma.github.io/Logging_1780/knärot/A 5055-2025 karta knärot.png", "A 5055-2025")</f>
        <v/>
      </c>
      <c r="V74">
        <f>HYPERLINK("https://klasma.github.io/Logging_1780/klagomål/A 5055-2025 FSC-klagomål.docx", "A 5055-2025")</f>
        <v/>
      </c>
      <c r="W74">
        <f>HYPERLINK("https://klasma.github.io/Logging_1780/klagomålsmail/A 5055-2025 FSC-klagomål mail.docx", "A 5055-2025")</f>
        <v/>
      </c>
      <c r="X74">
        <f>HYPERLINK("https://klasma.github.io/Logging_1780/tillsyn/A 5055-2025 tillsynsbegäran.docx", "A 5055-2025")</f>
        <v/>
      </c>
      <c r="Y74">
        <f>HYPERLINK("https://klasma.github.io/Logging_1780/tillsynsmail/A 5055-2025 tillsynsbegäran mail.docx", "A 5055-2025")</f>
        <v/>
      </c>
    </row>
    <row r="75" ht="15" customHeight="1">
      <c r="A75" t="inlineStr">
        <is>
          <t>A 18033-2019</t>
        </is>
      </c>
      <c r="B75" s="1" t="n">
        <v>43556</v>
      </c>
      <c r="C75" s="1" t="n">
        <v>45790</v>
      </c>
      <c r="D75" t="inlineStr">
        <is>
          <t>VÄRMLANDS LÄN</t>
        </is>
      </c>
      <c r="E75" t="inlineStr">
        <is>
          <t>KARLSTAD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18104-2019</t>
        </is>
      </c>
      <c r="B76" s="1" t="n">
        <v>43556</v>
      </c>
      <c r="C76" s="1" t="n">
        <v>45790</v>
      </c>
      <c r="D76" t="inlineStr">
        <is>
          <t>VÄRMLANDS LÄN</t>
        </is>
      </c>
      <c r="E76" t="inlineStr">
        <is>
          <t>KARLSTAD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17923-2019</t>
        </is>
      </c>
      <c r="B77" s="1" t="n">
        <v>43557</v>
      </c>
      <c r="C77" s="1" t="n">
        <v>45790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18257-2019</t>
        </is>
      </c>
      <c r="B78" s="1" t="n">
        <v>43557</v>
      </c>
      <c r="C78" s="1" t="n">
        <v>45790</v>
      </c>
      <c r="D78" t="inlineStr">
        <is>
          <t>VÄRMLANDS LÄN</t>
        </is>
      </c>
      <c r="E78" t="inlineStr">
        <is>
          <t>KARLSTAD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18120-2019</t>
        </is>
      </c>
      <c r="B79" s="1" t="n">
        <v>43558</v>
      </c>
      <c r="C79" s="1" t="n">
        <v>45790</v>
      </c>
      <c r="D79" t="inlineStr">
        <is>
          <t>VÄRMLANDS LÄN</t>
        </is>
      </c>
      <c r="E79" t="inlineStr">
        <is>
          <t>KARLSTAD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18126-2019</t>
        </is>
      </c>
      <c r="B80" s="1" t="n">
        <v>43558</v>
      </c>
      <c r="C80" s="1" t="n">
        <v>45790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18285-2019</t>
        </is>
      </c>
      <c r="B81" s="1" t="n">
        <v>43558</v>
      </c>
      <c r="C81" s="1" t="n">
        <v>45790</v>
      </c>
      <c r="D81" t="inlineStr">
        <is>
          <t>VÄRMLANDS LÄN</t>
        </is>
      </c>
      <c r="E81" t="inlineStr">
        <is>
          <t>KARLSTAD</t>
        </is>
      </c>
      <c r="F81" t="inlineStr">
        <is>
          <t>Övriga statliga verk och myndigheter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18525-2019</t>
        </is>
      </c>
      <c r="B82" s="1" t="n">
        <v>43559</v>
      </c>
      <c r="C82" s="1" t="n">
        <v>45790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18938-2019</t>
        </is>
      </c>
      <c r="B83" s="1" t="n">
        <v>43563</v>
      </c>
      <c r="C83" s="1" t="n">
        <v>45790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19120-2019</t>
        </is>
      </c>
      <c r="B84" s="1" t="n">
        <v>43564</v>
      </c>
      <c r="C84" s="1" t="n">
        <v>45790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19226-2019</t>
        </is>
      </c>
      <c r="B85" s="1" t="n">
        <v>43564</v>
      </c>
      <c r="C85" s="1" t="n">
        <v>45790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19133-2019</t>
        </is>
      </c>
      <c r="B86" s="1" t="n">
        <v>43564</v>
      </c>
      <c r="C86" s="1" t="n">
        <v>45790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20301-2019</t>
        </is>
      </c>
      <c r="B87" s="1" t="n">
        <v>43570</v>
      </c>
      <c r="C87" s="1" t="n">
        <v>45790</v>
      </c>
      <c r="D87" t="inlineStr">
        <is>
          <t>VÄRMLANDS LÄN</t>
        </is>
      </c>
      <c r="E87" t="inlineStr">
        <is>
          <t>KARLSTAD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20339-2019</t>
        </is>
      </c>
      <c r="B88" s="1" t="n">
        <v>43570</v>
      </c>
      <c r="C88" s="1" t="n">
        <v>45790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20461-2019</t>
        </is>
      </c>
      <c r="B89" s="1" t="n">
        <v>43572</v>
      </c>
      <c r="C89" s="1" t="n">
        <v>45790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20610-2019</t>
        </is>
      </c>
      <c r="B90" s="1" t="n">
        <v>43572</v>
      </c>
      <c r="C90" s="1" t="n">
        <v>45790</v>
      </c>
      <c r="D90" t="inlineStr">
        <is>
          <t>VÄRMLANDS LÄN</t>
        </is>
      </c>
      <c r="E90" t="inlineStr">
        <is>
          <t>KARLSTAD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20785-2019</t>
        </is>
      </c>
      <c r="B91" s="1" t="n">
        <v>43573</v>
      </c>
      <c r="C91" s="1" t="n">
        <v>45790</v>
      </c>
      <c r="D91" t="inlineStr">
        <is>
          <t>VÄRMLANDS LÄN</t>
        </is>
      </c>
      <c r="E91" t="inlineStr">
        <is>
          <t>KARLSTAD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20852-2019</t>
        </is>
      </c>
      <c r="B92" s="1" t="n">
        <v>43577</v>
      </c>
      <c r="C92" s="1" t="n">
        <v>45790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21350-2019</t>
        </is>
      </c>
      <c r="B93" s="1" t="n">
        <v>43579</v>
      </c>
      <c r="C93" s="1" t="n">
        <v>45790</v>
      </c>
      <c r="D93" t="inlineStr">
        <is>
          <t>VÄRMLANDS LÄN</t>
        </is>
      </c>
      <c r="E93" t="inlineStr">
        <is>
          <t>KARLSTAD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21573-2019</t>
        </is>
      </c>
      <c r="B94" s="1" t="n">
        <v>43580</v>
      </c>
      <c r="C94" s="1" t="n">
        <v>45790</v>
      </c>
      <c r="D94" t="inlineStr">
        <is>
          <t>VÄRMLANDS LÄN</t>
        </is>
      </c>
      <c r="E94" t="inlineStr">
        <is>
          <t>KARLSTAD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21899-2019</t>
        </is>
      </c>
      <c r="B95" s="1" t="n">
        <v>43584</v>
      </c>
      <c r="C95" s="1" t="n">
        <v>45790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22386-2019</t>
        </is>
      </c>
      <c r="B96" s="1" t="n">
        <v>43587</v>
      </c>
      <c r="C96" s="1" t="n">
        <v>45790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22700-2019</t>
        </is>
      </c>
      <c r="B97" s="1" t="n">
        <v>43588</v>
      </c>
      <c r="C97" s="1" t="n">
        <v>45790</v>
      </c>
      <c r="D97" t="inlineStr">
        <is>
          <t>VÄRMLANDS LÄN</t>
        </is>
      </c>
      <c r="E97" t="inlineStr">
        <is>
          <t>KARLSTAD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23045-2019</t>
        </is>
      </c>
      <c r="B98" s="1" t="n">
        <v>43591</v>
      </c>
      <c r="C98" s="1" t="n">
        <v>45790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22841-2019</t>
        </is>
      </c>
      <c r="B99" s="1" t="n">
        <v>43591</v>
      </c>
      <c r="C99" s="1" t="n">
        <v>45790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23900-2019</t>
        </is>
      </c>
      <c r="B100" s="1" t="n">
        <v>43595</v>
      </c>
      <c r="C100" s="1" t="n">
        <v>45790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24002-2019</t>
        </is>
      </c>
      <c r="B101" s="1" t="n">
        <v>43598</v>
      </c>
      <c r="C101" s="1" t="n">
        <v>45790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24028-2019</t>
        </is>
      </c>
      <c r="B102" s="1" t="n">
        <v>43598</v>
      </c>
      <c r="C102" s="1" t="n">
        <v>45790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24348-2019</t>
        </is>
      </c>
      <c r="B103" s="1" t="n">
        <v>43599</v>
      </c>
      <c r="C103" s="1" t="n">
        <v>45790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24400-2019</t>
        </is>
      </c>
      <c r="B104" s="1" t="n">
        <v>43600</v>
      </c>
      <c r="C104" s="1" t="n">
        <v>45790</v>
      </c>
      <c r="D104" t="inlineStr">
        <is>
          <t>VÄRMLANDS LÄN</t>
        </is>
      </c>
      <c r="E104" t="inlineStr">
        <is>
          <t>KARLSTAD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24401-2019</t>
        </is>
      </c>
      <c r="B105" s="1" t="n">
        <v>43600</v>
      </c>
      <c r="C105" s="1" t="n">
        <v>45790</v>
      </c>
      <c r="D105" t="inlineStr">
        <is>
          <t>VÄRMLANDS LÄN</t>
        </is>
      </c>
      <c r="E105" t="inlineStr">
        <is>
          <t>KARLSTAD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24624-2019</t>
        </is>
      </c>
      <c r="B106" s="1" t="n">
        <v>43601</v>
      </c>
      <c r="C106" s="1" t="n">
        <v>45790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25045-2019</t>
        </is>
      </c>
      <c r="B107" s="1" t="n">
        <v>43604</v>
      </c>
      <c r="C107" s="1" t="n">
        <v>45790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25310-2019</t>
        </is>
      </c>
      <c r="B108" s="1" t="n">
        <v>43606</v>
      </c>
      <c r="C108" s="1" t="n">
        <v>45790</v>
      </c>
      <c r="D108" t="inlineStr">
        <is>
          <t>VÄRMLANDS LÄN</t>
        </is>
      </c>
      <c r="E108" t="inlineStr">
        <is>
          <t>KARLSTAD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25311-2019</t>
        </is>
      </c>
      <c r="B109" s="1" t="n">
        <v>43606</v>
      </c>
      <c r="C109" s="1" t="n">
        <v>45790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25648-2019</t>
        </is>
      </c>
      <c r="B110" s="1" t="n">
        <v>43607</v>
      </c>
      <c r="C110" s="1" t="n">
        <v>45790</v>
      </c>
      <c r="D110" t="inlineStr">
        <is>
          <t>VÄRMLANDS LÄN</t>
        </is>
      </c>
      <c r="E110" t="inlineStr">
        <is>
          <t>KARLSTAD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25638-2019</t>
        </is>
      </c>
      <c r="B111" s="1" t="n">
        <v>43607</v>
      </c>
      <c r="C111" s="1" t="n">
        <v>45790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26844-2019</t>
        </is>
      </c>
      <c r="B112" s="1" t="n">
        <v>43608</v>
      </c>
      <c r="C112" s="1" t="n">
        <v>45790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27375-2019</t>
        </is>
      </c>
      <c r="B113" s="1" t="n">
        <v>43616</v>
      </c>
      <c r="C113" s="1" t="n">
        <v>45790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29097-2019</t>
        </is>
      </c>
      <c r="B114" s="1" t="n">
        <v>43628</v>
      </c>
      <c r="C114" s="1" t="n">
        <v>45790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30641-2019</t>
        </is>
      </c>
      <c r="B115" s="1" t="n">
        <v>43636</v>
      </c>
      <c r="C115" s="1" t="n">
        <v>45790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30975-2019</t>
        </is>
      </c>
      <c r="B116" s="1" t="n">
        <v>43639</v>
      </c>
      <c r="C116" s="1" t="n">
        <v>45790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31142-2019</t>
        </is>
      </c>
      <c r="B117" s="1" t="n">
        <v>43640</v>
      </c>
      <c r="C117" s="1" t="n">
        <v>45790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31631-2019</t>
        </is>
      </c>
      <c r="B118" s="1" t="n">
        <v>43642</v>
      </c>
      <c r="C118" s="1" t="n">
        <v>45790</v>
      </c>
      <c r="D118" t="inlineStr">
        <is>
          <t>VÄRMLANDS LÄN</t>
        </is>
      </c>
      <c r="E118" t="inlineStr">
        <is>
          <t>KARLSTAD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32406-2019</t>
        </is>
      </c>
      <c r="B119" s="1" t="n">
        <v>43644</v>
      </c>
      <c r="C119" s="1" t="n">
        <v>45790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32900-2019</t>
        </is>
      </c>
      <c r="B120" s="1" t="n">
        <v>43648</v>
      </c>
      <c r="C120" s="1" t="n">
        <v>45790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34750-2019</t>
        </is>
      </c>
      <c r="B121" s="1" t="n">
        <v>43648</v>
      </c>
      <c r="C121" s="1" t="n">
        <v>45790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35245-2019</t>
        </is>
      </c>
      <c r="B122" s="1" t="n">
        <v>43651</v>
      </c>
      <c r="C122" s="1" t="n">
        <v>45790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36579-2019</t>
        </is>
      </c>
      <c r="B123" s="1" t="n">
        <v>43671</v>
      </c>
      <c r="C123" s="1" t="n">
        <v>45790</v>
      </c>
      <c r="D123" t="inlineStr">
        <is>
          <t>VÄRMLANDS LÄN</t>
        </is>
      </c>
      <c r="E123" t="inlineStr">
        <is>
          <t>KARLSTAD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38594-2019</t>
        </is>
      </c>
      <c r="B124" s="1" t="n">
        <v>43684</v>
      </c>
      <c r="C124" s="1" t="n">
        <v>45790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40698-2019</t>
        </is>
      </c>
      <c r="B125" s="1" t="n">
        <v>43684</v>
      </c>
      <c r="C125" s="1" t="n">
        <v>45790</v>
      </c>
      <c r="D125" t="inlineStr">
        <is>
          <t>VÄRMLANDS LÄN</t>
        </is>
      </c>
      <c r="E125" t="inlineStr">
        <is>
          <t>KARLSTAD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41484-2019</t>
        </is>
      </c>
      <c r="B126" s="1" t="n">
        <v>43696</v>
      </c>
      <c r="C126" s="1" t="n">
        <v>45790</v>
      </c>
      <c r="D126" t="inlineStr">
        <is>
          <t>VÄRMLANDS LÄN</t>
        </is>
      </c>
      <c r="E126" t="inlineStr">
        <is>
          <t>KARLSTAD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41383-2019</t>
        </is>
      </c>
      <c r="B127" s="1" t="n">
        <v>43696</v>
      </c>
      <c r="C127" s="1" t="n">
        <v>45790</v>
      </c>
      <c r="D127" t="inlineStr">
        <is>
          <t>VÄRMLANDS LÄN</t>
        </is>
      </c>
      <c r="E127" t="inlineStr">
        <is>
          <t>KARLSTAD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44009-2019</t>
        </is>
      </c>
      <c r="B128" s="1" t="n">
        <v>43709</v>
      </c>
      <c r="C128" s="1" t="n">
        <v>45790</v>
      </c>
      <c r="D128" t="inlineStr">
        <is>
          <t>VÄRMLANDS LÄN</t>
        </is>
      </c>
      <c r="E128" t="inlineStr">
        <is>
          <t>KARLSTAD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44068-2019</t>
        </is>
      </c>
      <c r="B129" s="1" t="n">
        <v>43710</v>
      </c>
      <c r="C129" s="1" t="n">
        <v>45790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45352-2019</t>
        </is>
      </c>
      <c r="B130" s="1" t="n">
        <v>43714</v>
      </c>
      <c r="C130" s="1" t="n">
        <v>45790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45365-2019</t>
        </is>
      </c>
      <c r="B131" s="1" t="n">
        <v>43714</v>
      </c>
      <c r="C131" s="1" t="n">
        <v>45790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45370-2019</t>
        </is>
      </c>
      <c r="B132" s="1" t="n">
        <v>43714</v>
      </c>
      <c r="C132" s="1" t="n">
        <v>45790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45353-2019</t>
        </is>
      </c>
      <c r="B133" s="1" t="n">
        <v>43714</v>
      </c>
      <c r="C133" s="1" t="n">
        <v>45790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46389-2019</t>
        </is>
      </c>
      <c r="B134" s="1" t="n">
        <v>43714</v>
      </c>
      <c r="C134" s="1" t="n">
        <v>45790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46016-2019</t>
        </is>
      </c>
      <c r="B135" s="1" t="n">
        <v>43718</v>
      </c>
      <c r="C135" s="1" t="n">
        <v>45790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46536-2019</t>
        </is>
      </c>
      <c r="B136" s="1" t="n">
        <v>43719</v>
      </c>
      <c r="C136" s="1" t="n">
        <v>45790</v>
      </c>
      <c r="D136" t="inlineStr">
        <is>
          <t>VÄRMLANDS LÄN</t>
        </is>
      </c>
      <c r="E136" t="inlineStr">
        <is>
          <t>KARLSTAD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47188-2019</t>
        </is>
      </c>
      <c r="B137" s="1" t="n">
        <v>43721</v>
      </c>
      <c r="C137" s="1" t="n">
        <v>45790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47700-2019</t>
        </is>
      </c>
      <c r="B138" s="1" t="n">
        <v>43724</v>
      </c>
      <c r="C138" s="1" t="n">
        <v>45790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51551-2019</t>
        </is>
      </c>
      <c r="B139" s="1" t="n">
        <v>43733</v>
      </c>
      <c r="C139" s="1" t="n">
        <v>45790</v>
      </c>
      <c r="D139" t="inlineStr">
        <is>
          <t>VÄRMLANDS LÄN</t>
        </is>
      </c>
      <c r="E139" t="inlineStr">
        <is>
          <t>KARLSTAD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51761-2019</t>
        </is>
      </c>
      <c r="B140" s="1" t="n">
        <v>43741</v>
      </c>
      <c r="C140" s="1" t="n">
        <v>45790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52392-2019</t>
        </is>
      </c>
      <c r="B141" s="1" t="n">
        <v>43745</v>
      </c>
      <c r="C141" s="1" t="n">
        <v>45790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53041-2019</t>
        </is>
      </c>
      <c r="B142" s="1" t="n">
        <v>43747</v>
      </c>
      <c r="C142" s="1" t="n">
        <v>45790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54442-2019</t>
        </is>
      </c>
      <c r="B143" s="1" t="n">
        <v>43747</v>
      </c>
      <c r="C143" s="1" t="n">
        <v>45790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54438-2019</t>
        </is>
      </c>
      <c r="B144" s="1" t="n">
        <v>43747</v>
      </c>
      <c r="C144" s="1" t="n">
        <v>45790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53451-2019</t>
        </is>
      </c>
      <c r="B145" s="1" t="n">
        <v>43748</v>
      </c>
      <c r="C145" s="1" t="n">
        <v>45790</v>
      </c>
      <c r="D145" t="inlineStr">
        <is>
          <t>VÄRMLANDS LÄN</t>
        </is>
      </c>
      <c r="E145" t="inlineStr">
        <is>
          <t>KARLSTAD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54890-2019</t>
        </is>
      </c>
      <c r="B146" s="1" t="n">
        <v>43749</v>
      </c>
      <c r="C146" s="1" t="n">
        <v>45790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55371-2019</t>
        </is>
      </c>
      <c r="B147" s="1" t="n">
        <v>43754</v>
      </c>
      <c r="C147" s="1" t="n">
        <v>45790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54904-2019</t>
        </is>
      </c>
      <c r="B148" s="1" t="n">
        <v>43755</v>
      </c>
      <c r="C148" s="1" t="n">
        <v>45790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55367-2019</t>
        </is>
      </c>
      <c r="B149" s="1" t="n">
        <v>43756</v>
      </c>
      <c r="C149" s="1" t="n">
        <v>45790</v>
      </c>
      <c r="D149" t="inlineStr">
        <is>
          <t>VÄRMLANDS LÄN</t>
        </is>
      </c>
      <c r="E149" t="inlineStr">
        <is>
          <t>KARLSTAD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55561-2019</t>
        </is>
      </c>
      <c r="B150" s="1" t="n">
        <v>43759</v>
      </c>
      <c r="C150" s="1" t="n">
        <v>45790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56863-2019</t>
        </is>
      </c>
      <c r="B151" s="1" t="n">
        <v>43759</v>
      </c>
      <c r="C151" s="1" t="n">
        <v>45790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55846-2019</t>
        </is>
      </c>
      <c r="B152" s="1" t="n">
        <v>43759</v>
      </c>
      <c r="C152" s="1" t="n">
        <v>45790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55574-2019</t>
        </is>
      </c>
      <c r="B153" s="1" t="n">
        <v>43760</v>
      </c>
      <c r="C153" s="1" t="n">
        <v>45790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55575-2019</t>
        </is>
      </c>
      <c r="B154" s="1" t="n">
        <v>43760</v>
      </c>
      <c r="C154" s="1" t="n">
        <v>45790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57331-2019</t>
        </is>
      </c>
      <c r="B155" s="1" t="n">
        <v>43767</v>
      </c>
      <c r="C155" s="1" t="n">
        <v>45790</v>
      </c>
      <c r="D155" t="inlineStr">
        <is>
          <t>VÄRMLANDS LÄN</t>
        </is>
      </c>
      <c r="E155" t="inlineStr">
        <is>
          <t>KARLSTAD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60145-2019</t>
        </is>
      </c>
      <c r="B156" s="1" t="n">
        <v>43779</v>
      </c>
      <c r="C156" s="1" t="n">
        <v>45790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63890-2019</t>
        </is>
      </c>
      <c r="B157" s="1" t="n">
        <v>43790</v>
      </c>
      <c r="C157" s="1" t="n">
        <v>45790</v>
      </c>
      <c r="D157" t="inlineStr">
        <is>
          <t>VÄRMLANDS LÄN</t>
        </is>
      </c>
      <c r="E157" t="inlineStr">
        <is>
          <t>KARLSTAD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63253-2019</t>
        </is>
      </c>
      <c r="B158" s="1" t="n">
        <v>43793</v>
      </c>
      <c r="C158" s="1" t="n">
        <v>45790</v>
      </c>
      <c r="D158" t="inlineStr">
        <is>
          <t>VÄRMLANDS LÄN</t>
        </is>
      </c>
      <c r="E158" t="inlineStr">
        <is>
          <t>KARLSTAD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63254-2019</t>
        </is>
      </c>
      <c r="B159" s="1" t="n">
        <v>43793</v>
      </c>
      <c r="C159" s="1" t="n">
        <v>45790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64207-2019</t>
        </is>
      </c>
      <c r="B160" s="1" t="n">
        <v>43797</v>
      </c>
      <c r="C160" s="1" t="n">
        <v>45790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64796-2019</t>
        </is>
      </c>
      <c r="B161" s="1" t="n">
        <v>43801</v>
      </c>
      <c r="C161" s="1" t="n">
        <v>45790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67642-2019</t>
        </is>
      </c>
      <c r="B162" s="1" t="n">
        <v>43809</v>
      </c>
      <c r="C162" s="1" t="n">
        <v>45790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66946-2019</t>
        </is>
      </c>
      <c r="B163" s="1" t="n">
        <v>43810</v>
      </c>
      <c r="C163" s="1" t="n">
        <v>45790</v>
      </c>
      <c r="D163" t="inlineStr">
        <is>
          <t>VÄRMLANDS LÄN</t>
        </is>
      </c>
      <c r="E163" t="inlineStr">
        <is>
          <t>KARLSTAD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67258-2019</t>
        </is>
      </c>
      <c r="B164" s="1" t="n">
        <v>43812</v>
      </c>
      <c r="C164" s="1" t="n">
        <v>45790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68960-2019</t>
        </is>
      </c>
      <c r="B165" s="1" t="n">
        <v>43815</v>
      </c>
      <c r="C165" s="1" t="n">
        <v>45790</v>
      </c>
      <c r="D165" t="inlineStr">
        <is>
          <t>VÄRMLANDS LÄN</t>
        </is>
      </c>
      <c r="E165" t="inlineStr">
        <is>
          <t>KARLSTAD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717-2020</t>
        </is>
      </c>
      <c r="B166" s="1" t="n">
        <v>43818</v>
      </c>
      <c r="C166" s="1" t="n">
        <v>45790</v>
      </c>
      <c r="D166" t="inlineStr">
        <is>
          <t>VÄRMLANDS LÄN</t>
        </is>
      </c>
      <c r="E166" t="inlineStr">
        <is>
          <t>KARLSTAD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718-2020</t>
        </is>
      </c>
      <c r="B167" s="1" t="n">
        <v>43818</v>
      </c>
      <c r="C167" s="1" t="n">
        <v>45790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746-2020</t>
        </is>
      </c>
      <c r="B168" s="1" t="n">
        <v>43818</v>
      </c>
      <c r="C168" s="1" t="n">
        <v>45790</v>
      </c>
      <c r="D168" t="inlineStr">
        <is>
          <t>VÄRMLANDS LÄN</t>
        </is>
      </c>
      <c r="E168" t="inlineStr">
        <is>
          <t>KARLSTAD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68589-2019</t>
        </is>
      </c>
      <c r="B169" s="1" t="n">
        <v>43818</v>
      </c>
      <c r="C169" s="1" t="n">
        <v>45790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68695-2019</t>
        </is>
      </c>
      <c r="B170" s="1" t="n">
        <v>43819</v>
      </c>
      <c r="C170" s="1" t="n">
        <v>45790</v>
      </c>
      <c r="D170" t="inlineStr">
        <is>
          <t>VÄRMLANDS LÄN</t>
        </is>
      </c>
      <c r="E170" t="inlineStr">
        <is>
          <t>KARLSTAD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955-2020</t>
        </is>
      </c>
      <c r="B171" s="1" t="n">
        <v>43819</v>
      </c>
      <c r="C171" s="1" t="n">
        <v>45790</v>
      </c>
      <c r="D171" t="inlineStr">
        <is>
          <t>VÄRMLANDS LÄN</t>
        </is>
      </c>
      <c r="E171" t="inlineStr">
        <is>
          <t>KARLSTAD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68898-2019</t>
        </is>
      </c>
      <c r="B172" s="1" t="n">
        <v>43821</v>
      </c>
      <c r="C172" s="1" t="n">
        <v>45790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69022-2019</t>
        </is>
      </c>
      <c r="B173" s="1" t="n">
        <v>43826</v>
      </c>
      <c r="C173" s="1" t="n">
        <v>45790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2167-2020</t>
        </is>
      </c>
      <c r="B174" s="1" t="n">
        <v>43832</v>
      </c>
      <c r="C174" s="1" t="n">
        <v>45790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1663-2020</t>
        </is>
      </c>
      <c r="B175" s="1" t="n">
        <v>43832</v>
      </c>
      <c r="C175" s="1" t="n">
        <v>45790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1033-2020</t>
        </is>
      </c>
      <c r="B176" s="1" t="n">
        <v>43839</v>
      </c>
      <c r="C176" s="1" t="n">
        <v>45790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2284-2020</t>
        </is>
      </c>
      <c r="B177" s="1" t="n">
        <v>43846</v>
      </c>
      <c r="C177" s="1" t="n">
        <v>45790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3016-2020</t>
        </is>
      </c>
      <c r="B178" s="1" t="n">
        <v>43851</v>
      </c>
      <c r="C178" s="1" t="n">
        <v>45790</v>
      </c>
      <c r="D178" t="inlineStr">
        <is>
          <t>VÄRMLANDS LÄN</t>
        </is>
      </c>
      <c r="E178" t="inlineStr">
        <is>
          <t>KARLSTAD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6288-2020</t>
        </is>
      </c>
      <c r="B179" s="1" t="n">
        <v>43866</v>
      </c>
      <c r="C179" s="1" t="n">
        <v>45790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6309-2020</t>
        </is>
      </c>
      <c r="B180" s="1" t="n">
        <v>43866</v>
      </c>
      <c r="C180" s="1" t="n">
        <v>45790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7897-2020</t>
        </is>
      </c>
      <c r="B181" s="1" t="n">
        <v>43873</v>
      </c>
      <c r="C181" s="1" t="n">
        <v>45790</v>
      </c>
      <c r="D181" t="inlineStr">
        <is>
          <t>VÄRMLANDS LÄN</t>
        </is>
      </c>
      <c r="E181" t="inlineStr">
        <is>
          <t>KARLSTAD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7954-2020</t>
        </is>
      </c>
      <c r="B182" s="1" t="n">
        <v>43873</v>
      </c>
      <c r="C182" s="1" t="n">
        <v>45790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7981-2020</t>
        </is>
      </c>
      <c r="B183" s="1" t="n">
        <v>43873</v>
      </c>
      <c r="C183" s="1" t="n">
        <v>45790</v>
      </c>
      <c r="D183" t="inlineStr">
        <is>
          <t>VÄRMLANDS LÄN</t>
        </is>
      </c>
      <c r="E183" t="inlineStr">
        <is>
          <t>KARLSTAD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7988-2020</t>
        </is>
      </c>
      <c r="B184" s="1" t="n">
        <v>43873</v>
      </c>
      <c r="C184" s="1" t="n">
        <v>45790</v>
      </c>
      <c r="D184" t="inlineStr">
        <is>
          <t>VÄRMLANDS LÄN</t>
        </is>
      </c>
      <c r="E184" t="inlineStr">
        <is>
          <t>KARLSTAD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7991-2020</t>
        </is>
      </c>
      <c r="B185" s="1" t="n">
        <v>43873</v>
      </c>
      <c r="C185" s="1" t="n">
        <v>45790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7985-2020</t>
        </is>
      </c>
      <c r="B186" s="1" t="n">
        <v>43873</v>
      </c>
      <c r="C186" s="1" t="n">
        <v>45790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8097-2020</t>
        </is>
      </c>
      <c r="B187" s="1" t="n">
        <v>43874</v>
      </c>
      <c r="C187" s="1" t="n">
        <v>45790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8551-2020</t>
        </is>
      </c>
      <c r="B188" s="1" t="n">
        <v>43877</v>
      </c>
      <c r="C188" s="1" t="n">
        <v>45790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9146-2020</t>
        </is>
      </c>
      <c r="B189" s="1" t="n">
        <v>43879</v>
      </c>
      <c r="C189" s="1" t="n">
        <v>45790</v>
      </c>
      <c r="D189" t="inlineStr">
        <is>
          <t>VÄRMLANDS LÄN</t>
        </is>
      </c>
      <c r="E189" t="inlineStr">
        <is>
          <t>KARLSTAD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9702-2020</t>
        </is>
      </c>
      <c r="B190" s="1" t="n">
        <v>43881</v>
      </c>
      <c r="C190" s="1" t="n">
        <v>45790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10912-2020</t>
        </is>
      </c>
      <c r="B191" s="1" t="n">
        <v>43889</v>
      </c>
      <c r="C191" s="1" t="n">
        <v>45790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11031-2020</t>
        </is>
      </c>
      <c r="B192" s="1" t="n">
        <v>43889</v>
      </c>
      <c r="C192" s="1" t="n">
        <v>45790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11033-2020</t>
        </is>
      </c>
      <c r="B193" s="1" t="n">
        <v>43889</v>
      </c>
      <c r="C193" s="1" t="n">
        <v>45790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12822-2020</t>
        </is>
      </c>
      <c r="B194" s="1" t="n">
        <v>43899</v>
      </c>
      <c r="C194" s="1" t="n">
        <v>45790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13318-2020</t>
        </is>
      </c>
      <c r="B195" s="1" t="n">
        <v>43902</v>
      </c>
      <c r="C195" s="1" t="n">
        <v>45790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13819-2020</t>
        </is>
      </c>
      <c r="B196" s="1" t="n">
        <v>43905</v>
      </c>
      <c r="C196" s="1" t="n">
        <v>45790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13818-2020</t>
        </is>
      </c>
      <c r="B197" s="1" t="n">
        <v>43905</v>
      </c>
      <c r="C197" s="1" t="n">
        <v>45790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14933-2020</t>
        </is>
      </c>
      <c r="B198" s="1" t="n">
        <v>43906</v>
      </c>
      <c r="C198" s="1" t="n">
        <v>45790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14593-2020</t>
        </is>
      </c>
      <c r="B199" s="1" t="n">
        <v>43909</v>
      </c>
      <c r="C199" s="1" t="n">
        <v>45790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16457-2020</t>
        </is>
      </c>
      <c r="B200" s="1" t="n">
        <v>43909</v>
      </c>
      <c r="C200" s="1" t="n">
        <v>45790</v>
      </c>
      <c r="D200" t="inlineStr">
        <is>
          <t>VÄRMLANDS LÄN</t>
        </is>
      </c>
      <c r="E200" t="inlineStr">
        <is>
          <t>KARLSTAD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16576-2020</t>
        </is>
      </c>
      <c r="B201" s="1" t="n">
        <v>43909</v>
      </c>
      <c r="C201" s="1" t="n">
        <v>45790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14948-2020</t>
        </is>
      </c>
      <c r="B202" s="1" t="n">
        <v>43910</v>
      </c>
      <c r="C202" s="1" t="n">
        <v>45790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14961-2020</t>
        </is>
      </c>
      <c r="B203" s="1" t="n">
        <v>43910</v>
      </c>
      <c r="C203" s="1" t="n">
        <v>45790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14965-2020</t>
        </is>
      </c>
      <c r="B204" s="1" t="n">
        <v>43910</v>
      </c>
      <c r="C204" s="1" t="n">
        <v>45790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14964-2020</t>
        </is>
      </c>
      <c r="B205" s="1" t="n">
        <v>43910</v>
      </c>
      <c r="C205" s="1" t="n">
        <v>45790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15569-2020</t>
        </is>
      </c>
      <c r="B206" s="1" t="n">
        <v>43914</v>
      </c>
      <c r="C206" s="1" t="n">
        <v>45790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15535-2020</t>
        </is>
      </c>
      <c r="B207" s="1" t="n">
        <v>43914</v>
      </c>
      <c r="C207" s="1" t="n">
        <v>45790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15538-2020</t>
        </is>
      </c>
      <c r="B208" s="1" t="n">
        <v>43914</v>
      </c>
      <c r="C208" s="1" t="n">
        <v>45790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17289-2020</t>
        </is>
      </c>
      <c r="B209" s="1" t="n">
        <v>43915</v>
      </c>
      <c r="C209" s="1" t="n">
        <v>45790</v>
      </c>
      <c r="D209" t="inlineStr">
        <is>
          <t>VÄRMLANDS LÄN</t>
        </is>
      </c>
      <c r="E209" t="inlineStr">
        <is>
          <t>KARLSTAD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16032-2020</t>
        </is>
      </c>
      <c r="B210" s="1" t="n">
        <v>43916</v>
      </c>
      <c r="C210" s="1" t="n">
        <v>45790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16280-2020</t>
        </is>
      </c>
      <c r="B211" s="1" t="n">
        <v>43917</v>
      </c>
      <c r="C211" s="1" t="n">
        <v>45790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17545-2020</t>
        </is>
      </c>
      <c r="B212" s="1" t="n">
        <v>43920</v>
      </c>
      <c r="C212" s="1" t="n">
        <v>45790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17958-2020</t>
        </is>
      </c>
      <c r="B213" s="1" t="n">
        <v>43925</v>
      </c>
      <c r="C213" s="1" t="n">
        <v>45790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18157-2020</t>
        </is>
      </c>
      <c r="B214" s="1" t="n">
        <v>43927</v>
      </c>
      <c r="C214" s="1" t="n">
        <v>45790</v>
      </c>
      <c r="D214" t="inlineStr">
        <is>
          <t>VÄRMLANDS LÄN</t>
        </is>
      </c>
      <c r="E214" t="inlineStr">
        <is>
          <t>KARLSTAD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18229-2020</t>
        </is>
      </c>
      <c r="B215" s="1" t="n">
        <v>43928</v>
      </c>
      <c r="C215" s="1" t="n">
        <v>45790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20945-2020</t>
        </is>
      </c>
      <c r="B216" s="1" t="n">
        <v>43950</v>
      </c>
      <c r="C216" s="1" t="n">
        <v>45790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20959-2020</t>
        </is>
      </c>
      <c r="B217" s="1" t="n">
        <v>43950</v>
      </c>
      <c r="C217" s="1" t="n">
        <v>45790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22200-2020</t>
        </is>
      </c>
      <c r="B218" s="1" t="n">
        <v>43962</v>
      </c>
      <c r="C218" s="1" t="n">
        <v>45790</v>
      </c>
      <c r="D218" t="inlineStr">
        <is>
          <t>VÄRMLANDS LÄN</t>
        </is>
      </c>
      <c r="E218" t="inlineStr">
        <is>
          <t>KARLSTAD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22198-2020</t>
        </is>
      </c>
      <c r="B219" s="1" t="n">
        <v>43962</v>
      </c>
      <c r="C219" s="1" t="n">
        <v>45790</v>
      </c>
      <c r="D219" t="inlineStr">
        <is>
          <t>VÄRMLANDS LÄN</t>
        </is>
      </c>
      <c r="E219" t="inlineStr">
        <is>
          <t>KARLSTAD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22513-2020</t>
        </is>
      </c>
      <c r="B220" s="1" t="n">
        <v>43963</v>
      </c>
      <c r="C220" s="1" t="n">
        <v>45790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23694-2020</t>
        </is>
      </c>
      <c r="B221" s="1" t="n">
        <v>43970</v>
      </c>
      <c r="C221" s="1" t="n">
        <v>45790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23691-2020</t>
        </is>
      </c>
      <c r="B222" s="1" t="n">
        <v>43970</v>
      </c>
      <c r="C222" s="1" t="n">
        <v>45790</v>
      </c>
      <c r="D222" t="inlineStr">
        <is>
          <t>VÄRMLANDS LÄN</t>
        </is>
      </c>
      <c r="E222" t="inlineStr">
        <is>
          <t>KARLSTAD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24676-2020</t>
        </is>
      </c>
      <c r="B223" s="1" t="n">
        <v>43978</v>
      </c>
      <c r="C223" s="1" t="n">
        <v>45790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26113-2020</t>
        </is>
      </c>
      <c r="B224" s="1" t="n">
        <v>43984</v>
      </c>
      <c r="C224" s="1" t="n">
        <v>45790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26786-2020</t>
        </is>
      </c>
      <c r="B225" s="1" t="n">
        <v>43987</v>
      </c>
      <c r="C225" s="1" t="n">
        <v>45790</v>
      </c>
      <c r="D225" t="inlineStr">
        <is>
          <t>VÄRMLANDS LÄN</t>
        </is>
      </c>
      <c r="E225" t="inlineStr">
        <is>
          <t>KARLSTAD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27248-2020</t>
        </is>
      </c>
      <c r="B226" s="1" t="n">
        <v>43991</v>
      </c>
      <c r="C226" s="1" t="n">
        <v>45790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27225-2020</t>
        </is>
      </c>
      <c r="B227" s="1" t="n">
        <v>43992</v>
      </c>
      <c r="C227" s="1" t="n">
        <v>45790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27224-2020</t>
        </is>
      </c>
      <c r="B228" s="1" t="n">
        <v>43992</v>
      </c>
      <c r="C228" s="1" t="n">
        <v>45790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27463-2020</t>
        </is>
      </c>
      <c r="B229" s="1" t="n">
        <v>43993</v>
      </c>
      <c r="C229" s="1" t="n">
        <v>45790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27802-2020</t>
        </is>
      </c>
      <c r="B230" s="1" t="n">
        <v>43994</v>
      </c>
      <c r="C230" s="1" t="n">
        <v>45790</v>
      </c>
      <c r="D230" t="inlineStr">
        <is>
          <t>VÄRMLANDS LÄN</t>
        </is>
      </c>
      <c r="E230" t="inlineStr">
        <is>
          <t>KARLSTAD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27804-2020</t>
        </is>
      </c>
      <c r="B231" s="1" t="n">
        <v>43994</v>
      </c>
      <c r="C231" s="1" t="n">
        <v>45790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29568-2020</t>
        </is>
      </c>
      <c r="B232" s="1" t="n">
        <v>44004</v>
      </c>
      <c r="C232" s="1" t="n">
        <v>45790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29681-2020</t>
        </is>
      </c>
      <c r="B233" s="1" t="n">
        <v>44005</v>
      </c>
      <c r="C233" s="1" t="n">
        <v>45790</v>
      </c>
      <c r="D233" t="inlineStr">
        <is>
          <t>VÄRMLANDS LÄN</t>
        </is>
      </c>
      <c r="E233" t="inlineStr">
        <is>
          <t>KARLSTAD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30960-2020</t>
        </is>
      </c>
      <c r="B234" s="1" t="n">
        <v>44011</v>
      </c>
      <c r="C234" s="1" t="n">
        <v>45790</v>
      </c>
      <c r="D234" t="inlineStr">
        <is>
          <t>VÄRMLANDS LÄN</t>
        </is>
      </c>
      <c r="E234" t="inlineStr">
        <is>
          <t>KARLSTAD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31381-2020</t>
        </is>
      </c>
      <c r="B235" s="1" t="n">
        <v>44012</v>
      </c>
      <c r="C235" s="1" t="n">
        <v>45790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31379-2020</t>
        </is>
      </c>
      <c r="B236" s="1" t="n">
        <v>44012</v>
      </c>
      <c r="C236" s="1" t="n">
        <v>45790</v>
      </c>
      <c r="D236" t="inlineStr">
        <is>
          <t>VÄRMLANDS LÄN</t>
        </is>
      </c>
      <c r="E236" t="inlineStr">
        <is>
          <t>KARLSTAD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32171-2020</t>
        </is>
      </c>
      <c r="B237" s="1" t="n">
        <v>44015</v>
      </c>
      <c r="C237" s="1" t="n">
        <v>45790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33157-2020</t>
        </is>
      </c>
      <c r="B238" s="1" t="n">
        <v>44021</v>
      </c>
      <c r="C238" s="1" t="n">
        <v>45790</v>
      </c>
      <c r="D238" t="inlineStr">
        <is>
          <t>VÄRMLANDS LÄN</t>
        </is>
      </c>
      <c r="E238" t="inlineStr">
        <is>
          <t>KARLSTAD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33164-2020</t>
        </is>
      </c>
      <c r="B239" s="1" t="n">
        <v>44021</v>
      </c>
      <c r="C239" s="1" t="n">
        <v>45790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33173-2020</t>
        </is>
      </c>
      <c r="B240" s="1" t="n">
        <v>44021</v>
      </c>
      <c r="C240" s="1" t="n">
        <v>45790</v>
      </c>
      <c r="D240" t="inlineStr">
        <is>
          <t>VÄRMLANDS LÄN</t>
        </is>
      </c>
      <c r="E240" t="inlineStr">
        <is>
          <t>KARLSTAD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33160-2020</t>
        </is>
      </c>
      <c r="B241" s="1" t="n">
        <v>44021</v>
      </c>
      <c r="C241" s="1" t="n">
        <v>45790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33167-2020</t>
        </is>
      </c>
      <c r="B242" s="1" t="n">
        <v>44021</v>
      </c>
      <c r="C242" s="1" t="n">
        <v>45790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33150-2020</t>
        </is>
      </c>
      <c r="B243" s="1" t="n">
        <v>44021</v>
      </c>
      <c r="C243" s="1" t="n">
        <v>45790</v>
      </c>
      <c r="D243" t="inlineStr">
        <is>
          <t>VÄRMLANDS LÄN</t>
        </is>
      </c>
      <c r="E243" t="inlineStr">
        <is>
          <t>KARLSTAD</t>
        </is>
      </c>
      <c r="G243" t="n">
        <v>25.3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33161-2020</t>
        </is>
      </c>
      <c r="B244" s="1" t="n">
        <v>44021</v>
      </c>
      <c r="C244" s="1" t="n">
        <v>45790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33169-2020</t>
        </is>
      </c>
      <c r="B245" s="1" t="n">
        <v>44021</v>
      </c>
      <c r="C245" s="1" t="n">
        <v>45790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33163-2020</t>
        </is>
      </c>
      <c r="B246" s="1" t="n">
        <v>44021</v>
      </c>
      <c r="C246" s="1" t="n">
        <v>45790</v>
      </c>
      <c r="D246" t="inlineStr">
        <is>
          <t>VÄRMLANDS LÄN</t>
        </is>
      </c>
      <c r="E246" t="inlineStr">
        <is>
          <t>KARLSTAD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35999-2020</t>
        </is>
      </c>
      <c r="B247" s="1" t="n">
        <v>44047</v>
      </c>
      <c r="C247" s="1" t="n">
        <v>45790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36038-2020</t>
        </is>
      </c>
      <c r="B248" s="1" t="n">
        <v>44047</v>
      </c>
      <c r="C248" s="1" t="n">
        <v>45790</v>
      </c>
      <c r="D248" t="inlineStr">
        <is>
          <t>VÄRMLANDS LÄN</t>
        </is>
      </c>
      <c r="E248" t="inlineStr">
        <is>
          <t>KARLSTAD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36056-2020</t>
        </is>
      </c>
      <c r="B249" s="1" t="n">
        <v>44048</v>
      </c>
      <c r="C249" s="1" t="n">
        <v>45790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36062-2020</t>
        </is>
      </c>
      <c r="B250" s="1" t="n">
        <v>44048</v>
      </c>
      <c r="C250" s="1" t="n">
        <v>45790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36476-2020</t>
        </is>
      </c>
      <c r="B251" s="1" t="n">
        <v>44049</v>
      </c>
      <c r="C251" s="1" t="n">
        <v>45790</v>
      </c>
      <c r="D251" t="inlineStr">
        <is>
          <t>VÄRMLANDS LÄN</t>
        </is>
      </c>
      <c r="E251" t="inlineStr">
        <is>
          <t>KARLSTAD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36619-2020</t>
        </is>
      </c>
      <c r="B252" s="1" t="n">
        <v>44050</v>
      </c>
      <c r="C252" s="1" t="n">
        <v>45790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38055-2020</t>
        </is>
      </c>
      <c r="B253" s="1" t="n">
        <v>44057</v>
      </c>
      <c r="C253" s="1" t="n">
        <v>45790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38618-2020</t>
        </is>
      </c>
      <c r="B254" s="1" t="n">
        <v>44061</v>
      </c>
      <c r="C254" s="1" t="n">
        <v>45790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41972-2020</t>
        </is>
      </c>
      <c r="B255" s="1" t="n">
        <v>44062</v>
      </c>
      <c r="C255" s="1" t="n">
        <v>45790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39731-2020</t>
        </is>
      </c>
      <c r="B256" s="1" t="n">
        <v>44067</v>
      </c>
      <c r="C256" s="1" t="n">
        <v>45790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39803-2020</t>
        </is>
      </c>
      <c r="B257" s="1" t="n">
        <v>44067</v>
      </c>
      <c r="C257" s="1" t="n">
        <v>45790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39738-2020</t>
        </is>
      </c>
      <c r="B258" s="1" t="n">
        <v>44067</v>
      </c>
      <c r="C258" s="1" t="n">
        <v>45790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39806-2020</t>
        </is>
      </c>
      <c r="B259" s="1" t="n">
        <v>44067</v>
      </c>
      <c r="C259" s="1" t="n">
        <v>45790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41653-2020</t>
        </is>
      </c>
      <c r="B260" s="1" t="n">
        <v>44074</v>
      </c>
      <c r="C260" s="1" t="n">
        <v>45790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42103-2020</t>
        </is>
      </c>
      <c r="B261" s="1" t="n">
        <v>44074</v>
      </c>
      <c r="C261" s="1" t="n">
        <v>45790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42175-2020</t>
        </is>
      </c>
      <c r="B262" s="1" t="n">
        <v>44075</v>
      </c>
      <c r="C262" s="1" t="n">
        <v>45790</v>
      </c>
      <c r="D262" t="inlineStr">
        <is>
          <t>VÄRMLANDS LÄN</t>
        </is>
      </c>
      <c r="E262" t="inlineStr">
        <is>
          <t>KARLSTAD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42531-2020</t>
        </is>
      </c>
      <c r="B263" s="1" t="n">
        <v>44077</v>
      </c>
      <c r="C263" s="1" t="n">
        <v>45790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42877-2020</t>
        </is>
      </c>
      <c r="B264" s="1" t="n">
        <v>44078</v>
      </c>
      <c r="C264" s="1" t="n">
        <v>45790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43679-2020</t>
        </is>
      </c>
      <c r="B265" s="1" t="n">
        <v>44078</v>
      </c>
      <c r="C265" s="1" t="n">
        <v>45790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43049-2020</t>
        </is>
      </c>
      <c r="B266" s="1" t="n">
        <v>44078</v>
      </c>
      <c r="C266" s="1" t="n">
        <v>45790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43669-2020</t>
        </is>
      </c>
      <c r="B267" s="1" t="n">
        <v>44078</v>
      </c>
      <c r="C267" s="1" t="n">
        <v>45790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43179-2020</t>
        </is>
      </c>
      <c r="B268" s="1" t="n">
        <v>44081</v>
      </c>
      <c r="C268" s="1" t="n">
        <v>45790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44304-2020</t>
        </is>
      </c>
      <c r="B269" s="1" t="n">
        <v>44082</v>
      </c>
      <c r="C269" s="1" t="n">
        <v>45790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44309-2020</t>
        </is>
      </c>
      <c r="B270" s="1" t="n">
        <v>44082</v>
      </c>
      <c r="C270" s="1" t="n">
        <v>45790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45123-2020</t>
        </is>
      </c>
      <c r="B271" s="1" t="n">
        <v>44083</v>
      </c>
      <c r="C271" s="1" t="n">
        <v>45790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45182-2020</t>
        </is>
      </c>
      <c r="B272" s="1" t="n">
        <v>44084</v>
      </c>
      <c r="C272" s="1" t="n">
        <v>45790</v>
      </c>
      <c r="D272" t="inlineStr">
        <is>
          <t>VÄRMLANDS LÄN</t>
        </is>
      </c>
      <c r="E272" t="inlineStr">
        <is>
          <t>KARLSTAD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45186-2020</t>
        </is>
      </c>
      <c r="B273" s="1" t="n">
        <v>44084</v>
      </c>
      <c r="C273" s="1" t="n">
        <v>45790</v>
      </c>
      <c r="D273" t="inlineStr">
        <is>
          <t>VÄRMLANDS LÄN</t>
        </is>
      </c>
      <c r="E273" t="inlineStr">
        <is>
          <t>KARLSTAD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45174-2020</t>
        </is>
      </c>
      <c r="B274" s="1" t="n">
        <v>44084</v>
      </c>
      <c r="C274" s="1" t="n">
        <v>45790</v>
      </c>
      <c r="D274" t="inlineStr">
        <is>
          <t>VÄRMLANDS LÄN</t>
        </is>
      </c>
      <c r="E274" t="inlineStr">
        <is>
          <t>KARLSTAD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45328-2020</t>
        </is>
      </c>
      <c r="B275" s="1" t="n">
        <v>44085</v>
      </c>
      <c r="C275" s="1" t="n">
        <v>45790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45463-2020</t>
        </is>
      </c>
      <c r="B276" s="1" t="n">
        <v>44085</v>
      </c>
      <c r="C276" s="1" t="n">
        <v>45790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46836-2020</t>
        </is>
      </c>
      <c r="B277" s="1" t="n">
        <v>44090</v>
      </c>
      <c r="C277" s="1" t="n">
        <v>45790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46666-2020</t>
        </is>
      </c>
      <c r="B278" s="1" t="n">
        <v>44095</v>
      </c>
      <c r="C278" s="1" t="n">
        <v>45790</v>
      </c>
      <c r="D278" t="inlineStr">
        <is>
          <t>VÄRMLANDS LÄN</t>
        </is>
      </c>
      <c r="E278" t="inlineStr">
        <is>
          <t>KARLSTAD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48553-2020</t>
        </is>
      </c>
      <c r="B279" s="1" t="n">
        <v>44098</v>
      </c>
      <c r="C279" s="1" t="n">
        <v>45790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48568-2020</t>
        </is>
      </c>
      <c r="B280" s="1" t="n">
        <v>44098</v>
      </c>
      <c r="C280" s="1" t="n">
        <v>45790</v>
      </c>
      <c r="D280" t="inlineStr">
        <is>
          <t>VÄRMLANDS LÄN</t>
        </is>
      </c>
      <c r="E280" t="inlineStr">
        <is>
          <t>KARLSTAD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48566-2020</t>
        </is>
      </c>
      <c r="B281" s="1" t="n">
        <v>44098</v>
      </c>
      <c r="C281" s="1" t="n">
        <v>45790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48561-2020</t>
        </is>
      </c>
      <c r="B282" s="1" t="n">
        <v>44098</v>
      </c>
      <c r="C282" s="1" t="n">
        <v>45790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48560-2020</t>
        </is>
      </c>
      <c r="B283" s="1" t="n">
        <v>44098</v>
      </c>
      <c r="C283" s="1" t="n">
        <v>45790</v>
      </c>
      <c r="D283" t="inlineStr">
        <is>
          <t>VÄRMLANDS LÄN</t>
        </is>
      </c>
      <c r="E283" t="inlineStr">
        <is>
          <t>KARLSTAD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48243-2020</t>
        </is>
      </c>
      <c r="B284" s="1" t="n">
        <v>44102</v>
      </c>
      <c r="C284" s="1" t="n">
        <v>45790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51956-2020</t>
        </is>
      </c>
      <c r="B285" s="1" t="n">
        <v>44110</v>
      </c>
      <c r="C285" s="1" t="n">
        <v>45790</v>
      </c>
      <c r="D285" t="inlineStr">
        <is>
          <t>VÄRMLANDS LÄN</t>
        </is>
      </c>
      <c r="E285" t="inlineStr">
        <is>
          <t>KARLSTAD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51948-2020</t>
        </is>
      </c>
      <c r="B286" s="1" t="n">
        <v>44110</v>
      </c>
      <c r="C286" s="1" t="n">
        <v>45790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50833-2020</t>
        </is>
      </c>
      <c r="B287" s="1" t="n">
        <v>44111</v>
      </c>
      <c r="C287" s="1" t="n">
        <v>45790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51390-2020</t>
        </is>
      </c>
      <c r="B288" s="1" t="n">
        <v>44113</v>
      </c>
      <c r="C288" s="1" t="n">
        <v>45790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51510-2020</t>
        </is>
      </c>
      <c r="B289" s="1" t="n">
        <v>44113</v>
      </c>
      <c r="C289" s="1" t="n">
        <v>45790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52621-2020</t>
        </is>
      </c>
      <c r="B290" s="1" t="n">
        <v>44118</v>
      </c>
      <c r="C290" s="1" t="n">
        <v>45790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55457-2020</t>
        </is>
      </c>
      <c r="B291" s="1" t="n">
        <v>44130</v>
      </c>
      <c r="C291" s="1" t="n">
        <v>45790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55433-2020</t>
        </is>
      </c>
      <c r="B292" s="1" t="n">
        <v>44130</v>
      </c>
      <c r="C292" s="1" t="n">
        <v>45790</v>
      </c>
      <c r="D292" t="inlineStr">
        <is>
          <t>VÄRMLANDS LÄN</t>
        </is>
      </c>
      <c r="E292" t="inlineStr">
        <is>
          <t>KARLSTAD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55790-2020</t>
        </is>
      </c>
      <c r="B293" s="1" t="n">
        <v>44131</v>
      </c>
      <c r="C293" s="1" t="n">
        <v>45790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55737-2020</t>
        </is>
      </c>
      <c r="B294" s="1" t="n">
        <v>44132</v>
      </c>
      <c r="C294" s="1" t="n">
        <v>45790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57003-2020</t>
        </is>
      </c>
      <c r="B295" s="1" t="n">
        <v>44138</v>
      </c>
      <c r="C295" s="1" t="n">
        <v>45790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58713-2020</t>
        </is>
      </c>
      <c r="B296" s="1" t="n">
        <v>44146</v>
      </c>
      <c r="C296" s="1" t="n">
        <v>45790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59703-2020</t>
        </is>
      </c>
      <c r="B297" s="1" t="n">
        <v>44151</v>
      </c>
      <c r="C297" s="1" t="n">
        <v>45790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60082-2020</t>
        </is>
      </c>
      <c r="B298" s="1" t="n">
        <v>44152</v>
      </c>
      <c r="C298" s="1" t="n">
        <v>45790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60587-2020</t>
        </is>
      </c>
      <c r="B299" s="1" t="n">
        <v>44153</v>
      </c>
      <c r="C299" s="1" t="n">
        <v>45790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61687-2020</t>
        </is>
      </c>
      <c r="B300" s="1" t="n">
        <v>44158</v>
      </c>
      <c r="C300" s="1" t="n">
        <v>45790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62130-2020</t>
        </is>
      </c>
      <c r="B301" s="1" t="n">
        <v>44158</v>
      </c>
      <c r="C301" s="1" t="n">
        <v>45790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62074-2020</t>
        </is>
      </c>
      <c r="B302" s="1" t="n">
        <v>44159</v>
      </c>
      <c r="C302" s="1" t="n">
        <v>45790</v>
      </c>
      <c r="D302" t="inlineStr">
        <is>
          <t>VÄRMLANDS LÄN</t>
        </is>
      </c>
      <c r="E302" t="inlineStr">
        <is>
          <t>KARLSTAD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62245-2020</t>
        </is>
      </c>
      <c r="B303" s="1" t="n">
        <v>44160</v>
      </c>
      <c r="C303" s="1" t="n">
        <v>45790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63486-2020</t>
        </is>
      </c>
      <c r="B304" s="1" t="n">
        <v>44165</v>
      </c>
      <c r="C304" s="1" t="n">
        <v>45790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65920-2020</t>
        </is>
      </c>
      <c r="B305" s="1" t="n">
        <v>44175</v>
      </c>
      <c r="C305" s="1" t="n">
        <v>45790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67022-2020</t>
        </is>
      </c>
      <c r="B306" s="1" t="n">
        <v>44180</v>
      </c>
      <c r="C306" s="1" t="n">
        <v>45790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68355-2020</t>
        </is>
      </c>
      <c r="B307" s="1" t="n">
        <v>44182</v>
      </c>
      <c r="C307" s="1" t="n">
        <v>45790</v>
      </c>
      <c r="D307" t="inlineStr">
        <is>
          <t>VÄRMLANDS LÄN</t>
        </is>
      </c>
      <c r="E307" t="inlineStr">
        <is>
          <t>KARLSTAD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68842-2020</t>
        </is>
      </c>
      <c r="B308" s="1" t="n">
        <v>44187</v>
      </c>
      <c r="C308" s="1" t="n">
        <v>45790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68988-2020</t>
        </is>
      </c>
      <c r="B309" s="1" t="n">
        <v>44188</v>
      </c>
      <c r="C309" s="1" t="n">
        <v>45790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637-2021</t>
        </is>
      </c>
      <c r="B310" s="1" t="n">
        <v>44203</v>
      </c>
      <c r="C310" s="1" t="n">
        <v>45790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1486-2021</t>
        </is>
      </c>
      <c r="B311" s="1" t="n">
        <v>44208</v>
      </c>
      <c r="C311" s="1" t="n">
        <v>45790</v>
      </c>
      <c r="D311" t="inlineStr">
        <is>
          <t>VÄRMLANDS LÄN</t>
        </is>
      </c>
      <c r="E311" t="inlineStr">
        <is>
          <t>KARLSTAD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4176-2021</t>
        </is>
      </c>
      <c r="B312" s="1" t="n">
        <v>44218</v>
      </c>
      <c r="C312" s="1" t="n">
        <v>45790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3883-2021</t>
        </is>
      </c>
      <c r="B313" s="1" t="n">
        <v>44222</v>
      </c>
      <c r="C313" s="1" t="n">
        <v>45790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3942-2021</t>
        </is>
      </c>
      <c r="B314" s="1" t="n">
        <v>44222</v>
      </c>
      <c r="C314" s="1" t="n">
        <v>45790</v>
      </c>
      <c r="D314" t="inlineStr">
        <is>
          <t>VÄRMLANDS LÄN</t>
        </is>
      </c>
      <c r="E314" t="inlineStr">
        <is>
          <t>KARLSTAD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4450-2021</t>
        </is>
      </c>
      <c r="B315" s="1" t="n">
        <v>44222</v>
      </c>
      <c r="C315" s="1" t="n">
        <v>45790</v>
      </c>
      <c r="D315" t="inlineStr">
        <is>
          <t>VÄRMLANDS LÄN</t>
        </is>
      </c>
      <c r="E315" t="inlineStr">
        <is>
          <t>KARLSTAD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4681-2021</t>
        </is>
      </c>
      <c r="B316" s="1" t="n">
        <v>44225</v>
      </c>
      <c r="C316" s="1" t="n">
        <v>45790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5682-2021</t>
        </is>
      </c>
      <c r="B317" s="1" t="n">
        <v>44225</v>
      </c>
      <c r="C317" s="1" t="n">
        <v>45790</v>
      </c>
      <c r="D317" t="inlineStr">
        <is>
          <t>VÄRMLANDS LÄN</t>
        </is>
      </c>
      <c r="E317" t="inlineStr">
        <is>
          <t>KARLSTAD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5197-2021</t>
        </is>
      </c>
      <c r="B318" s="1" t="n">
        <v>44228</v>
      </c>
      <c r="C318" s="1" t="n">
        <v>45790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5710-2021</t>
        </is>
      </c>
      <c r="B319" s="1" t="n">
        <v>44230</v>
      </c>
      <c r="C319" s="1" t="n">
        <v>45790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7253-2021</t>
        </is>
      </c>
      <c r="B320" s="1" t="n">
        <v>44238</v>
      </c>
      <c r="C320" s="1" t="n">
        <v>45790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8228-2021</t>
        </is>
      </c>
      <c r="B321" s="1" t="n">
        <v>44243</v>
      </c>
      <c r="C321" s="1" t="n">
        <v>45790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8230-2021</t>
        </is>
      </c>
      <c r="B322" s="1" t="n">
        <v>44243</v>
      </c>
      <c r="C322" s="1" t="n">
        <v>45790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8435-2021</t>
        </is>
      </c>
      <c r="B323" s="1" t="n">
        <v>44245</v>
      </c>
      <c r="C323" s="1" t="n">
        <v>45790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9825-2021</t>
        </is>
      </c>
      <c r="B324" s="1" t="n">
        <v>44252</v>
      </c>
      <c r="C324" s="1" t="n">
        <v>45790</v>
      </c>
      <c r="D324" t="inlineStr">
        <is>
          <t>VÄRMLANDS LÄN</t>
        </is>
      </c>
      <c r="E324" t="inlineStr">
        <is>
          <t>KARLSTAD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10157-2021</t>
        </is>
      </c>
      <c r="B325" s="1" t="n">
        <v>44256</v>
      </c>
      <c r="C325" s="1" t="n">
        <v>45790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10717-2021</t>
        </is>
      </c>
      <c r="B326" s="1" t="n">
        <v>44258</v>
      </c>
      <c r="C326" s="1" t="n">
        <v>45790</v>
      </c>
      <c r="D326" t="inlineStr">
        <is>
          <t>VÄRMLANDS LÄN</t>
        </is>
      </c>
      <c r="E326" t="inlineStr">
        <is>
          <t>KARLSTAD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11577-2021</t>
        </is>
      </c>
      <c r="B327" s="1" t="n">
        <v>44264</v>
      </c>
      <c r="C327" s="1" t="n">
        <v>45790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14475-2021</t>
        </is>
      </c>
      <c r="B328" s="1" t="n">
        <v>44279</v>
      </c>
      <c r="C328" s="1" t="n">
        <v>45790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14469-2021</t>
        </is>
      </c>
      <c r="B329" s="1" t="n">
        <v>44279</v>
      </c>
      <c r="C329" s="1" t="n">
        <v>45790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15149-2021</t>
        </is>
      </c>
      <c r="B330" s="1" t="n">
        <v>44284</v>
      </c>
      <c r="C330" s="1" t="n">
        <v>45790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15810-2021</t>
        </is>
      </c>
      <c r="B331" s="1" t="n">
        <v>44286</v>
      </c>
      <c r="C331" s="1" t="n">
        <v>45790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16206-2021</t>
        </is>
      </c>
      <c r="B332" s="1" t="n">
        <v>44292</v>
      </c>
      <c r="C332" s="1" t="n">
        <v>45790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16820-2021</t>
        </is>
      </c>
      <c r="B333" s="1" t="n">
        <v>44295</v>
      </c>
      <c r="C333" s="1" t="n">
        <v>45790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16861-2021</t>
        </is>
      </c>
      <c r="B334" s="1" t="n">
        <v>44295</v>
      </c>
      <c r="C334" s="1" t="n">
        <v>45790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17208-2021</t>
        </is>
      </c>
      <c r="B335" s="1" t="n">
        <v>44298</v>
      </c>
      <c r="C335" s="1" t="n">
        <v>45790</v>
      </c>
      <c r="D335" t="inlineStr">
        <is>
          <t>VÄRMLANDS LÄN</t>
        </is>
      </c>
      <c r="E335" t="inlineStr">
        <is>
          <t>KARLSTAD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18755-2021</t>
        </is>
      </c>
      <c r="B336" s="1" t="n">
        <v>44307</v>
      </c>
      <c r="C336" s="1" t="n">
        <v>45790</v>
      </c>
      <c r="D336" t="inlineStr">
        <is>
          <t>VÄRMLANDS LÄN</t>
        </is>
      </c>
      <c r="E336" t="inlineStr">
        <is>
          <t>KARLSTAD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21656-2021</t>
        </is>
      </c>
      <c r="B337" s="1" t="n">
        <v>44322</v>
      </c>
      <c r="C337" s="1" t="n">
        <v>45790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21818-2021</t>
        </is>
      </c>
      <c r="B338" s="1" t="n">
        <v>44322</v>
      </c>
      <c r="C338" s="1" t="n">
        <v>45790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21826-2021</t>
        </is>
      </c>
      <c r="B339" s="1" t="n">
        <v>44322</v>
      </c>
      <c r="C339" s="1" t="n">
        <v>45790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21840-2021</t>
        </is>
      </c>
      <c r="B340" s="1" t="n">
        <v>44322</v>
      </c>
      <c r="C340" s="1" t="n">
        <v>45790</v>
      </c>
      <c r="D340" t="inlineStr">
        <is>
          <t>VÄRMLANDS LÄN</t>
        </is>
      </c>
      <c r="E340" t="inlineStr">
        <is>
          <t>KARLSTAD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21862-2021</t>
        </is>
      </c>
      <c r="B341" s="1" t="n">
        <v>44322</v>
      </c>
      <c r="C341" s="1" t="n">
        <v>45790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22091-2021</t>
        </is>
      </c>
      <c r="B342" s="1" t="n">
        <v>44323</v>
      </c>
      <c r="C342" s="1" t="n">
        <v>45790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22149-2021</t>
        </is>
      </c>
      <c r="B343" s="1" t="n">
        <v>44324</v>
      </c>
      <c r="C343" s="1" t="n">
        <v>45790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22350-2021</t>
        </is>
      </c>
      <c r="B344" s="1" t="n">
        <v>44326</v>
      </c>
      <c r="C344" s="1" t="n">
        <v>45790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22657-2021</t>
        </is>
      </c>
      <c r="B345" s="1" t="n">
        <v>44327</v>
      </c>
      <c r="C345" s="1" t="n">
        <v>45790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23254-2021</t>
        </is>
      </c>
      <c r="B346" s="1" t="n">
        <v>44333</v>
      </c>
      <c r="C346" s="1" t="n">
        <v>45790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23314-2021</t>
        </is>
      </c>
      <c r="B347" s="1" t="n">
        <v>44333</v>
      </c>
      <c r="C347" s="1" t="n">
        <v>45790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23248-2021</t>
        </is>
      </c>
      <c r="B348" s="1" t="n">
        <v>44333</v>
      </c>
      <c r="C348" s="1" t="n">
        <v>45790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23786-2021</t>
        </is>
      </c>
      <c r="B349" s="1" t="n">
        <v>44335</v>
      </c>
      <c r="C349" s="1" t="n">
        <v>45790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25248-2021</t>
        </is>
      </c>
      <c r="B350" s="1" t="n">
        <v>44342</v>
      </c>
      <c r="C350" s="1" t="n">
        <v>45790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27670-2021</t>
        </is>
      </c>
      <c r="B351" s="1" t="n">
        <v>44354</v>
      </c>
      <c r="C351" s="1" t="n">
        <v>45790</v>
      </c>
      <c r="D351" t="inlineStr">
        <is>
          <t>VÄRMLANDS LÄN</t>
        </is>
      </c>
      <c r="E351" t="inlineStr">
        <is>
          <t>KARLSTAD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27688-2021</t>
        </is>
      </c>
      <c r="B352" s="1" t="n">
        <v>44354</v>
      </c>
      <c r="C352" s="1" t="n">
        <v>45790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28402-2021</t>
        </is>
      </c>
      <c r="B353" s="1" t="n">
        <v>44356</v>
      </c>
      <c r="C353" s="1" t="n">
        <v>45790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28983-2021</t>
        </is>
      </c>
      <c r="B354" s="1" t="n">
        <v>44358</v>
      </c>
      <c r="C354" s="1" t="n">
        <v>45790</v>
      </c>
      <c r="D354" t="inlineStr">
        <is>
          <t>VÄRMLANDS LÄN</t>
        </is>
      </c>
      <c r="E354" t="inlineStr">
        <is>
          <t>KARLSTAD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28991-2021</t>
        </is>
      </c>
      <c r="B355" s="1" t="n">
        <v>44358</v>
      </c>
      <c r="C355" s="1" t="n">
        <v>45790</v>
      </c>
      <c r="D355" t="inlineStr">
        <is>
          <t>VÄRMLANDS LÄN</t>
        </is>
      </c>
      <c r="E355" t="inlineStr">
        <is>
          <t>KARLSTAD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28987-2021</t>
        </is>
      </c>
      <c r="B356" s="1" t="n">
        <v>44358</v>
      </c>
      <c r="C356" s="1" t="n">
        <v>45790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29253-2021</t>
        </is>
      </c>
      <c r="B357" s="1" t="n">
        <v>44358</v>
      </c>
      <c r="C357" s="1" t="n">
        <v>45790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29280-2021</t>
        </is>
      </c>
      <c r="B358" s="1" t="n">
        <v>44361</v>
      </c>
      <c r="C358" s="1" t="n">
        <v>45790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30111-2021</t>
        </is>
      </c>
      <c r="B359" s="1" t="n">
        <v>44363</v>
      </c>
      <c r="C359" s="1" t="n">
        <v>45790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32350-2021</t>
        </is>
      </c>
      <c r="B360" s="1" t="n">
        <v>44371</v>
      </c>
      <c r="C360" s="1" t="n">
        <v>45790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32943-2021</t>
        </is>
      </c>
      <c r="B361" s="1" t="n">
        <v>44376</v>
      </c>
      <c r="C361" s="1" t="n">
        <v>45790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32940-2021</t>
        </is>
      </c>
      <c r="B362" s="1" t="n">
        <v>44376</v>
      </c>
      <c r="C362" s="1" t="n">
        <v>45790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33593-2021</t>
        </is>
      </c>
      <c r="B363" s="1" t="n">
        <v>44378</v>
      </c>
      <c r="C363" s="1" t="n">
        <v>45790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45790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34359-2021</t>
        </is>
      </c>
      <c r="B365" s="1" t="n">
        <v>44379</v>
      </c>
      <c r="C365" s="1" t="n">
        <v>45790</v>
      </c>
      <c r="D365" t="inlineStr">
        <is>
          <t>VÄRMLANDS LÄN</t>
        </is>
      </c>
      <c r="E365" t="inlineStr">
        <is>
          <t>KARLSTAD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34290-2021</t>
        </is>
      </c>
      <c r="B366" s="1" t="n">
        <v>44379</v>
      </c>
      <c r="C366" s="1" t="n">
        <v>45790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34275-2021</t>
        </is>
      </c>
      <c r="B367" s="1" t="n">
        <v>44379</v>
      </c>
      <c r="C367" s="1" t="n">
        <v>45790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34618-2021</t>
        </is>
      </c>
      <c r="B368" s="1" t="n">
        <v>44382</v>
      </c>
      <c r="C368" s="1" t="n">
        <v>45790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35248-2021</t>
        </is>
      </c>
      <c r="B369" s="1" t="n">
        <v>44384</v>
      </c>
      <c r="C369" s="1" t="n">
        <v>45790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35412-2021</t>
        </is>
      </c>
      <c r="B370" s="1" t="n">
        <v>44385</v>
      </c>
      <c r="C370" s="1" t="n">
        <v>45790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37125-2021</t>
        </is>
      </c>
      <c r="B371" s="1" t="n">
        <v>44396</v>
      </c>
      <c r="C371" s="1" t="n">
        <v>45790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37543-2021</t>
        </is>
      </c>
      <c r="B372" s="1" t="n">
        <v>44399</v>
      </c>
      <c r="C372" s="1" t="n">
        <v>45790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37878-2021</t>
        </is>
      </c>
      <c r="B373" s="1" t="n">
        <v>44403</v>
      </c>
      <c r="C373" s="1" t="n">
        <v>45790</v>
      </c>
      <c r="D373" t="inlineStr">
        <is>
          <t>VÄRMLANDS LÄN</t>
        </is>
      </c>
      <c r="E373" t="inlineStr">
        <is>
          <t>KARLSTAD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37888-2021</t>
        </is>
      </c>
      <c r="B374" s="1" t="n">
        <v>44403</v>
      </c>
      <c r="C374" s="1" t="n">
        <v>45790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37873-2021</t>
        </is>
      </c>
      <c r="B375" s="1" t="n">
        <v>44403</v>
      </c>
      <c r="C375" s="1" t="n">
        <v>45790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38061-2021</t>
        </is>
      </c>
      <c r="B376" s="1" t="n">
        <v>44404</v>
      </c>
      <c r="C376" s="1" t="n">
        <v>45790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38121-2021</t>
        </is>
      </c>
      <c r="B377" s="1" t="n">
        <v>44405</v>
      </c>
      <c r="C377" s="1" t="n">
        <v>45790</v>
      </c>
      <c r="D377" t="inlineStr">
        <is>
          <t>VÄRMLANDS LÄN</t>
        </is>
      </c>
      <c r="E377" t="inlineStr">
        <is>
          <t>KARLSTAD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38124-2021</t>
        </is>
      </c>
      <c r="B378" s="1" t="n">
        <v>44405</v>
      </c>
      <c r="C378" s="1" t="n">
        <v>45790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45790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40893-2021</t>
        </is>
      </c>
      <c r="B380" s="1" t="n">
        <v>44421</v>
      </c>
      <c r="C380" s="1" t="n">
        <v>45790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41519-2021</t>
        </is>
      </c>
      <c r="B381" s="1" t="n">
        <v>44425</v>
      </c>
      <c r="C381" s="1" t="n">
        <v>45790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42053-2021</t>
        </is>
      </c>
      <c r="B382" s="1" t="n">
        <v>44426</v>
      </c>
      <c r="C382" s="1" t="n">
        <v>45790</v>
      </c>
      <c r="D382" t="inlineStr">
        <is>
          <t>VÄRMLANDS LÄN</t>
        </is>
      </c>
      <c r="E382" t="inlineStr">
        <is>
          <t>KARLSTAD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45790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41944-2021</t>
        </is>
      </c>
      <c r="B384" s="1" t="n">
        <v>44426</v>
      </c>
      <c r="C384" s="1" t="n">
        <v>45790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42283-2021</t>
        </is>
      </c>
      <c r="B385" s="1" t="n">
        <v>44427</v>
      </c>
      <c r="C385" s="1" t="n">
        <v>45790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42664-2021</t>
        </is>
      </c>
      <c r="B386" s="1" t="n">
        <v>44428</v>
      </c>
      <c r="C386" s="1" t="n">
        <v>45790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42725-2021</t>
        </is>
      </c>
      <c r="B387" s="1" t="n">
        <v>44428</v>
      </c>
      <c r="C387" s="1" t="n">
        <v>45790</v>
      </c>
      <c r="D387" t="inlineStr">
        <is>
          <t>VÄRMLANDS LÄN</t>
        </is>
      </c>
      <c r="E387" t="inlineStr">
        <is>
          <t>KARLSTAD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42901-2021</t>
        </is>
      </c>
      <c r="B388" s="1" t="n">
        <v>44431</v>
      </c>
      <c r="C388" s="1" t="n">
        <v>45790</v>
      </c>
      <c r="D388" t="inlineStr">
        <is>
          <t>VÄRMLANDS LÄN</t>
        </is>
      </c>
      <c r="E388" t="inlineStr">
        <is>
          <t>KARLSTAD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43263-2021</t>
        </is>
      </c>
      <c r="B389" s="1" t="n">
        <v>44432</v>
      </c>
      <c r="C389" s="1" t="n">
        <v>45790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43542-2021</t>
        </is>
      </c>
      <c r="B390" s="1" t="n">
        <v>44433</v>
      </c>
      <c r="C390" s="1" t="n">
        <v>45790</v>
      </c>
      <c r="D390" t="inlineStr">
        <is>
          <t>VÄRMLANDS LÄN</t>
        </is>
      </c>
      <c r="E390" t="inlineStr">
        <is>
          <t>KARLSTAD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45905-2021</t>
        </is>
      </c>
      <c r="B391" s="1" t="n">
        <v>44441</v>
      </c>
      <c r="C391" s="1" t="n">
        <v>45790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46808-2021</t>
        </is>
      </c>
      <c r="B392" s="1" t="n">
        <v>44446</v>
      </c>
      <c r="C392" s="1" t="n">
        <v>45790</v>
      </c>
      <c r="D392" t="inlineStr">
        <is>
          <t>VÄRMLANDS LÄN</t>
        </is>
      </c>
      <c r="E392" t="inlineStr">
        <is>
          <t>KARLSTAD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46812-2021</t>
        </is>
      </c>
      <c r="B393" s="1" t="n">
        <v>44446</v>
      </c>
      <c r="C393" s="1" t="n">
        <v>45790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46814-2021</t>
        </is>
      </c>
      <c r="B394" s="1" t="n">
        <v>44446</v>
      </c>
      <c r="C394" s="1" t="n">
        <v>45790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47041-2021</t>
        </is>
      </c>
      <c r="B395" s="1" t="n">
        <v>44446</v>
      </c>
      <c r="C395" s="1" t="n">
        <v>45790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47055-2021</t>
        </is>
      </c>
      <c r="B396" s="1" t="n">
        <v>44446</v>
      </c>
      <c r="C396" s="1" t="n">
        <v>45790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45790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47285-2021</t>
        </is>
      </c>
      <c r="B398" s="1" t="n">
        <v>44446</v>
      </c>
      <c r="C398" s="1" t="n">
        <v>45790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47352-2021</t>
        </is>
      </c>
      <c r="B399" s="1" t="n">
        <v>44447</v>
      </c>
      <c r="C399" s="1" t="n">
        <v>45790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47956-2021</t>
        </is>
      </c>
      <c r="B400" s="1" t="n">
        <v>44449</v>
      </c>
      <c r="C400" s="1" t="n">
        <v>45790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</v>
      </c>
      <c r="C401" s="1" t="n">
        <v>45790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48577-2021</t>
        </is>
      </c>
      <c r="B402" s="1" t="n">
        <v>44452</v>
      </c>
      <c r="C402" s="1" t="n">
        <v>45790</v>
      </c>
      <c r="D402" t="inlineStr">
        <is>
          <t>VÄRMLANDS LÄN</t>
        </is>
      </c>
      <c r="E402" t="inlineStr">
        <is>
          <t>KARLSTAD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48597-2021</t>
        </is>
      </c>
      <c r="B403" s="1" t="n">
        <v>44452</v>
      </c>
      <c r="C403" s="1" t="n">
        <v>45790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48620-2021</t>
        </is>
      </c>
      <c r="B404" s="1" t="n">
        <v>44452</v>
      </c>
      <c r="C404" s="1" t="n">
        <v>45790</v>
      </c>
      <c r="D404" t="inlineStr">
        <is>
          <t>VÄRMLANDS LÄN</t>
        </is>
      </c>
      <c r="E404" t="inlineStr">
        <is>
          <t>KARLSTAD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48633-2021</t>
        </is>
      </c>
      <c r="B405" s="1" t="n">
        <v>44452</v>
      </c>
      <c r="C405" s="1" t="n">
        <v>45790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49343-2021</t>
        </is>
      </c>
      <c r="B406" s="1" t="n">
        <v>44454</v>
      </c>
      <c r="C406" s="1" t="n">
        <v>45790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50400-2021</t>
        </is>
      </c>
      <c r="B407" s="1" t="n">
        <v>44459</v>
      </c>
      <c r="C407" s="1" t="n">
        <v>45790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45790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51086-2021</t>
        </is>
      </c>
      <c r="B409" s="1" t="n">
        <v>44461</v>
      </c>
      <c r="C409" s="1" t="n">
        <v>45790</v>
      </c>
      <c r="D409" t="inlineStr">
        <is>
          <t>VÄRMLANDS LÄN</t>
        </is>
      </c>
      <c r="E409" t="inlineStr">
        <is>
          <t>KARLSTAD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52789-2021</t>
        </is>
      </c>
      <c r="B410" s="1" t="n">
        <v>44467</v>
      </c>
      <c r="C410" s="1" t="n">
        <v>45790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53486-2021</t>
        </is>
      </c>
      <c r="B411" s="1" t="n">
        <v>44468</v>
      </c>
      <c r="C411" s="1" t="n">
        <v>45790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55111-2021</t>
        </is>
      </c>
      <c r="B412" s="1" t="n">
        <v>44474</v>
      </c>
      <c r="C412" s="1" t="n">
        <v>45790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55110-2021</t>
        </is>
      </c>
      <c r="B413" s="1" t="n">
        <v>44474</v>
      </c>
      <c r="C413" s="1" t="n">
        <v>45790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55256-2021</t>
        </is>
      </c>
      <c r="B414" s="1" t="n">
        <v>44475</v>
      </c>
      <c r="C414" s="1" t="n">
        <v>45790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55277-2021</t>
        </is>
      </c>
      <c r="B415" s="1" t="n">
        <v>44475</v>
      </c>
      <c r="C415" s="1" t="n">
        <v>45790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55564-2021</t>
        </is>
      </c>
      <c r="B416" s="1" t="n">
        <v>44475</v>
      </c>
      <c r="C416" s="1" t="n">
        <v>45790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56928-2021</t>
        </is>
      </c>
      <c r="B417" s="1" t="n">
        <v>44482</v>
      </c>
      <c r="C417" s="1" t="n">
        <v>45790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57237-2021</t>
        </is>
      </c>
      <c r="B418" s="1" t="n">
        <v>44482</v>
      </c>
      <c r="C418" s="1" t="n">
        <v>45790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57391-2021</t>
        </is>
      </c>
      <c r="B419" s="1" t="n">
        <v>44483</v>
      </c>
      <c r="C419" s="1" t="n">
        <v>45790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57469-2021</t>
        </is>
      </c>
      <c r="B420" s="1" t="n">
        <v>44483</v>
      </c>
      <c r="C420" s="1" t="n">
        <v>45790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57476-2021</t>
        </is>
      </c>
      <c r="B421" s="1" t="n">
        <v>44483</v>
      </c>
      <c r="C421" s="1" t="n">
        <v>45790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57453-2021</t>
        </is>
      </c>
      <c r="B422" s="1" t="n">
        <v>44483</v>
      </c>
      <c r="C422" s="1" t="n">
        <v>45790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57780-2021</t>
        </is>
      </c>
      <c r="B423" s="1" t="n">
        <v>44484</v>
      </c>
      <c r="C423" s="1" t="n">
        <v>45790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58501-2021</t>
        </is>
      </c>
      <c r="B424" s="1" t="n">
        <v>44488</v>
      </c>
      <c r="C424" s="1" t="n">
        <v>45790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58507-2021</t>
        </is>
      </c>
      <c r="B425" s="1" t="n">
        <v>44488</v>
      </c>
      <c r="C425" s="1" t="n">
        <v>45790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59627-2021</t>
        </is>
      </c>
      <c r="B426" s="1" t="n">
        <v>44491</v>
      </c>
      <c r="C426" s="1" t="n">
        <v>45790</v>
      </c>
      <c r="D426" t="inlineStr">
        <is>
          <t>VÄRMLANDS LÄN</t>
        </is>
      </c>
      <c r="E426" t="inlineStr">
        <is>
          <t>KARLSTAD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59626-2021</t>
        </is>
      </c>
      <c r="B427" s="1" t="n">
        <v>44491</v>
      </c>
      <c r="C427" s="1" t="n">
        <v>45790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59639-2021</t>
        </is>
      </c>
      <c r="B428" s="1" t="n">
        <v>44493</v>
      </c>
      <c r="C428" s="1" t="n">
        <v>45790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59641-2021</t>
        </is>
      </c>
      <c r="B429" s="1" t="n">
        <v>44493</v>
      </c>
      <c r="C429" s="1" t="n">
        <v>45790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60289-2021</t>
        </is>
      </c>
      <c r="B430" s="1" t="n">
        <v>44495</v>
      </c>
      <c r="C430" s="1" t="n">
        <v>45790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61109-2021</t>
        </is>
      </c>
      <c r="B431" s="1" t="n">
        <v>44495</v>
      </c>
      <c r="C431" s="1" t="n">
        <v>45790</v>
      </c>
      <c r="D431" t="inlineStr">
        <is>
          <t>VÄRMLANDS LÄN</t>
        </is>
      </c>
      <c r="E431" t="inlineStr">
        <is>
          <t>KARLSTAD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61099-2021</t>
        </is>
      </c>
      <c r="B432" s="1" t="n">
        <v>44498</v>
      </c>
      <c r="C432" s="1" t="n">
        <v>45790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61105-2021</t>
        </is>
      </c>
      <c r="B433" s="1" t="n">
        <v>44498</v>
      </c>
      <c r="C433" s="1" t="n">
        <v>45790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61514-2021</t>
        </is>
      </c>
      <c r="B434" s="1" t="n">
        <v>44501</v>
      </c>
      <c r="C434" s="1" t="n">
        <v>45790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61836-2021</t>
        </is>
      </c>
      <c r="B435" s="1" t="n">
        <v>44501</v>
      </c>
      <c r="C435" s="1" t="n">
        <v>45790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45790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62546-2021</t>
        </is>
      </c>
      <c r="B437" s="1" t="n">
        <v>44503</v>
      </c>
      <c r="C437" s="1" t="n">
        <v>45790</v>
      </c>
      <c r="D437" t="inlineStr">
        <is>
          <t>VÄRMLANDS LÄN</t>
        </is>
      </c>
      <c r="E437" t="inlineStr">
        <is>
          <t>KARLSTAD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65015-2021</t>
        </is>
      </c>
      <c r="B438" s="1" t="n">
        <v>44515</v>
      </c>
      <c r="C438" s="1" t="n">
        <v>45790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65630-2021</t>
        </is>
      </c>
      <c r="B439" s="1" t="n">
        <v>44516</v>
      </c>
      <c r="C439" s="1" t="n">
        <v>45790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65625-2021</t>
        </is>
      </c>
      <c r="B440" s="1" t="n">
        <v>44516</v>
      </c>
      <c r="C440" s="1" t="n">
        <v>45790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66327-2021</t>
        </is>
      </c>
      <c r="B441" s="1" t="n">
        <v>44518</v>
      </c>
      <c r="C441" s="1" t="n">
        <v>45790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66322-2021</t>
        </is>
      </c>
      <c r="B442" s="1" t="n">
        <v>44518</v>
      </c>
      <c r="C442" s="1" t="n">
        <v>45790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66323-2021</t>
        </is>
      </c>
      <c r="B443" s="1" t="n">
        <v>44518</v>
      </c>
      <c r="C443" s="1" t="n">
        <v>45790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66329-2021</t>
        </is>
      </c>
      <c r="B444" s="1" t="n">
        <v>44518</v>
      </c>
      <c r="C444" s="1" t="n">
        <v>45790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66635-2021</t>
        </is>
      </c>
      <c r="B445" s="1" t="n">
        <v>44519</v>
      </c>
      <c r="C445" s="1" t="n">
        <v>45790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66642-2021</t>
        </is>
      </c>
      <c r="B446" s="1" t="n">
        <v>44519</v>
      </c>
      <c r="C446" s="1" t="n">
        <v>45790</v>
      </c>
      <c r="D446" t="inlineStr">
        <is>
          <t>VÄRMLANDS LÄN</t>
        </is>
      </c>
      <c r="E446" t="inlineStr">
        <is>
          <t>KARLSTAD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68011-2021</t>
        </is>
      </c>
      <c r="B447" s="1" t="n">
        <v>44525</v>
      </c>
      <c r="C447" s="1" t="n">
        <v>45790</v>
      </c>
      <c r="D447" t="inlineStr">
        <is>
          <t>VÄRMLANDS LÄN</t>
        </is>
      </c>
      <c r="E447" t="inlineStr">
        <is>
          <t>KARLSTAD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69008-2021</t>
        </is>
      </c>
      <c r="B448" s="1" t="n">
        <v>44530</v>
      </c>
      <c r="C448" s="1" t="n">
        <v>45790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68839-2021</t>
        </is>
      </c>
      <c r="B449" s="1" t="n">
        <v>44530</v>
      </c>
      <c r="C449" s="1" t="n">
        <v>45790</v>
      </c>
      <c r="D449" t="inlineStr">
        <is>
          <t>VÄRMLANDS LÄN</t>
        </is>
      </c>
      <c r="E449" t="inlineStr">
        <is>
          <t>KARLSTAD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69428-2021</t>
        </is>
      </c>
      <c r="B450" s="1" t="n">
        <v>44531</v>
      </c>
      <c r="C450" s="1" t="n">
        <v>45790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70059-2021</t>
        </is>
      </c>
      <c r="B451" s="1" t="n">
        <v>44533</v>
      </c>
      <c r="C451" s="1" t="n">
        <v>45790</v>
      </c>
      <c r="D451" t="inlineStr">
        <is>
          <t>VÄRMLANDS LÄN</t>
        </is>
      </c>
      <c r="E451" t="inlineStr">
        <is>
          <t>KARLSTAD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70127-2021</t>
        </is>
      </c>
      <c r="B452" s="1" t="n">
        <v>44533</v>
      </c>
      <c r="C452" s="1" t="n">
        <v>45790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70123-2021</t>
        </is>
      </c>
      <c r="B453" s="1" t="n">
        <v>44533</v>
      </c>
      <c r="C453" s="1" t="n">
        <v>45790</v>
      </c>
      <c r="D453" t="inlineStr">
        <is>
          <t>VÄRMLANDS LÄN</t>
        </is>
      </c>
      <c r="E453" t="inlineStr">
        <is>
          <t>KARLSTAD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70144-2021</t>
        </is>
      </c>
      <c r="B454" s="1" t="n">
        <v>44533</v>
      </c>
      <c r="C454" s="1" t="n">
        <v>45790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70254-2021</t>
        </is>
      </c>
      <c r="B455" s="1" t="n">
        <v>44536</v>
      </c>
      <c r="C455" s="1" t="n">
        <v>45790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70921-2021</t>
        </is>
      </c>
      <c r="B456" s="1" t="n">
        <v>44537</v>
      </c>
      <c r="C456" s="1" t="n">
        <v>45790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72013-2021</t>
        </is>
      </c>
      <c r="B457" s="1" t="n">
        <v>44544</v>
      </c>
      <c r="C457" s="1" t="n">
        <v>45790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72072-2021</t>
        </is>
      </c>
      <c r="B458" s="1" t="n">
        <v>44544</v>
      </c>
      <c r="C458" s="1" t="n">
        <v>45790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72339-2021</t>
        </is>
      </c>
      <c r="B459" s="1" t="n">
        <v>44544</v>
      </c>
      <c r="C459" s="1" t="n">
        <v>45790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72346-2021</t>
        </is>
      </c>
      <c r="B460" s="1" t="n">
        <v>44544</v>
      </c>
      <c r="C460" s="1" t="n">
        <v>45790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</v>
      </c>
      <c r="C461" s="1" t="n">
        <v>45790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73004-2021</t>
        </is>
      </c>
      <c r="B462" s="1" t="n">
        <v>44547</v>
      </c>
      <c r="C462" s="1" t="n">
        <v>45790</v>
      </c>
      <c r="D462" t="inlineStr">
        <is>
          <t>VÄRMLANDS LÄN</t>
        </is>
      </c>
      <c r="E462" t="inlineStr">
        <is>
          <t>KARLSTAD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73318-2021</t>
        </is>
      </c>
      <c r="B463" s="1" t="n">
        <v>44550</v>
      </c>
      <c r="C463" s="1" t="n">
        <v>45790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73315-2021</t>
        </is>
      </c>
      <c r="B464" s="1" t="n">
        <v>44550</v>
      </c>
      <c r="C464" s="1" t="n">
        <v>45790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73753-2021</t>
        </is>
      </c>
      <c r="B465" s="1" t="n">
        <v>44552</v>
      </c>
      <c r="C465" s="1" t="n">
        <v>45790</v>
      </c>
      <c r="D465" t="inlineStr">
        <is>
          <t>VÄRMLANDS LÄN</t>
        </is>
      </c>
      <c r="E465" t="inlineStr">
        <is>
          <t>KARLSTAD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74512-2021</t>
        </is>
      </c>
      <c r="B466" s="1" t="n">
        <v>44561</v>
      </c>
      <c r="C466" s="1" t="n">
        <v>45790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546-2022</t>
        </is>
      </c>
      <c r="B467" s="1" t="n">
        <v>44566</v>
      </c>
      <c r="C467" s="1" t="n">
        <v>45790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460-2022</t>
        </is>
      </c>
      <c r="B468" s="1" t="n">
        <v>44566</v>
      </c>
      <c r="C468" s="1" t="n">
        <v>45790</v>
      </c>
      <c r="D468" t="inlineStr">
        <is>
          <t>VÄRMLANDS LÄN</t>
        </is>
      </c>
      <c r="E468" t="inlineStr">
        <is>
          <t>KARLSTAD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45790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970-2022</t>
        </is>
      </c>
      <c r="B470" s="1" t="n">
        <v>44571</v>
      </c>
      <c r="C470" s="1" t="n">
        <v>45790</v>
      </c>
      <c r="D470" t="inlineStr">
        <is>
          <t>VÄRMLANDS LÄN</t>
        </is>
      </c>
      <c r="E470" t="inlineStr">
        <is>
          <t>KARLSTAD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1496-2022</t>
        </is>
      </c>
      <c r="B471" s="1" t="n">
        <v>44573</v>
      </c>
      <c r="C471" s="1" t="n">
        <v>45790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1811-2022</t>
        </is>
      </c>
      <c r="B472" s="1" t="n">
        <v>44574</v>
      </c>
      <c r="C472" s="1" t="n">
        <v>45790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2135-2022</t>
        </is>
      </c>
      <c r="B473" s="1" t="n">
        <v>44578</v>
      </c>
      <c r="C473" s="1" t="n">
        <v>45790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2812-2022</t>
        </is>
      </c>
      <c r="B474" s="1" t="n">
        <v>44581</v>
      </c>
      <c r="C474" s="1" t="n">
        <v>45790</v>
      </c>
      <c r="D474" t="inlineStr">
        <is>
          <t>VÄRMLANDS LÄN</t>
        </is>
      </c>
      <c r="E474" t="inlineStr">
        <is>
          <t>KARLSTAD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3440-2022</t>
        </is>
      </c>
      <c r="B475" s="1" t="n">
        <v>44585</v>
      </c>
      <c r="C475" s="1" t="n">
        <v>45790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4230-2022</t>
        </is>
      </c>
      <c r="B476" s="1" t="n">
        <v>44588</v>
      </c>
      <c r="C476" s="1" t="n">
        <v>45790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4373-2022</t>
        </is>
      </c>
      <c r="B477" s="1" t="n">
        <v>44589</v>
      </c>
      <c r="C477" s="1" t="n">
        <v>45790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5038-2022</t>
        </is>
      </c>
      <c r="B478" s="1" t="n">
        <v>44593</v>
      </c>
      <c r="C478" s="1" t="n">
        <v>45790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5057-2022</t>
        </is>
      </c>
      <c r="B479" s="1" t="n">
        <v>44593</v>
      </c>
      <c r="C479" s="1" t="n">
        <v>45790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5017-2022</t>
        </is>
      </c>
      <c r="B480" s="1" t="n">
        <v>44593</v>
      </c>
      <c r="C480" s="1" t="n">
        <v>45790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5056-2022</t>
        </is>
      </c>
      <c r="B481" s="1" t="n">
        <v>44593</v>
      </c>
      <c r="C481" s="1" t="n">
        <v>45790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5448-2022</t>
        </is>
      </c>
      <c r="B482" s="1" t="n">
        <v>44594</v>
      </c>
      <c r="C482" s="1" t="n">
        <v>45790</v>
      </c>
      <c r="D482" t="inlineStr">
        <is>
          <t>VÄRMLANDS LÄN</t>
        </is>
      </c>
      <c r="E482" t="inlineStr">
        <is>
          <t>KARLSTAD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5461-2022</t>
        </is>
      </c>
      <c r="B483" s="1" t="n">
        <v>44594</v>
      </c>
      <c r="C483" s="1" t="n">
        <v>45790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5458-2022</t>
        </is>
      </c>
      <c r="B484" s="1" t="n">
        <v>44594</v>
      </c>
      <c r="C484" s="1" t="n">
        <v>45790</v>
      </c>
      <c r="D484" t="inlineStr">
        <is>
          <t>VÄRMLANDS LÄN</t>
        </is>
      </c>
      <c r="E484" t="inlineStr">
        <is>
          <t>KARLSTAD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5535-2022</t>
        </is>
      </c>
      <c r="B485" s="1" t="n">
        <v>44595</v>
      </c>
      <c r="C485" s="1" t="n">
        <v>45790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6061-2022</t>
        </is>
      </c>
      <c r="B486" s="1" t="n">
        <v>44599</v>
      </c>
      <c r="C486" s="1" t="n">
        <v>45790</v>
      </c>
      <c r="D486" t="inlineStr">
        <is>
          <t>VÄRMLANDS LÄN</t>
        </is>
      </c>
      <c r="E486" t="inlineStr">
        <is>
          <t>KARLSTAD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6163-2022</t>
        </is>
      </c>
      <c r="B487" s="1" t="n">
        <v>44599</v>
      </c>
      <c r="C487" s="1" t="n">
        <v>45790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6174-2022</t>
        </is>
      </c>
      <c r="B488" s="1" t="n">
        <v>44599</v>
      </c>
      <c r="C488" s="1" t="n">
        <v>45790</v>
      </c>
      <c r="D488" t="inlineStr">
        <is>
          <t>VÄRMLANDS LÄN</t>
        </is>
      </c>
      <c r="E488" t="inlineStr">
        <is>
          <t>KARLSTAD</t>
        </is>
      </c>
      <c r="G488" t="n">
        <v>22.8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45790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7491-2022</t>
        </is>
      </c>
      <c r="B490" s="1" t="n">
        <v>44607</v>
      </c>
      <c r="C490" s="1" t="n">
        <v>45790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7893-2022</t>
        </is>
      </c>
      <c r="B491" s="1" t="n">
        <v>44608</v>
      </c>
      <c r="C491" s="1" t="n">
        <v>45790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8483-2022</t>
        </is>
      </c>
      <c r="B492" s="1" t="n">
        <v>44613</v>
      </c>
      <c r="C492" s="1" t="n">
        <v>45790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9896-2022</t>
        </is>
      </c>
      <c r="B493" s="1" t="n">
        <v>44620</v>
      </c>
      <c r="C493" s="1" t="n">
        <v>45790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10109-2022</t>
        </is>
      </c>
      <c r="B494" s="1" t="n">
        <v>44621</v>
      </c>
      <c r="C494" s="1" t="n">
        <v>45790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10155-2022</t>
        </is>
      </c>
      <c r="B495" s="1" t="n">
        <v>44622</v>
      </c>
      <c r="C495" s="1" t="n">
        <v>45790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10162-2022</t>
        </is>
      </c>
      <c r="B496" s="1" t="n">
        <v>44622</v>
      </c>
      <c r="C496" s="1" t="n">
        <v>45790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10376-2022</t>
        </is>
      </c>
      <c r="B497" s="1" t="n">
        <v>44623</v>
      </c>
      <c r="C497" s="1" t="n">
        <v>45790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10485-2022</t>
        </is>
      </c>
      <c r="B498" s="1" t="n">
        <v>44623</v>
      </c>
      <c r="C498" s="1" t="n">
        <v>45790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10802-2022</t>
        </is>
      </c>
      <c r="B499" s="1" t="n">
        <v>44627</v>
      </c>
      <c r="C499" s="1" t="n">
        <v>45790</v>
      </c>
      <c r="D499" t="inlineStr">
        <is>
          <t>VÄRMLANDS LÄN</t>
        </is>
      </c>
      <c r="E499" t="inlineStr">
        <is>
          <t>KARLSTAD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10796-2022</t>
        </is>
      </c>
      <c r="B500" s="1" t="n">
        <v>44627</v>
      </c>
      <c r="C500" s="1" t="n">
        <v>45790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11671-2022</t>
        </is>
      </c>
      <c r="B501" s="1" t="n">
        <v>44633</v>
      </c>
      <c r="C501" s="1" t="n">
        <v>45790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11697-2022</t>
        </is>
      </c>
      <c r="B502" s="1" t="n">
        <v>44634</v>
      </c>
      <c r="C502" s="1" t="n">
        <v>45790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11700-2022</t>
        </is>
      </c>
      <c r="B503" s="1" t="n">
        <v>44634</v>
      </c>
      <c r="C503" s="1" t="n">
        <v>45790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11829-2022</t>
        </is>
      </c>
      <c r="B504" s="1" t="n">
        <v>44634</v>
      </c>
      <c r="C504" s="1" t="n">
        <v>45790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11977-2022</t>
        </is>
      </c>
      <c r="B505" s="1" t="n">
        <v>44635</v>
      </c>
      <c r="C505" s="1" t="n">
        <v>45790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13806-2022</t>
        </is>
      </c>
      <c r="B506" s="1" t="n">
        <v>44649</v>
      </c>
      <c r="C506" s="1" t="n">
        <v>45790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13830-2022</t>
        </is>
      </c>
      <c r="B507" s="1" t="n">
        <v>44649</v>
      </c>
      <c r="C507" s="1" t="n">
        <v>45790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45790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13864-2022</t>
        </is>
      </c>
      <c r="B509" s="1" t="n">
        <v>44649</v>
      </c>
      <c r="C509" s="1" t="n">
        <v>45790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13882-2022</t>
        </is>
      </c>
      <c r="B510" s="1" t="n">
        <v>44650</v>
      </c>
      <c r="C510" s="1" t="n">
        <v>45790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13999-2022</t>
        </is>
      </c>
      <c r="B511" s="1" t="n">
        <v>44650</v>
      </c>
      <c r="C511" s="1" t="n">
        <v>45790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14401-2022</t>
        </is>
      </c>
      <c r="B512" s="1" t="n">
        <v>44652</v>
      </c>
      <c r="C512" s="1" t="n">
        <v>45790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14467-2022</t>
        </is>
      </c>
      <c r="B513" s="1" t="n">
        <v>44654</v>
      </c>
      <c r="C513" s="1" t="n">
        <v>45790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14854-2022</t>
        </is>
      </c>
      <c r="B514" s="1" t="n">
        <v>44656</v>
      </c>
      <c r="C514" s="1" t="n">
        <v>45790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14916-2022</t>
        </is>
      </c>
      <c r="B515" s="1" t="n">
        <v>44657</v>
      </c>
      <c r="C515" s="1" t="n">
        <v>45790</v>
      </c>
      <c r="D515" t="inlineStr">
        <is>
          <t>VÄRMLANDS LÄN</t>
        </is>
      </c>
      <c r="E515" t="inlineStr">
        <is>
          <t>KARLSTAD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15558-2022</t>
        </is>
      </c>
      <c r="B516" s="1" t="n">
        <v>44662</v>
      </c>
      <c r="C516" s="1" t="n">
        <v>45790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45790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15831-2022</t>
        </is>
      </c>
      <c r="B518" s="1" t="n">
        <v>44664</v>
      </c>
      <c r="C518" s="1" t="n">
        <v>45790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16154-2022</t>
        </is>
      </c>
      <c r="B519" s="1" t="n">
        <v>44666</v>
      </c>
      <c r="C519" s="1" t="n">
        <v>45790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16217-2022</t>
        </is>
      </c>
      <c r="B520" s="1" t="n">
        <v>44669</v>
      </c>
      <c r="C520" s="1" t="n">
        <v>45790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16457-2022</t>
        </is>
      </c>
      <c r="B521" s="1" t="n">
        <v>44671</v>
      </c>
      <c r="C521" s="1" t="n">
        <v>45790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16491-2022</t>
        </is>
      </c>
      <c r="B522" s="1" t="n">
        <v>44671</v>
      </c>
      <c r="C522" s="1" t="n">
        <v>45790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16560-2022</t>
        </is>
      </c>
      <c r="B523" s="1" t="n">
        <v>44672</v>
      </c>
      <c r="C523" s="1" t="n">
        <v>45790</v>
      </c>
      <c r="D523" t="inlineStr">
        <is>
          <t>VÄRMLANDS LÄN</t>
        </is>
      </c>
      <c r="E523" t="inlineStr">
        <is>
          <t>KARLSTAD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16628-2022</t>
        </is>
      </c>
      <c r="B524" s="1" t="n">
        <v>44672</v>
      </c>
      <c r="C524" s="1" t="n">
        <v>45790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16563-2022</t>
        </is>
      </c>
      <c r="B525" s="1" t="n">
        <v>44672</v>
      </c>
      <c r="C525" s="1" t="n">
        <v>45790</v>
      </c>
      <c r="D525" t="inlineStr">
        <is>
          <t>VÄRMLANDS LÄN</t>
        </is>
      </c>
      <c r="E525" t="inlineStr">
        <is>
          <t>KARLSTAD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17318-2022</t>
        </is>
      </c>
      <c r="B526" s="1" t="n">
        <v>44678</v>
      </c>
      <c r="C526" s="1" t="n">
        <v>45790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17516-2022</t>
        </is>
      </c>
      <c r="B527" s="1" t="n">
        <v>44679</v>
      </c>
      <c r="C527" s="1" t="n">
        <v>45790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17916-2022</t>
        </is>
      </c>
      <c r="B528" s="1" t="n">
        <v>44683</v>
      </c>
      <c r="C528" s="1" t="n">
        <v>45790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18332-2022</t>
        </is>
      </c>
      <c r="B529" s="1" t="n">
        <v>44685</v>
      </c>
      <c r="C529" s="1" t="n">
        <v>45790</v>
      </c>
      <c r="D529" t="inlineStr">
        <is>
          <t>VÄRMLANDS LÄN</t>
        </is>
      </c>
      <c r="E529" t="inlineStr">
        <is>
          <t>KARLSTAD</t>
        </is>
      </c>
      <c r="F529" t="inlineStr">
        <is>
          <t>Naturvårdsverket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18253-2022</t>
        </is>
      </c>
      <c r="B530" s="1" t="n">
        <v>44685</v>
      </c>
      <c r="C530" s="1" t="n">
        <v>45790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18470-2022</t>
        </is>
      </c>
      <c r="B531" s="1" t="n">
        <v>44686</v>
      </c>
      <c r="C531" s="1" t="n">
        <v>45790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18471-2022</t>
        </is>
      </c>
      <c r="B532" s="1" t="n">
        <v>44686</v>
      </c>
      <c r="C532" s="1" t="n">
        <v>45790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18697-2022</t>
        </is>
      </c>
      <c r="B533" s="1" t="n">
        <v>44687</v>
      </c>
      <c r="C533" s="1" t="n">
        <v>45790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20237-2022</t>
        </is>
      </c>
      <c r="B534" s="1" t="n">
        <v>44698</v>
      </c>
      <c r="C534" s="1" t="n">
        <v>45790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20234-2022</t>
        </is>
      </c>
      <c r="B535" s="1" t="n">
        <v>44698</v>
      </c>
      <c r="C535" s="1" t="n">
        <v>45790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20241-2022</t>
        </is>
      </c>
      <c r="B536" s="1" t="n">
        <v>44698</v>
      </c>
      <c r="C536" s="1" t="n">
        <v>45790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20777-2022</t>
        </is>
      </c>
      <c r="B537" s="1" t="n">
        <v>44701</v>
      </c>
      <c r="C537" s="1" t="n">
        <v>45790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21498-2022</t>
        </is>
      </c>
      <c r="B538" s="1" t="n">
        <v>44706</v>
      </c>
      <c r="C538" s="1" t="n">
        <v>45790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21609-2022</t>
        </is>
      </c>
      <c r="B539" s="1" t="n">
        <v>44706</v>
      </c>
      <c r="C539" s="1" t="n">
        <v>45790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25799-2022</t>
        </is>
      </c>
      <c r="B540" s="1" t="n">
        <v>44708</v>
      </c>
      <c r="C540" s="1" t="n">
        <v>45790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25791-2022</t>
        </is>
      </c>
      <c r="B541" s="1" t="n">
        <v>44708</v>
      </c>
      <c r="C541" s="1" t="n">
        <v>45790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22006-2022</t>
        </is>
      </c>
      <c r="B542" s="1" t="n">
        <v>44711</v>
      </c>
      <c r="C542" s="1" t="n">
        <v>45790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22205-2022</t>
        </is>
      </c>
      <c r="B543" s="1" t="n">
        <v>44712</v>
      </c>
      <c r="C543" s="1" t="n">
        <v>45790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45790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24648-2022</t>
        </is>
      </c>
      <c r="B545" s="1" t="n">
        <v>44727</v>
      </c>
      <c r="C545" s="1" t="n">
        <v>45790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25829-2022</t>
        </is>
      </c>
      <c r="B546" s="1" t="n">
        <v>44733</v>
      </c>
      <c r="C546" s="1" t="n">
        <v>45790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45790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26443-2022</t>
        </is>
      </c>
      <c r="B548" s="1" t="n">
        <v>44738</v>
      </c>
      <c r="C548" s="1" t="n">
        <v>45790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26922-2022</t>
        </is>
      </c>
      <c r="B549" s="1" t="n">
        <v>44740</v>
      </c>
      <c r="C549" s="1" t="n">
        <v>45790</v>
      </c>
      <c r="D549" t="inlineStr">
        <is>
          <t>VÄRMLANDS LÄN</t>
        </is>
      </c>
      <c r="E549" t="inlineStr">
        <is>
          <t>KARLSTAD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28117-2022</t>
        </is>
      </c>
      <c r="B550" s="1" t="n">
        <v>44746</v>
      </c>
      <c r="C550" s="1" t="n">
        <v>45790</v>
      </c>
      <c r="D550" t="inlineStr">
        <is>
          <t>VÄRMLANDS LÄN</t>
        </is>
      </c>
      <c r="E550" t="inlineStr">
        <is>
          <t>KARLSTAD</t>
        </is>
      </c>
      <c r="F550" t="inlineStr">
        <is>
          <t>Naturvårdsverket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28154-2022</t>
        </is>
      </c>
      <c r="B551" s="1" t="n">
        <v>44746</v>
      </c>
      <c r="C551" s="1" t="n">
        <v>45790</v>
      </c>
      <c r="D551" t="inlineStr">
        <is>
          <t>VÄRMLANDS LÄN</t>
        </is>
      </c>
      <c r="E551" t="inlineStr">
        <is>
          <t>KARLSTAD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28829-2022</t>
        </is>
      </c>
      <c r="B552" s="1" t="n">
        <v>44749</v>
      </c>
      <c r="C552" s="1" t="n">
        <v>45790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29655-2022</t>
        </is>
      </c>
      <c r="B553" s="1" t="n">
        <v>44754</v>
      </c>
      <c r="C553" s="1" t="n">
        <v>45790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29654-2022</t>
        </is>
      </c>
      <c r="B554" s="1" t="n">
        <v>44754</v>
      </c>
      <c r="C554" s="1" t="n">
        <v>45790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30153-2022</t>
        </is>
      </c>
      <c r="B555" s="1" t="n">
        <v>44757</v>
      </c>
      <c r="C555" s="1" t="n">
        <v>45790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30692-2022</t>
        </is>
      </c>
      <c r="B556" s="1" t="n">
        <v>44763</v>
      </c>
      <c r="C556" s="1" t="n">
        <v>45790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32282-2022</t>
        </is>
      </c>
      <c r="B557" s="1" t="n">
        <v>44781</v>
      </c>
      <c r="C557" s="1" t="n">
        <v>45790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32286-2022</t>
        </is>
      </c>
      <c r="B558" s="1" t="n">
        <v>44781</v>
      </c>
      <c r="C558" s="1" t="n">
        <v>45790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32876-2022</t>
        </is>
      </c>
      <c r="B559" s="1" t="n">
        <v>44784</v>
      </c>
      <c r="C559" s="1" t="n">
        <v>45790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32902-2022</t>
        </is>
      </c>
      <c r="B560" s="1" t="n">
        <v>44784</v>
      </c>
      <c r="C560" s="1" t="n">
        <v>45790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33006-2022</t>
        </is>
      </c>
      <c r="B561" s="1" t="n">
        <v>44785</v>
      </c>
      <c r="C561" s="1" t="n">
        <v>45790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33334-2022</t>
        </is>
      </c>
      <c r="B562" s="1" t="n">
        <v>44788</v>
      </c>
      <c r="C562" s="1" t="n">
        <v>45790</v>
      </c>
      <c r="D562" t="inlineStr">
        <is>
          <t>VÄRMLANDS LÄN</t>
        </is>
      </c>
      <c r="E562" t="inlineStr">
        <is>
          <t>KARLSTAD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34458-2022</t>
        </is>
      </c>
      <c r="B563" s="1" t="n">
        <v>44792</v>
      </c>
      <c r="C563" s="1" t="n">
        <v>45790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35567-2022</t>
        </is>
      </c>
      <c r="B564" s="1" t="n">
        <v>44799</v>
      </c>
      <c r="C564" s="1" t="n">
        <v>45790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36422-2022</t>
        </is>
      </c>
      <c r="B565" s="1" t="n">
        <v>44804</v>
      </c>
      <c r="C565" s="1" t="n">
        <v>45790</v>
      </c>
      <c r="D565" t="inlineStr">
        <is>
          <t>VÄRMLANDS LÄN</t>
        </is>
      </c>
      <c r="E565" t="inlineStr">
        <is>
          <t>KARLSTAD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36884-2022</t>
        </is>
      </c>
      <c r="B566" s="1" t="n">
        <v>44805</v>
      </c>
      <c r="C566" s="1" t="n">
        <v>45790</v>
      </c>
      <c r="D566" t="inlineStr">
        <is>
          <t>VÄRMLANDS LÄN</t>
        </is>
      </c>
      <c r="E566" t="inlineStr">
        <is>
          <t>KARLSTAD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37298-2022</t>
        </is>
      </c>
      <c r="B567" s="1" t="n">
        <v>44808</v>
      </c>
      <c r="C567" s="1" t="n">
        <v>45790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38298-2022</t>
        </is>
      </c>
      <c r="B568" s="1" t="n">
        <v>44812</v>
      </c>
      <c r="C568" s="1" t="n">
        <v>45790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38770-2022</t>
        </is>
      </c>
      <c r="B569" s="1" t="n">
        <v>44816</v>
      </c>
      <c r="C569" s="1" t="n">
        <v>45790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45790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40855-2022</t>
        </is>
      </c>
      <c r="B571" s="1" t="n">
        <v>44825</v>
      </c>
      <c r="C571" s="1" t="n">
        <v>45790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44080-2022</t>
        </is>
      </c>
      <c r="B572" s="1" t="n">
        <v>44839</v>
      </c>
      <c r="C572" s="1" t="n">
        <v>45790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45757-2022</t>
        </is>
      </c>
      <c r="B573" s="1" t="n">
        <v>44846</v>
      </c>
      <c r="C573" s="1" t="n">
        <v>45790</v>
      </c>
      <c r="D573" t="inlineStr">
        <is>
          <t>VÄRMLANDS LÄN</t>
        </is>
      </c>
      <c r="E573" t="inlineStr">
        <is>
          <t>KARLSTAD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47203-2022</t>
        </is>
      </c>
      <c r="B574" s="1" t="n">
        <v>44852</v>
      </c>
      <c r="C574" s="1" t="n">
        <v>45790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47349-2022</t>
        </is>
      </c>
      <c r="B575" s="1" t="n">
        <v>44852</v>
      </c>
      <c r="C575" s="1" t="n">
        <v>45790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47330-2022</t>
        </is>
      </c>
      <c r="B576" s="1" t="n">
        <v>44853</v>
      </c>
      <c r="C576" s="1" t="n">
        <v>45790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48984-2022</t>
        </is>
      </c>
      <c r="B577" s="1" t="n">
        <v>44855</v>
      </c>
      <c r="C577" s="1" t="n">
        <v>45790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45790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49285-2022</t>
        </is>
      </c>
      <c r="B579" s="1" t="n">
        <v>44861</v>
      </c>
      <c r="C579" s="1" t="n">
        <v>45790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50803-2022</t>
        </is>
      </c>
      <c r="B580" s="1" t="n">
        <v>44867</v>
      </c>
      <c r="C580" s="1" t="n">
        <v>45790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51241-2022</t>
        </is>
      </c>
      <c r="B581" s="1" t="n">
        <v>44868</v>
      </c>
      <c r="C581" s="1" t="n">
        <v>45790</v>
      </c>
      <c r="D581" t="inlineStr">
        <is>
          <t>VÄRMLANDS LÄN</t>
        </is>
      </c>
      <c r="E581" t="inlineStr">
        <is>
          <t>KARLSTAD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51246-2022</t>
        </is>
      </c>
      <c r="B582" s="1" t="n">
        <v>44868</v>
      </c>
      <c r="C582" s="1" t="n">
        <v>45790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51792-2022</t>
        </is>
      </c>
      <c r="B583" s="1" t="n">
        <v>44872</v>
      </c>
      <c r="C583" s="1" t="n">
        <v>45790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51914-2022</t>
        </is>
      </c>
      <c r="B584" s="1" t="n">
        <v>44872</v>
      </c>
      <c r="C584" s="1" t="n">
        <v>45790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53038-2022</t>
        </is>
      </c>
      <c r="B585" s="1" t="n">
        <v>44873</v>
      </c>
      <c r="C585" s="1" t="n">
        <v>45790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53141-2022</t>
        </is>
      </c>
      <c r="B586" s="1" t="n">
        <v>44876</v>
      </c>
      <c r="C586" s="1" t="n">
        <v>45790</v>
      </c>
      <c r="D586" t="inlineStr">
        <is>
          <t>VÄRMLANDS LÄN</t>
        </is>
      </c>
      <c r="E586" t="inlineStr">
        <is>
          <t>KARLSTAD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53048-2022</t>
        </is>
      </c>
      <c r="B587" s="1" t="n">
        <v>44876</v>
      </c>
      <c r="C587" s="1" t="n">
        <v>45790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54439-2022</t>
        </is>
      </c>
      <c r="B588" s="1" t="n">
        <v>44882</v>
      </c>
      <c r="C588" s="1" t="n">
        <v>45790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54415-2022</t>
        </is>
      </c>
      <c r="B589" s="1" t="n">
        <v>44882</v>
      </c>
      <c r="C589" s="1" t="n">
        <v>45790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54365-2022</t>
        </is>
      </c>
      <c r="B590" s="1" t="n">
        <v>44882</v>
      </c>
      <c r="C590" s="1" t="n">
        <v>45790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54442-2022</t>
        </is>
      </c>
      <c r="B591" s="1" t="n">
        <v>44882</v>
      </c>
      <c r="C591" s="1" t="n">
        <v>45790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54430-2022</t>
        </is>
      </c>
      <c r="B592" s="1" t="n">
        <v>44882</v>
      </c>
      <c r="C592" s="1" t="n">
        <v>45790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54441-2022</t>
        </is>
      </c>
      <c r="B593" s="1" t="n">
        <v>44882</v>
      </c>
      <c r="C593" s="1" t="n">
        <v>45790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54468-2022</t>
        </is>
      </c>
      <c r="B594" s="1" t="n">
        <v>44882</v>
      </c>
      <c r="C594" s="1" t="n">
        <v>45790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55250-2022</t>
        </is>
      </c>
      <c r="B595" s="1" t="n">
        <v>44887</v>
      </c>
      <c r="C595" s="1" t="n">
        <v>45790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45790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55764-2022</t>
        </is>
      </c>
      <c r="B597" s="1" t="n">
        <v>44888</v>
      </c>
      <c r="C597" s="1" t="n">
        <v>45790</v>
      </c>
      <c r="D597" t="inlineStr">
        <is>
          <t>VÄRMLANDS LÄN</t>
        </is>
      </c>
      <c r="E597" t="inlineStr">
        <is>
          <t>KARLSTAD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HYPERLINK("https://klasma.github.io/Logging_1780/knärot/A 55764-2022 karta knärot.png", "A 55764-2022")</f>
        <v/>
      </c>
      <c r="V597">
        <f>HYPERLINK("https://klasma.github.io/Logging_1780/klagomål/A 55764-2022 FSC-klagomål.docx", "A 55764-2022")</f>
        <v/>
      </c>
      <c r="W597">
        <f>HYPERLINK("https://klasma.github.io/Logging_1780/klagomålsmail/A 55764-2022 FSC-klagomål mail.docx", "A 55764-2022")</f>
        <v/>
      </c>
      <c r="X597">
        <f>HYPERLINK("https://klasma.github.io/Logging_1780/tillsyn/A 55764-2022 tillsynsbegäran.docx", "A 55764-2022")</f>
        <v/>
      </c>
      <c r="Y597">
        <f>HYPERLINK("https://klasma.github.io/Logging_1780/tillsynsmail/A 55764-2022 tillsynsbegäran mail.docx", "A 55764-2022")</f>
        <v/>
      </c>
    </row>
    <row r="598" ht="15" customHeight="1">
      <c r="A598" t="inlineStr">
        <is>
          <t>A 55819-2022</t>
        </is>
      </c>
      <c r="B598" s="1" t="n">
        <v>44888</v>
      </c>
      <c r="C598" s="1" t="n">
        <v>45790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</v>
      </c>
      <c r="C599" s="1" t="n">
        <v>45790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58538-2022</t>
        </is>
      </c>
      <c r="B600" s="1" t="n">
        <v>44894</v>
      </c>
      <c r="C600" s="1" t="n">
        <v>45790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57100-2022</t>
        </is>
      </c>
      <c r="B601" s="1" t="n">
        <v>44895</v>
      </c>
      <c r="C601" s="1" t="n">
        <v>45790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57392-2022</t>
        </is>
      </c>
      <c r="B602" s="1" t="n">
        <v>44896</v>
      </c>
      <c r="C602" s="1" t="n">
        <v>45790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45790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57445-2022</t>
        </is>
      </c>
      <c r="B604" s="1" t="n">
        <v>44896</v>
      </c>
      <c r="C604" s="1" t="n">
        <v>45790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57441-2022</t>
        </is>
      </c>
      <c r="B605" s="1" t="n">
        <v>44896</v>
      </c>
      <c r="C605" s="1" t="n">
        <v>45790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57504-2022</t>
        </is>
      </c>
      <c r="B606" s="1" t="n">
        <v>44896</v>
      </c>
      <c r="C606" s="1" t="n">
        <v>45790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58369-2022</t>
        </is>
      </c>
      <c r="B607" s="1" t="n">
        <v>44901</v>
      </c>
      <c r="C607" s="1" t="n">
        <v>45790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58459-2022</t>
        </is>
      </c>
      <c r="B608" s="1" t="n">
        <v>44902</v>
      </c>
      <c r="C608" s="1" t="n">
        <v>45790</v>
      </c>
      <c r="D608" t="inlineStr">
        <is>
          <t>VÄRMLANDS LÄN</t>
        </is>
      </c>
      <c r="E608" t="inlineStr">
        <is>
          <t>KARLSTAD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58456-2022</t>
        </is>
      </c>
      <c r="B609" s="1" t="n">
        <v>44902</v>
      </c>
      <c r="C609" s="1" t="n">
        <v>45790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59305-2022</t>
        </is>
      </c>
      <c r="B610" s="1" t="n">
        <v>44904</v>
      </c>
      <c r="C610" s="1" t="n">
        <v>45790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59319-2022</t>
        </is>
      </c>
      <c r="B611" s="1" t="n">
        <v>44904</v>
      </c>
      <c r="C611" s="1" t="n">
        <v>45790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59299-2022</t>
        </is>
      </c>
      <c r="B612" s="1" t="n">
        <v>44904</v>
      </c>
      <c r="C612" s="1" t="n">
        <v>45790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59295-2022</t>
        </is>
      </c>
      <c r="B613" s="1" t="n">
        <v>44904</v>
      </c>
      <c r="C613" s="1" t="n">
        <v>45790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59301-2022</t>
        </is>
      </c>
      <c r="B614" s="1" t="n">
        <v>44904</v>
      </c>
      <c r="C614" s="1" t="n">
        <v>45790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59674-2022</t>
        </is>
      </c>
      <c r="B615" s="1" t="n">
        <v>44908</v>
      </c>
      <c r="C615" s="1" t="n">
        <v>45790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59857-2022</t>
        </is>
      </c>
      <c r="B616" s="1" t="n">
        <v>44908</v>
      </c>
      <c r="C616" s="1" t="n">
        <v>45790</v>
      </c>
      <c r="D616" t="inlineStr">
        <is>
          <t>VÄRMLANDS LÄN</t>
        </is>
      </c>
      <c r="E616" t="inlineStr">
        <is>
          <t>KARLSTAD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45790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61032-2022</t>
        </is>
      </c>
      <c r="B618" s="1" t="n">
        <v>44914</v>
      </c>
      <c r="C618" s="1" t="n">
        <v>45790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61287-2022</t>
        </is>
      </c>
      <c r="B619" s="1" t="n">
        <v>44915</v>
      </c>
      <c r="C619" s="1" t="n">
        <v>45790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61350-2022</t>
        </is>
      </c>
      <c r="B620" s="1" t="n">
        <v>44915</v>
      </c>
      <c r="C620" s="1" t="n">
        <v>45790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355-2023</t>
        </is>
      </c>
      <c r="B621" s="1" t="n">
        <v>44923</v>
      </c>
      <c r="C621" s="1" t="n">
        <v>45790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126-2023</t>
        </is>
      </c>
      <c r="B622" s="1" t="n">
        <v>44928</v>
      </c>
      <c r="C622" s="1" t="n">
        <v>45790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1144-2023</t>
        </is>
      </c>
      <c r="B623" s="1" t="n">
        <v>44935</v>
      </c>
      <c r="C623" s="1" t="n">
        <v>45790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1450-2023</t>
        </is>
      </c>
      <c r="B624" s="1" t="n">
        <v>44937</v>
      </c>
      <c r="C624" s="1" t="n">
        <v>45790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1446-2023</t>
        </is>
      </c>
      <c r="B625" s="1" t="n">
        <v>44937</v>
      </c>
      <c r="C625" s="1" t="n">
        <v>45790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1675-2023</t>
        </is>
      </c>
      <c r="B626" s="1" t="n">
        <v>44938</v>
      </c>
      <c r="C626" s="1" t="n">
        <v>45790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2978-2023</t>
        </is>
      </c>
      <c r="B627" s="1" t="n">
        <v>44945</v>
      </c>
      <c r="C627" s="1" t="n">
        <v>45790</v>
      </c>
      <c r="D627" t="inlineStr">
        <is>
          <t>VÄRMLANDS LÄN</t>
        </is>
      </c>
      <c r="E627" t="inlineStr">
        <is>
          <t>KARLSTAD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</v>
      </c>
      <c r="C628" s="1" t="n">
        <v>45790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3736-2023</t>
        </is>
      </c>
      <c r="B629" s="1" t="n">
        <v>44949</v>
      </c>
      <c r="C629" s="1" t="n">
        <v>45790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3962-2023</t>
        </is>
      </c>
      <c r="B630" s="1" t="n">
        <v>44952</v>
      </c>
      <c r="C630" s="1" t="n">
        <v>45790</v>
      </c>
      <c r="D630" t="inlineStr">
        <is>
          <t>VÄRMLANDS LÄN</t>
        </is>
      </c>
      <c r="E630" t="inlineStr">
        <is>
          <t>KARLSTAD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3961-2023</t>
        </is>
      </c>
      <c r="B631" s="1" t="n">
        <v>44952</v>
      </c>
      <c r="C631" s="1" t="n">
        <v>45790</v>
      </c>
      <c r="D631" t="inlineStr">
        <is>
          <t>VÄRMLANDS LÄN</t>
        </is>
      </c>
      <c r="E631" t="inlineStr">
        <is>
          <t>KARLSTAD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4071-2023</t>
        </is>
      </c>
      <c r="B632" s="1" t="n">
        <v>44952</v>
      </c>
      <c r="C632" s="1" t="n">
        <v>45790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3954-2023</t>
        </is>
      </c>
      <c r="B633" s="1" t="n">
        <v>44952</v>
      </c>
      <c r="C633" s="1" t="n">
        <v>45790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6263-2023</t>
        </is>
      </c>
      <c r="B634" s="1" t="n">
        <v>44959</v>
      </c>
      <c r="C634" s="1" t="n">
        <v>45790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6260-2023</t>
        </is>
      </c>
      <c r="B635" s="1" t="n">
        <v>44959</v>
      </c>
      <c r="C635" s="1" t="n">
        <v>45790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6276-2023</t>
        </is>
      </c>
      <c r="B636" s="1" t="n">
        <v>44965</v>
      </c>
      <c r="C636" s="1" t="n">
        <v>45790</v>
      </c>
      <c r="D636" t="inlineStr">
        <is>
          <t>VÄRMLANDS LÄN</t>
        </is>
      </c>
      <c r="E636" t="inlineStr">
        <is>
          <t>KARLSTAD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7097-2023</t>
        </is>
      </c>
      <c r="B637" s="1" t="n">
        <v>44970</v>
      </c>
      <c r="C637" s="1" t="n">
        <v>45790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7840-2023</t>
        </is>
      </c>
      <c r="B638" s="1" t="n">
        <v>44973</v>
      </c>
      <c r="C638" s="1" t="n">
        <v>45790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7866-2023</t>
        </is>
      </c>
      <c r="B639" s="1" t="n">
        <v>44973</v>
      </c>
      <c r="C639" s="1" t="n">
        <v>45790</v>
      </c>
      <c r="D639" t="inlineStr">
        <is>
          <t>VÄRMLANDS LÄN</t>
        </is>
      </c>
      <c r="E639" t="inlineStr">
        <is>
          <t>KARLSTAD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7892-2023</t>
        </is>
      </c>
      <c r="B640" s="1" t="n">
        <v>44973</v>
      </c>
      <c r="C640" s="1" t="n">
        <v>45790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8195-2023</t>
        </is>
      </c>
      <c r="B641" s="1" t="n">
        <v>44974</v>
      </c>
      <c r="C641" s="1" t="n">
        <v>45790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8892-2023</t>
        </is>
      </c>
      <c r="B642" s="1" t="n">
        <v>44979</v>
      </c>
      <c r="C642" s="1" t="n">
        <v>45790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9470-2023</t>
        </is>
      </c>
      <c r="B643" s="1" t="n">
        <v>44981</v>
      </c>
      <c r="C643" s="1" t="n">
        <v>45790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9571-2023</t>
        </is>
      </c>
      <c r="B644" s="1" t="n">
        <v>44982</v>
      </c>
      <c r="C644" s="1" t="n">
        <v>45790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11370-2023</t>
        </is>
      </c>
      <c r="B645" s="1" t="n">
        <v>44985</v>
      </c>
      <c r="C645" s="1" t="n">
        <v>45790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11359-2023</t>
        </is>
      </c>
      <c r="B646" s="1" t="n">
        <v>44985</v>
      </c>
      <c r="C646" s="1" t="n">
        <v>45790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11355-2023</t>
        </is>
      </c>
      <c r="B647" s="1" t="n">
        <v>44985</v>
      </c>
      <c r="C647" s="1" t="n">
        <v>45790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10284-2023</t>
        </is>
      </c>
      <c r="B648" s="1" t="n">
        <v>44986</v>
      </c>
      <c r="C648" s="1" t="n">
        <v>45790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10288-2023</t>
        </is>
      </c>
      <c r="B649" s="1" t="n">
        <v>44986</v>
      </c>
      <c r="C649" s="1" t="n">
        <v>45790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11616-2023</t>
        </is>
      </c>
      <c r="B650" s="1" t="n">
        <v>44994</v>
      </c>
      <c r="C650" s="1" t="n">
        <v>45790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11620-2023</t>
        </is>
      </c>
      <c r="B651" s="1" t="n">
        <v>44994</v>
      </c>
      <c r="C651" s="1" t="n">
        <v>45790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11617-2023</t>
        </is>
      </c>
      <c r="B652" s="1" t="n">
        <v>44994</v>
      </c>
      <c r="C652" s="1" t="n">
        <v>45790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11621-2023</t>
        </is>
      </c>
      <c r="B653" s="1" t="n">
        <v>44994</v>
      </c>
      <c r="C653" s="1" t="n">
        <v>45790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12029-2023</t>
        </is>
      </c>
      <c r="B654" s="1" t="n">
        <v>44995</v>
      </c>
      <c r="C654" s="1" t="n">
        <v>45790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12110-2023</t>
        </is>
      </c>
      <c r="B655" s="1" t="n">
        <v>44998</v>
      </c>
      <c r="C655" s="1" t="n">
        <v>45790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12255-2023</t>
        </is>
      </c>
      <c r="B656" s="1" t="n">
        <v>44998</v>
      </c>
      <c r="C656" s="1" t="n">
        <v>45790</v>
      </c>
      <c r="D656" t="inlineStr">
        <is>
          <t>VÄRMLANDS LÄN</t>
        </is>
      </c>
      <c r="E656" t="inlineStr">
        <is>
          <t>KARLSTAD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12475-2023</t>
        </is>
      </c>
      <c r="B657" s="1" t="n">
        <v>44999</v>
      </c>
      <c r="C657" s="1" t="n">
        <v>45790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</v>
      </c>
      <c r="C658" s="1" t="n">
        <v>45790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13325-2023</t>
        </is>
      </c>
      <c r="B659" s="1" t="n">
        <v>45005</v>
      </c>
      <c r="C659" s="1" t="n">
        <v>45790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13863-2023</t>
        </is>
      </c>
      <c r="B660" s="1" t="n">
        <v>45007</v>
      </c>
      <c r="C660" s="1" t="n">
        <v>45790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14320-2023</t>
        </is>
      </c>
      <c r="B661" s="1" t="n">
        <v>45012</v>
      </c>
      <c r="C661" s="1" t="n">
        <v>45790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14580-2023</t>
        </is>
      </c>
      <c r="B662" s="1" t="n">
        <v>45013</v>
      </c>
      <c r="C662" s="1" t="n">
        <v>45790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14582-2023</t>
        </is>
      </c>
      <c r="B663" s="1" t="n">
        <v>45013</v>
      </c>
      <c r="C663" s="1" t="n">
        <v>45790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14966-2023</t>
        </is>
      </c>
      <c r="B664" s="1" t="n">
        <v>45015</v>
      </c>
      <c r="C664" s="1" t="n">
        <v>45790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15636-2023</t>
        </is>
      </c>
      <c r="B665" s="1" t="n">
        <v>45019</v>
      </c>
      <c r="C665" s="1" t="n">
        <v>45790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15733-2023</t>
        </is>
      </c>
      <c r="B666" s="1" t="n">
        <v>45020</v>
      </c>
      <c r="C666" s="1" t="n">
        <v>45790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15725-2023</t>
        </is>
      </c>
      <c r="B667" s="1" t="n">
        <v>45020</v>
      </c>
      <c r="C667" s="1" t="n">
        <v>45790</v>
      </c>
      <c r="D667" t="inlineStr">
        <is>
          <t>VÄRMLANDS LÄN</t>
        </is>
      </c>
      <c r="E667" t="inlineStr">
        <is>
          <t>KARLSTAD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16312-2023</t>
        </is>
      </c>
      <c r="B668" s="1" t="n">
        <v>45028</v>
      </c>
      <c r="C668" s="1" t="n">
        <v>45790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17249-2023</t>
        </is>
      </c>
      <c r="B669" s="1" t="n">
        <v>45035</v>
      </c>
      <c r="C669" s="1" t="n">
        <v>45790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17354-2023</t>
        </is>
      </c>
      <c r="B670" s="1" t="n">
        <v>45035</v>
      </c>
      <c r="C670" s="1" t="n">
        <v>45790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17364-2023</t>
        </is>
      </c>
      <c r="B671" s="1" t="n">
        <v>45035</v>
      </c>
      <c r="C671" s="1" t="n">
        <v>45790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17474-2023</t>
        </is>
      </c>
      <c r="B672" s="1" t="n">
        <v>45036</v>
      </c>
      <c r="C672" s="1" t="n">
        <v>45790</v>
      </c>
      <c r="D672" t="inlineStr">
        <is>
          <t>VÄRMLANDS LÄN</t>
        </is>
      </c>
      <c r="E672" t="inlineStr">
        <is>
          <t>KARLSTAD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17679-2023</t>
        </is>
      </c>
      <c r="B673" s="1" t="n">
        <v>45037</v>
      </c>
      <c r="C673" s="1" t="n">
        <v>45790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17900-2023</t>
        </is>
      </c>
      <c r="B674" s="1" t="n">
        <v>45037</v>
      </c>
      <c r="C674" s="1" t="n">
        <v>45790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17892-2023</t>
        </is>
      </c>
      <c r="B675" s="1" t="n">
        <v>45039</v>
      </c>
      <c r="C675" s="1" t="n">
        <v>45790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17890-2023</t>
        </is>
      </c>
      <c r="B676" s="1" t="n">
        <v>45039</v>
      </c>
      <c r="C676" s="1" t="n">
        <v>45790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17995-2023</t>
        </is>
      </c>
      <c r="B677" s="1" t="n">
        <v>45040</v>
      </c>
      <c r="C677" s="1" t="n">
        <v>45790</v>
      </c>
      <c r="D677" t="inlineStr">
        <is>
          <t>VÄRMLANDS LÄN</t>
        </is>
      </c>
      <c r="E677" t="inlineStr">
        <is>
          <t>KARLSTAD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17991-2023</t>
        </is>
      </c>
      <c r="B678" s="1" t="n">
        <v>45040</v>
      </c>
      <c r="C678" s="1" t="n">
        <v>45790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18317-2023</t>
        </is>
      </c>
      <c r="B679" s="1" t="n">
        <v>45041</v>
      </c>
      <c r="C679" s="1" t="n">
        <v>45790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18356-2023</t>
        </is>
      </c>
      <c r="B680" s="1" t="n">
        <v>45041</v>
      </c>
      <c r="C680" s="1" t="n">
        <v>45790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18633-2023</t>
        </is>
      </c>
      <c r="B681" s="1" t="n">
        <v>45041</v>
      </c>
      <c r="C681" s="1" t="n">
        <v>45790</v>
      </c>
      <c r="D681" t="inlineStr">
        <is>
          <t>VÄRMLANDS LÄN</t>
        </is>
      </c>
      <c r="E681" t="inlineStr">
        <is>
          <t>KARLSTAD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18625-2023</t>
        </is>
      </c>
      <c r="B682" s="1" t="n">
        <v>45041</v>
      </c>
      <c r="C682" s="1" t="n">
        <v>45790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19166-2023</t>
        </is>
      </c>
      <c r="B683" s="1" t="n">
        <v>45044</v>
      </c>
      <c r="C683" s="1" t="n">
        <v>45790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19143-2023</t>
        </is>
      </c>
      <c r="B684" s="1" t="n">
        <v>45048</v>
      </c>
      <c r="C684" s="1" t="n">
        <v>45790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19292-2023</t>
        </is>
      </c>
      <c r="B685" s="1" t="n">
        <v>45049</v>
      </c>
      <c r="C685" s="1" t="n">
        <v>45790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19291-2023</t>
        </is>
      </c>
      <c r="B686" s="1" t="n">
        <v>45049</v>
      </c>
      <c r="C686" s="1" t="n">
        <v>45790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19666-2023</t>
        </is>
      </c>
      <c r="B687" s="1" t="n">
        <v>45051</v>
      </c>
      <c r="C687" s="1" t="n">
        <v>45790</v>
      </c>
      <c r="D687" t="inlineStr">
        <is>
          <t>VÄRMLANDS LÄN</t>
        </is>
      </c>
      <c r="E687" t="inlineStr">
        <is>
          <t>KARLSTAD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21094-2023</t>
        </is>
      </c>
      <c r="B688" s="1" t="n">
        <v>45061</v>
      </c>
      <c r="C688" s="1" t="n">
        <v>45790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21629-2023</t>
        </is>
      </c>
      <c r="B689" s="1" t="n">
        <v>45062</v>
      </c>
      <c r="C689" s="1" t="n">
        <v>45790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21669-2023</t>
        </is>
      </c>
      <c r="B690" s="1" t="n">
        <v>45063</v>
      </c>
      <c r="C690" s="1" t="n">
        <v>45790</v>
      </c>
      <c r="D690" t="inlineStr">
        <is>
          <t>VÄRMLANDS LÄN</t>
        </is>
      </c>
      <c r="E690" t="inlineStr">
        <is>
          <t>KARLSTAD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21670-2023</t>
        </is>
      </c>
      <c r="B691" s="1" t="n">
        <v>45064</v>
      </c>
      <c r="C691" s="1" t="n">
        <v>45790</v>
      </c>
      <c r="D691" t="inlineStr">
        <is>
          <t>VÄRMLANDS LÄN</t>
        </is>
      </c>
      <c r="E691" t="inlineStr">
        <is>
          <t>KARLSTAD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21943-2023</t>
        </is>
      </c>
      <c r="B692" s="1" t="n">
        <v>45068</v>
      </c>
      <c r="C692" s="1" t="n">
        <v>45790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22409-2023</t>
        </is>
      </c>
      <c r="B693" s="1" t="n">
        <v>45070</v>
      </c>
      <c r="C693" s="1" t="n">
        <v>45790</v>
      </c>
      <c r="D693" t="inlineStr">
        <is>
          <t>VÄRMLANDS LÄN</t>
        </is>
      </c>
      <c r="E693" t="inlineStr">
        <is>
          <t>KARLSTAD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22535-2023</t>
        </is>
      </c>
      <c r="B694" s="1" t="n">
        <v>45071</v>
      </c>
      <c r="C694" s="1" t="n">
        <v>45790</v>
      </c>
      <c r="D694" t="inlineStr">
        <is>
          <t>VÄRMLANDS LÄN</t>
        </is>
      </c>
      <c r="E694" t="inlineStr">
        <is>
          <t>KARLSTAD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22505-2023</t>
        </is>
      </c>
      <c r="B695" s="1" t="n">
        <v>45071</v>
      </c>
      <c r="C695" s="1" t="n">
        <v>45790</v>
      </c>
      <c r="D695" t="inlineStr">
        <is>
          <t>VÄRMLANDS LÄN</t>
        </is>
      </c>
      <c r="E695" t="inlineStr">
        <is>
          <t>KARLSTAD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22538-2023</t>
        </is>
      </c>
      <c r="B696" s="1" t="n">
        <v>45071</v>
      </c>
      <c r="C696" s="1" t="n">
        <v>45790</v>
      </c>
      <c r="D696" t="inlineStr">
        <is>
          <t>VÄRMLANDS LÄN</t>
        </is>
      </c>
      <c r="E696" t="inlineStr">
        <is>
          <t>KARLSTAD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22540-2023</t>
        </is>
      </c>
      <c r="B697" s="1" t="n">
        <v>45071</v>
      </c>
      <c r="C697" s="1" t="n">
        <v>45790</v>
      </c>
      <c r="D697" t="inlineStr">
        <is>
          <t>VÄRMLANDS LÄN</t>
        </is>
      </c>
      <c r="E697" t="inlineStr">
        <is>
          <t>KARLSTAD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24488-2023</t>
        </is>
      </c>
      <c r="B698" s="1" t="n">
        <v>45077</v>
      </c>
      <c r="C698" s="1" t="n">
        <v>45790</v>
      </c>
      <c r="D698" t="inlineStr">
        <is>
          <t>VÄRMLANDS LÄN</t>
        </is>
      </c>
      <c r="E698" t="inlineStr">
        <is>
          <t>KARLSTAD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24161-2023</t>
        </is>
      </c>
      <c r="B699" s="1" t="n">
        <v>45079</v>
      </c>
      <c r="C699" s="1" t="n">
        <v>45790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24589-2023</t>
        </is>
      </c>
      <c r="B700" s="1" t="n">
        <v>45083</v>
      </c>
      <c r="C700" s="1" t="n">
        <v>45790</v>
      </c>
      <c r="D700" t="inlineStr">
        <is>
          <t>VÄRMLANDS LÄN</t>
        </is>
      </c>
      <c r="E700" t="inlineStr">
        <is>
          <t>KARLSTAD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24593-2023</t>
        </is>
      </c>
      <c r="B701" s="1" t="n">
        <v>45083</v>
      </c>
      <c r="C701" s="1" t="n">
        <v>45790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24565-2023</t>
        </is>
      </c>
      <c r="B702" s="1" t="n">
        <v>45083</v>
      </c>
      <c r="C702" s="1" t="n">
        <v>45790</v>
      </c>
      <c r="D702" t="inlineStr">
        <is>
          <t>VÄRMLANDS LÄN</t>
        </is>
      </c>
      <c r="E702" t="inlineStr">
        <is>
          <t>KARLSTAD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24592-2023</t>
        </is>
      </c>
      <c r="B703" s="1" t="n">
        <v>45083</v>
      </c>
      <c r="C703" s="1" t="n">
        <v>45790</v>
      </c>
      <c r="D703" t="inlineStr">
        <is>
          <t>VÄRMLANDS LÄN</t>
        </is>
      </c>
      <c r="E703" t="inlineStr">
        <is>
          <t>KARLSTAD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24590-2023</t>
        </is>
      </c>
      <c r="B704" s="1" t="n">
        <v>45083</v>
      </c>
      <c r="C704" s="1" t="n">
        <v>45790</v>
      </c>
      <c r="D704" t="inlineStr">
        <is>
          <t>VÄRMLANDS LÄN</t>
        </is>
      </c>
      <c r="E704" t="inlineStr">
        <is>
          <t>KARLSTAD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24987-2023</t>
        </is>
      </c>
      <c r="B705" s="1" t="n">
        <v>45085</v>
      </c>
      <c r="C705" s="1" t="n">
        <v>45790</v>
      </c>
      <c r="D705" t="inlineStr">
        <is>
          <t>VÄRMLANDS LÄN</t>
        </is>
      </c>
      <c r="E705" t="inlineStr">
        <is>
          <t>KARLSTAD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25178-2023</t>
        </is>
      </c>
      <c r="B706" s="1" t="n">
        <v>45086</v>
      </c>
      <c r="C706" s="1" t="n">
        <v>45790</v>
      </c>
      <c r="D706" t="inlineStr">
        <is>
          <t>VÄRMLANDS LÄN</t>
        </is>
      </c>
      <c r="E706" t="inlineStr">
        <is>
          <t>KARLSTAD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25932-2023</t>
        </is>
      </c>
      <c r="B707" s="1" t="n">
        <v>45090</v>
      </c>
      <c r="C707" s="1" t="n">
        <v>45790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26222-2023</t>
        </is>
      </c>
      <c r="B708" s="1" t="n">
        <v>45091</v>
      </c>
      <c r="C708" s="1" t="n">
        <v>45790</v>
      </c>
      <c r="D708" t="inlineStr">
        <is>
          <t>VÄRMLANDS LÄN</t>
        </is>
      </c>
      <c r="E708" t="inlineStr">
        <is>
          <t>KARLSTAD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26059-2023</t>
        </is>
      </c>
      <c r="B709" s="1" t="n">
        <v>45091</v>
      </c>
      <c r="C709" s="1" t="n">
        <v>45790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26112-2023</t>
        </is>
      </c>
      <c r="B710" s="1" t="n">
        <v>45091</v>
      </c>
      <c r="C710" s="1" t="n">
        <v>45790</v>
      </c>
      <c r="D710" t="inlineStr">
        <is>
          <t>VÄRMLANDS LÄN</t>
        </is>
      </c>
      <c r="E710" t="inlineStr">
        <is>
          <t>KARLSTAD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26144-2023</t>
        </is>
      </c>
      <c r="B711" s="1" t="n">
        <v>45091</v>
      </c>
      <c r="C711" s="1" t="n">
        <v>45790</v>
      </c>
      <c r="D711" t="inlineStr">
        <is>
          <t>VÄRMLANDS LÄN</t>
        </is>
      </c>
      <c r="E711" t="inlineStr">
        <is>
          <t>KARLSTAD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26515-2023</t>
        </is>
      </c>
      <c r="B712" s="1" t="n">
        <v>45092</v>
      </c>
      <c r="C712" s="1" t="n">
        <v>45790</v>
      </c>
      <c r="D712" t="inlineStr">
        <is>
          <t>VÄRMLANDS LÄN</t>
        </is>
      </c>
      <c r="E712" t="inlineStr">
        <is>
          <t>KARLSTAD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26540-2023</t>
        </is>
      </c>
      <c r="B713" s="1" t="n">
        <v>45092</v>
      </c>
      <c r="C713" s="1" t="n">
        <v>45790</v>
      </c>
      <c r="D713" t="inlineStr">
        <is>
          <t>VÄRMLANDS LÄN</t>
        </is>
      </c>
      <c r="E713" t="inlineStr">
        <is>
          <t>KARLSTAD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26617-2023</t>
        </is>
      </c>
      <c r="B714" s="1" t="n">
        <v>45092</v>
      </c>
      <c r="C714" s="1" t="n">
        <v>45790</v>
      </c>
      <c r="D714" t="inlineStr">
        <is>
          <t>VÄRMLANDS LÄN</t>
        </is>
      </c>
      <c r="E714" t="inlineStr">
        <is>
          <t>KARLSTAD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26670-2023</t>
        </is>
      </c>
      <c r="B715" s="1" t="n">
        <v>45093</v>
      </c>
      <c r="C715" s="1" t="n">
        <v>45790</v>
      </c>
      <c r="D715" t="inlineStr">
        <is>
          <t>VÄRMLANDS LÄN</t>
        </is>
      </c>
      <c r="E715" t="inlineStr">
        <is>
          <t>KARLSTAD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26672-2023</t>
        </is>
      </c>
      <c r="B716" s="1" t="n">
        <v>45093</v>
      </c>
      <c r="C716" s="1" t="n">
        <v>45790</v>
      </c>
      <c r="D716" t="inlineStr">
        <is>
          <t>VÄRMLANDS LÄN</t>
        </is>
      </c>
      <c r="E716" t="inlineStr">
        <is>
          <t>KARLSTAD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27049-2023</t>
        </is>
      </c>
      <c r="B717" s="1" t="n">
        <v>45095</v>
      </c>
      <c r="C717" s="1" t="n">
        <v>45790</v>
      </c>
      <c r="D717" t="inlineStr">
        <is>
          <t>VÄRMLANDS LÄN</t>
        </is>
      </c>
      <c r="E717" t="inlineStr">
        <is>
          <t>KARLSTAD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27050-2023</t>
        </is>
      </c>
      <c r="B718" s="1" t="n">
        <v>45095</v>
      </c>
      <c r="C718" s="1" t="n">
        <v>45790</v>
      </c>
      <c r="D718" t="inlineStr">
        <is>
          <t>VÄRMLANDS LÄN</t>
        </is>
      </c>
      <c r="E718" t="inlineStr">
        <is>
          <t>KARLSTAD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27344-2023</t>
        </is>
      </c>
      <c r="B719" s="1" t="n">
        <v>45096</v>
      </c>
      <c r="C719" s="1" t="n">
        <v>45790</v>
      </c>
      <c r="D719" t="inlineStr">
        <is>
          <t>VÄRMLANDS LÄN</t>
        </is>
      </c>
      <c r="E719" t="inlineStr">
        <is>
          <t>KARLSTAD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27314-2023</t>
        </is>
      </c>
      <c r="B720" s="1" t="n">
        <v>45096</v>
      </c>
      <c r="C720" s="1" t="n">
        <v>45790</v>
      </c>
      <c r="D720" t="inlineStr">
        <is>
          <t>VÄRMLANDS LÄN</t>
        </is>
      </c>
      <c r="E720" t="inlineStr">
        <is>
          <t>KARLSTAD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27507-2023</t>
        </is>
      </c>
      <c r="B721" s="1" t="n">
        <v>45097</v>
      </c>
      <c r="C721" s="1" t="n">
        <v>45790</v>
      </c>
      <c r="D721" t="inlineStr">
        <is>
          <t>VÄRMLANDS LÄN</t>
        </is>
      </c>
      <c r="E721" t="inlineStr">
        <is>
          <t>KARLSTAD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29749-2023</t>
        </is>
      </c>
      <c r="B722" s="1" t="n">
        <v>45098</v>
      </c>
      <c r="C722" s="1" t="n">
        <v>45790</v>
      </c>
      <c r="D722" t="inlineStr">
        <is>
          <t>VÄRMLANDS LÄN</t>
        </is>
      </c>
      <c r="E722" t="inlineStr">
        <is>
          <t>KARLSTAD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29554-2023</t>
        </is>
      </c>
      <c r="B723" s="1" t="n">
        <v>45098</v>
      </c>
      <c r="C723" s="1" t="n">
        <v>45790</v>
      </c>
      <c r="D723" t="inlineStr">
        <is>
          <t>VÄRMLANDS LÄN</t>
        </is>
      </c>
      <c r="E723" t="inlineStr">
        <is>
          <t>KARLSTAD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29550-2023</t>
        </is>
      </c>
      <c r="B724" s="1" t="n">
        <v>45098</v>
      </c>
      <c r="C724" s="1" t="n">
        <v>45790</v>
      </c>
      <c r="D724" t="inlineStr">
        <is>
          <t>VÄRMLANDS LÄN</t>
        </is>
      </c>
      <c r="E724" t="inlineStr">
        <is>
          <t>KARLSTAD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28056-2023</t>
        </is>
      </c>
      <c r="B725" s="1" t="n">
        <v>45099</v>
      </c>
      <c r="C725" s="1" t="n">
        <v>45790</v>
      </c>
      <c r="D725" t="inlineStr">
        <is>
          <t>VÄRMLANDS LÄN</t>
        </is>
      </c>
      <c r="E725" t="inlineStr">
        <is>
          <t>KARLSTAD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28212-2023</t>
        </is>
      </c>
      <c r="B726" s="1" t="n">
        <v>45099</v>
      </c>
      <c r="C726" s="1" t="n">
        <v>45790</v>
      </c>
      <c r="D726" t="inlineStr">
        <is>
          <t>VÄRMLANDS LÄN</t>
        </is>
      </c>
      <c r="E726" t="inlineStr">
        <is>
          <t>KARLSTAD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28201-2023</t>
        </is>
      </c>
      <c r="B727" s="1" t="n">
        <v>45099</v>
      </c>
      <c r="C727" s="1" t="n">
        <v>45790</v>
      </c>
      <c r="D727" t="inlineStr">
        <is>
          <t>VÄRMLANDS LÄN</t>
        </is>
      </c>
      <c r="E727" t="inlineStr">
        <is>
          <t>KARLSTAD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28181-2023</t>
        </is>
      </c>
      <c r="B728" s="1" t="n">
        <v>45099</v>
      </c>
      <c r="C728" s="1" t="n">
        <v>45790</v>
      </c>
      <c r="D728" t="inlineStr">
        <is>
          <t>VÄRMLANDS LÄN</t>
        </is>
      </c>
      <c r="E728" t="inlineStr">
        <is>
          <t>KARLSTAD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28190-2023</t>
        </is>
      </c>
      <c r="B729" s="1" t="n">
        <v>45099</v>
      </c>
      <c r="C729" s="1" t="n">
        <v>45790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28208-2023</t>
        </is>
      </c>
      <c r="B730" s="1" t="n">
        <v>45099</v>
      </c>
      <c r="C730" s="1" t="n">
        <v>45790</v>
      </c>
      <c r="D730" t="inlineStr">
        <is>
          <t>VÄRMLANDS LÄN</t>
        </is>
      </c>
      <c r="E730" t="inlineStr">
        <is>
          <t>KARLSTAD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28530-2023</t>
        </is>
      </c>
      <c r="B731" s="1" t="n">
        <v>45103</v>
      </c>
      <c r="C731" s="1" t="n">
        <v>45790</v>
      </c>
      <c r="D731" t="inlineStr">
        <is>
          <t>VÄRMLANDS LÄN</t>
        </is>
      </c>
      <c r="E731" t="inlineStr">
        <is>
          <t>KARLSTAD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28992-2023</t>
        </is>
      </c>
      <c r="B732" s="1" t="n">
        <v>45104</v>
      </c>
      <c r="C732" s="1" t="n">
        <v>45790</v>
      </c>
      <c r="D732" t="inlineStr">
        <is>
          <t>VÄRMLANDS LÄN</t>
        </is>
      </c>
      <c r="E732" t="inlineStr">
        <is>
          <t>KARLSTAD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28996-2023</t>
        </is>
      </c>
      <c r="B733" s="1" t="n">
        <v>45104</v>
      </c>
      <c r="C733" s="1" t="n">
        <v>45790</v>
      </c>
      <c r="D733" t="inlineStr">
        <is>
          <t>VÄRMLANDS LÄN</t>
        </is>
      </c>
      <c r="E733" t="inlineStr">
        <is>
          <t>KARLSTAD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29227-2023</t>
        </is>
      </c>
      <c r="B734" s="1" t="n">
        <v>45105</v>
      </c>
      <c r="C734" s="1" t="n">
        <v>45790</v>
      </c>
      <c r="D734" t="inlineStr">
        <is>
          <t>VÄRMLANDS LÄN</t>
        </is>
      </c>
      <c r="E734" t="inlineStr">
        <is>
          <t>KARLSTAD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29359-2023</t>
        </is>
      </c>
      <c r="B735" s="1" t="n">
        <v>45106</v>
      </c>
      <c r="C735" s="1" t="n">
        <v>45790</v>
      </c>
      <c r="D735" t="inlineStr">
        <is>
          <t>VÄRMLANDS LÄN</t>
        </is>
      </c>
      <c r="E735" t="inlineStr">
        <is>
          <t>KARLSTAD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32169-2023</t>
        </is>
      </c>
      <c r="B736" s="1" t="n">
        <v>45107</v>
      </c>
      <c r="C736" s="1" t="n">
        <v>45790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30094-2023</t>
        </is>
      </c>
      <c r="B737" s="1" t="n">
        <v>45110</v>
      </c>
      <c r="C737" s="1" t="n">
        <v>45790</v>
      </c>
      <c r="D737" t="inlineStr">
        <is>
          <t>VÄRMLANDS LÄN</t>
        </is>
      </c>
      <c r="E737" t="inlineStr">
        <is>
          <t>KARLSTAD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30099-2023</t>
        </is>
      </c>
      <c r="B738" s="1" t="n">
        <v>45110</v>
      </c>
      <c r="C738" s="1" t="n">
        <v>45790</v>
      </c>
      <c r="D738" t="inlineStr">
        <is>
          <t>VÄRMLANDS LÄN</t>
        </is>
      </c>
      <c r="E738" t="inlineStr">
        <is>
          <t>KARLSTAD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30339-2023</t>
        </is>
      </c>
      <c r="B739" s="1" t="n">
        <v>45111</v>
      </c>
      <c r="C739" s="1" t="n">
        <v>45790</v>
      </c>
      <c r="D739" t="inlineStr">
        <is>
          <t>VÄRMLANDS LÄN</t>
        </is>
      </c>
      <c r="E739" t="inlineStr">
        <is>
          <t>KARLSTAD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30368-2023</t>
        </is>
      </c>
      <c r="B740" s="1" t="n">
        <v>45111</v>
      </c>
      <c r="C740" s="1" t="n">
        <v>45790</v>
      </c>
      <c r="D740" t="inlineStr">
        <is>
          <t>VÄRMLANDS LÄN</t>
        </is>
      </c>
      <c r="E740" t="inlineStr">
        <is>
          <t>KARLSTAD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30533-2023</t>
        </is>
      </c>
      <c r="B741" s="1" t="n">
        <v>45111</v>
      </c>
      <c r="C741" s="1" t="n">
        <v>45790</v>
      </c>
      <c r="D741" t="inlineStr">
        <is>
          <t>VÄRMLANDS LÄN</t>
        </is>
      </c>
      <c r="E741" t="inlineStr">
        <is>
          <t>KARLSTAD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32875-2023</t>
        </is>
      </c>
      <c r="B742" s="1" t="n">
        <v>45112</v>
      </c>
      <c r="C742" s="1" t="n">
        <v>45790</v>
      </c>
      <c r="D742" t="inlineStr">
        <is>
          <t>VÄRMLANDS LÄN</t>
        </is>
      </c>
      <c r="E742" t="inlineStr">
        <is>
          <t>KARLSTAD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32878-2023</t>
        </is>
      </c>
      <c r="B743" s="1" t="n">
        <v>45112</v>
      </c>
      <c r="C743" s="1" t="n">
        <v>45790</v>
      </c>
      <c r="D743" t="inlineStr">
        <is>
          <t>VÄRMLANDS LÄN</t>
        </is>
      </c>
      <c r="E743" t="inlineStr">
        <is>
          <t>KARLSTAD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31316-2023</t>
        </is>
      </c>
      <c r="B744" s="1" t="n">
        <v>45114</v>
      </c>
      <c r="C744" s="1" t="n">
        <v>45790</v>
      </c>
      <c r="D744" t="inlineStr">
        <is>
          <t>VÄRMLANDS LÄN</t>
        </is>
      </c>
      <c r="E744" t="inlineStr">
        <is>
          <t>KARLSTAD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33564-2023</t>
        </is>
      </c>
      <c r="B745" s="1" t="n">
        <v>45118</v>
      </c>
      <c r="C745" s="1" t="n">
        <v>45790</v>
      </c>
      <c r="D745" t="inlineStr">
        <is>
          <t>VÄRMLANDS LÄN</t>
        </is>
      </c>
      <c r="E745" t="inlineStr">
        <is>
          <t>KARLSTAD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33561-2023</t>
        </is>
      </c>
      <c r="B746" s="1" t="n">
        <v>45118</v>
      </c>
      <c r="C746" s="1" t="n">
        <v>45790</v>
      </c>
      <c r="D746" t="inlineStr">
        <is>
          <t>VÄRMLANDS LÄN</t>
        </is>
      </c>
      <c r="E746" t="inlineStr">
        <is>
          <t>KARLSTAD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33567-2023</t>
        </is>
      </c>
      <c r="B747" s="1" t="n">
        <v>45118</v>
      </c>
      <c r="C747" s="1" t="n">
        <v>45790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32173-2023</t>
        </is>
      </c>
      <c r="B748" s="1" t="n">
        <v>45119</v>
      </c>
      <c r="C748" s="1" t="n">
        <v>45790</v>
      </c>
      <c r="D748" t="inlineStr">
        <is>
          <t>VÄRMLANDS LÄN</t>
        </is>
      </c>
      <c r="E748" t="inlineStr">
        <is>
          <t>KARLSTAD</t>
        </is>
      </c>
      <c r="G748" t="n">
        <v>29.2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32174-2023</t>
        </is>
      </c>
      <c r="B749" s="1" t="n">
        <v>45119</v>
      </c>
      <c r="C749" s="1" t="n">
        <v>45790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32434-2023</t>
        </is>
      </c>
      <c r="B750" s="1" t="n">
        <v>45120</v>
      </c>
      <c r="C750" s="1" t="n">
        <v>45790</v>
      </c>
      <c r="D750" t="inlineStr">
        <is>
          <t>VÄRMLANDS LÄN</t>
        </is>
      </c>
      <c r="E750" t="inlineStr">
        <is>
          <t>KARLSTAD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32433-2023</t>
        </is>
      </c>
      <c r="B751" s="1" t="n">
        <v>45120</v>
      </c>
      <c r="C751" s="1" t="n">
        <v>45790</v>
      </c>
      <c r="D751" t="inlineStr">
        <is>
          <t>VÄRMLANDS LÄN</t>
        </is>
      </c>
      <c r="E751" t="inlineStr">
        <is>
          <t>KARLSTAD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32435-2023</t>
        </is>
      </c>
      <c r="B752" s="1" t="n">
        <v>45120</v>
      </c>
      <c r="C752" s="1" t="n">
        <v>45790</v>
      </c>
      <c r="D752" t="inlineStr">
        <is>
          <t>VÄRMLANDS LÄN</t>
        </is>
      </c>
      <c r="E752" t="inlineStr">
        <is>
          <t>KARLSTAD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33030-2023</t>
        </is>
      </c>
      <c r="B753" s="1" t="n">
        <v>45125</v>
      </c>
      <c r="C753" s="1" t="n">
        <v>45790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33144-2023</t>
        </is>
      </c>
      <c r="B754" s="1" t="n">
        <v>45126</v>
      </c>
      <c r="C754" s="1" t="n">
        <v>45790</v>
      </c>
      <c r="D754" t="inlineStr">
        <is>
          <t>VÄRMLANDS LÄN</t>
        </is>
      </c>
      <c r="E754" t="inlineStr">
        <is>
          <t>KARLSTAD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33147-2023</t>
        </is>
      </c>
      <c r="B755" s="1" t="n">
        <v>45126</v>
      </c>
      <c r="C755" s="1" t="n">
        <v>45790</v>
      </c>
      <c r="D755" t="inlineStr">
        <is>
          <t>VÄRMLANDS LÄN</t>
        </is>
      </c>
      <c r="E755" t="inlineStr">
        <is>
          <t>KARLSTAD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33269-2023</t>
        </is>
      </c>
      <c r="B756" s="1" t="n">
        <v>45127</v>
      </c>
      <c r="C756" s="1" t="n">
        <v>45790</v>
      </c>
      <c r="D756" t="inlineStr">
        <is>
          <t>VÄRMLANDS LÄN</t>
        </is>
      </c>
      <c r="E756" t="inlineStr">
        <is>
          <t>KARLSTAD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33515-2023</t>
        </is>
      </c>
      <c r="B757" s="1" t="n">
        <v>45131</v>
      </c>
      <c r="C757" s="1" t="n">
        <v>45790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33511-2023</t>
        </is>
      </c>
      <c r="B758" s="1" t="n">
        <v>45131</v>
      </c>
      <c r="C758" s="1" t="n">
        <v>45790</v>
      </c>
      <c r="D758" t="inlineStr">
        <is>
          <t>VÄRMLANDS LÄN</t>
        </is>
      </c>
      <c r="E758" t="inlineStr">
        <is>
          <t>KARLSTAD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34727-2023</t>
        </is>
      </c>
      <c r="B759" s="1" t="n">
        <v>45141</v>
      </c>
      <c r="C759" s="1" t="n">
        <v>45790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34728-2023</t>
        </is>
      </c>
      <c r="B760" s="1" t="n">
        <v>45141</v>
      </c>
      <c r="C760" s="1" t="n">
        <v>45790</v>
      </c>
      <c r="D760" t="inlineStr">
        <is>
          <t>VÄRMLANDS LÄN</t>
        </is>
      </c>
      <c r="E760" t="inlineStr">
        <is>
          <t>KARLSTAD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34726-2023</t>
        </is>
      </c>
      <c r="B761" s="1" t="n">
        <v>45141</v>
      </c>
      <c r="C761" s="1" t="n">
        <v>45790</v>
      </c>
      <c r="D761" t="inlineStr">
        <is>
          <t>VÄRMLANDS LÄN</t>
        </is>
      </c>
      <c r="E761" t="inlineStr">
        <is>
          <t>KARLSTAD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35076-2023</t>
        </is>
      </c>
      <c r="B762" s="1" t="n">
        <v>45145</v>
      </c>
      <c r="C762" s="1" t="n">
        <v>45790</v>
      </c>
      <c r="D762" t="inlineStr">
        <is>
          <t>VÄRMLANDS LÄN</t>
        </is>
      </c>
      <c r="E762" t="inlineStr">
        <is>
          <t>KARLSTAD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35378-2023</t>
        </is>
      </c>
      <c r="B763" s="1" t="n">
        <v>45145</v>
      </c>
      <c r="C763" s="1" t="n">
        <v>45790</v>
      </c>
      <c r="D763" t="inlineStr">
        <is>
          <t>VÄRMLANDS LÄN</t>
        </is>
      </c>
      <c r="E763" t="inlineStr">
        <is>
          <t>KARLSTAD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35616-2023</t>
        </is>
      </c>
      <c r="B764" s="1" t="n">
        <v>45147</v>
      </c>
      <c r="C764" s="1" t="n">
        <v>45790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35882-2023</t>
        </is>
      </c>
      <c r="B765" s="1" t="n">
        <v>45148</v>
      </c>
      <c r="C765" s="1" t="n">
        <v>45790</v>
      </c>
      <c r="D765" t="inlineStr">
        <is>
          <t>VÄRMLANDS LÄN</t>
        </is>
      </c>
      <c r="E765" t="inlineStr">
        <is>
          <t>KARLSTAD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35879-2023</t>
        </is>
      </c>
      <c r="B766" s="1" t="n">
        <v>45148</v>
      </c>
      <c r="C766" s="1" t="n">
        <v>45790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36122-2023</t>
        </is>
      </c>
      <c r="B767" s="1" t="n">
        <v>45149</v>
      </c>
      <c r="C767" s="1" t="n">
        <v>45790</v>
      </c>
      <c r="D767" t="inlineStr">
        <is>
          <t>VÄRMLANDS LÄN</t>
        </is>
      </c>
      <c r="E767" t="inlineStr">
        <is>
          <t>KARLSTAD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36399-2023</t>
        </is>
      </c>
      <c r="B768" s="1" t="n">
        <v>45149</v>
      </c>
      <c r="C768" s="1" t="n">
        <v>45790</v>
      </c>
      <c r="D768" t="inlineStr">
        <is>
          <t>VÄRMLANDS LÄN</t>
        </is>
      </c>
      <c r="E768" t="inlineStr">
        <is>
          <t>KARLSTAD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36460-2023</t>
        </is>
      </c>
      <c r="B769" s="1" t="n">
        <v>45152</v>
      </c>
      <c r="C769" s="1" t="n">
        <v>45790</v>
      </c>
      <c r="D769" t="inlineStr">
        <is>
          <t>VÄRMLANDS LÄN</t>
        </is>
      </c>
      <c r="E769" t="inlineStr">
        <is>
          <t>KARLSTAD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36518-2023</t>
        </is>
      </c>
      <c r="B770" s="1" t="n">
        <v>45153</v>
      </c>
      <c r="C770" s="1" t="n">
        <v>45790</v>
      </c>
      <c r="D770" t="inlineStr">
        <is>
          <t>VÄRMLANDS LÄN</t>
        </is>
      </c>
      <c r="E770" t="inlineStr">
        <is>
          <t>KARLSTAD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36917-2023</t>
        </is>
      </c>
      <c r="B771" s="1" t="n">
        <v>45154</v>
      </c>
      <c r="C771" s="1" t="n">
        <v>45790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37076-2023</t>
        </is>
      </c>
      <c r="B772" s="1" t="n">
        <v>45154</v>
      </c>
      <c r="C772" s="1" t="n">
        <v>45790</v>
      </c>
      <c r="D772" t="inlineStr">
        <is>
          <t>VÄRMLANDS LÄN</t>
        </is>
      </c>
      <c r="E772" t="inlineStr">
        <is>
          <t>KARLSTAD</t>
        </is>
      </c>
      <c r="F772" t="inlineStr">
        <is>
          <t>Övriga statliga verk och myndigheter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38020-2023</t>
        </is>
      </c>
      <c r="B773" s="1" t="n">
        <v>45160</v>
      </c>
      <c r="C773" s="1" t="n">
        <v>45790</v>
      </c>
      <c r="D773" t="inlineStr">
        <is>
          <t>VÄRMLANDS LÄN</t>
        </is>
      </c>
      <c r="E773" t="inlineStr">
        <is>
          <t>KARLSTAD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38023-2023</t>
        </is>
      </c>
      <c r="B774" s="1" t="n">
        <v>45160</v>
      </c>
      <c r="C774" s="1" t="n">
        <v>45790</v>
      </c>
      <c r="D774" t="inlineStr">
        <is>
          <t>VÄRMLANDS LÄN</t>
        </is>
      </c>
      <c r="E774" t="inlineStr">
        <is>
          <t>KARLSTAD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38025-2023</t>
        </is>
      </c>
      <c r="B775" s="1" t="n">
        <v>45160</v>
      </c>
      <c r="C775" s="1" t="n">
        <v>45790</v>
      </c>
      <c r="D775" t="inlineStr">
        <is>
          <t>VÄRMLANDS LÄN</t>
        </is>
      </c>
      <c r="E775" t="inlineStr">
        <is>
          <t>KARLSTAD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38317-2023</t>
        </is>
      </c>
      <c r="B776" s="1" t="n">
        <v>45161</v>
      </c>
      <c r="C776" s="1" t="n">
        <v>45790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38316-2023</t>
        </is>
      </c>
      <c r="B777" s="1" t="n">
        <v>45161</v>
      </c>
      <c r="C777" s="1" t="n">
        <v>45790</v>
      </c>
      <c r="D777" t="inlineStr">
        <is>
          <t>VÄRMLANDS LÄN</t>
        </is>
      </c>
      <c r="E777" t="inlineStr">
        <is>
          <t>KARLSTAD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38319-2023</t>
        </is>
      </c>
      <c r="B778" s="1" t="n">
        <v>45161</v>
      </c>
      <c r="C778" s="1" t="n">
        <v>45790</v>
      </c>
      <c r="D778" t="inlineStr">
        <is>
          <t>VÄRMLANDS LÄN</t>
        </is>
      </c>
      <c r="E778" t="inlineStr">
        <is>
          <t>KARLSTAD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38883-2023</t>
        </is>
      </c>
      <c r="B779" s="1" t="n">
        <v>45163</v>
      </c>
      <c r="C779" s="1" t="n">
        <v>45790</v>
      </c>
      <c r="D779" t="inlineStr">
        <is>
          <t>VÄRMLANDS LÄN</t>
        </is>
      </c>
      <c r="E779" t="inlineStr">
        <is>
          <t>KARLSTAD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38933-2023</t>
        </is>
      </c>
      <c r="B780" s="1" t="n">
        <v>45163</v>
      </c>
      <c r="C780" s="1" t="n">
        <v>45790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39106-2023</t>
        </is>
      </c>
      <c r="B781" s="1" t="n">
        <v>45164</v>
      </c>
      <c r="C781" s="1" t="n">
        <v>45790</v>
      </c>
      <c r="D781" t="inlineStr">
        <is>
          <t>VÄRMLANDS LÄN</t>
        </is>
      </c>
      <c r="E781" t="inlineStr">
        <is>
          <t>KARLSTAD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39248-2023</t>
        </is>
      </c>
      <c r="B782" s="1" t="n">
        <v>45166</v>
      </c>
      <c r="C782" s="1" t="n">
        <v>45790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39642-2023</t>
        </is>
      </c>
      <c r="B783" s="1" t="n">
        <v>45167</v>
      </c>
      <c r="C783" s="1" t="n">
        <v>45790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39755-2023</t>
        </is>
      </c>
      <c r="B784" s="1" t="n">
        <v>45167</v>
      </c>
      <c r="C784" s="1" t="n">
        <v>45790</v>
      </c>
      <c r="D784" t="inlineStr">
        <is>
          <t>VÄRMLANDS LÄN</t>
        </is>
      </c>
      <c r="E784" t="inlineStr">
        <is>
          <t>KARLSTAD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39958-2023</t>
        </is>
      </c>
      <c r="B785" s="1" t="n">
        <v>45168</v>
      </c>
      <c r="C785" s="1" t="n">
        <v>45790</v>
      </c>
      <c r="D785" t="inlineStr">
        <is>
          <t>VÄRMLANDS LÄN</t>
        </is>
      </c>
      <c r="E785" t="inlineStr">
        <is>
          <t>KARLSTAD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40001-2023</t>
        </is>
      </c>
      <c r="B786" s="1" t="n">
        <v>45168</v>
      </c>
      <c r="C786" s="1" t="n">
        <v>45790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39964-2023</t>
        </is>
      </c>
      <c r="B787" s="1" t="n">
        <v>45168</v>
      </c>
      <c r="C787" s="1" t="n">
        <v>45790</v>
      </c>
      <c r="D787" t="inlineStr">
        <is>
          <t>VÄRMLANDS LÄN</t>
        </is>
      </c>
      <c r="E787" t="inlineStr">
        <is>
          <t>KARLSTAD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39955-2023</t>
        </is>
      </c>
      <c r="B788" s="1" t="n">
        <v>45168</v>
      </c>
      <c r="C788" s="1" t="n">
        <v>45790</v>
      </c>
      <c r="D788" t="inlineStr">
        <is>
          <t>VÄRMLANDS LÄN</t>
        </is>
      </c>
      <c r="E788" t="inlineStr">
        <is>
          <t>KARLSTAD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39963-2023</t>
        </is>
      </c>
      <c r="B789" s="1" t="n">
        <v>45168</v>
      </c>
      <c r="C789" s="1" t="n">
        <v>45790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39961-2023</t>
        </is>
      </c>
      <c r="B790" s="1" t="n">
        <v>45168</v>
      </c>
      <c r="C790" s="1" t="n">
        <v>45790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41230-2023</t>
        </is>
      </c>
      <c r="B791" s="1" t="n">
        <v>45174</v>
      </c>
      <c r="C791" s="1" t="n">
        <v>45790</v>
      </c>
      <c r="D791" t="inlineStr">
        <is>
          <t>VÄRMLANDS LÄN</t>
        </is>
      </c>
      <c r="E791" t="inlineStr">
        <is>
          <t>KARLSTAD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41321-2023</t>
        </is>
      </c>
      <c r="B792" s="1" t="n">
        <v>45174</v>
      </c>
      <c r="C792" s="1" t="n">
        <v>45790</v>
      </c>
      <c r="D792" t="inlineStr">
        <is>
          <t>VÄRMLANDS LÄN</t>
        </is>
      </c>
      <c r="E792" t="inlineStr">
        <is>
          <t>KARLSTAD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41510-2023</t>
        </is>
      </c>
      <c r="B793" s="1" t="n">
        <v>45175</v>
      </c>
      <c r="C793" s="1" t="n">
        <v>45790</v>
      </c>
      <c r="D793" t="inlineStr">
        <is>
          <t>VÄRMLANDS LÄN</t>
        </is>
      </c>
      <c r="E793" t="inlineStr">
        <is>
          <t>KARLSTAD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41534-2023</t>
        </is>
      </c>
      <c r="B794" s="1" t="n">
        <v>45175</v>
      </c>
      <c r="C794" s="1" t="n">
        <v>45790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41508-2023</t>
        </is>
      </c>
      <c r="B795" s="1" t="n">
        <v>45175</v>
      </c>
      <c r="C795" s="1" t="n">
        <v>45790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41565-2023</t>
        </is>
      </c>
      <c r="B796" s="1" t="n">
        <v>45175</v>
      </c>
      <c r="C796" s="1" t="n">
        <v>45790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41563-2023</t>
        </is>
      </c>
      <c r="B797" s="1" t="n">
        <v>45175</v>
      </c>
      <c r="C797" s="1" t="n">
        <v>45790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41568-2023</t>
        </is>
      </c>
      <c r="B798" s="1" t="n">
        <v>45175</v>
      </c>
      <c r="C798" s="1" t="n">
        <v>45790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41960-2023</t>
        </is>
      </c>
      <c r="B799" s="1" t="n">
        <v>45177</v>
      </c>
      <c r="C799" s="1" t="n">
        <v>45790</v>
      </c>
      <c r="D799" t="inlineStr">
        <is>
          <t>VÄRMLANDS LÄN</t>
        </is>
      </c>
      <c r="E799" t="inlineStr">
        <is>
          <t>KARLSTAD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41963-2023</t>
        </is>
      </c>
      <c r="B800" s="1" t="n">
        <v>45177</v>
      </c>
      <c r="C800" s="1" t="n">
        <v>45790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43545-2023</t>
        </is>
      </c>
      <c r="B801" s="1" t="n">
        <v>45184</v>
      </c>
      <c r="C801" s="1" t="n">
        <v>45790</v>
      </c>
      <c r="D801" t="inlineStr">
        <is>
          <t>VÄRMLANDS LÄN</t>
        </is>
      </c>
      <c r="E801" t="inlineStr">
        <is>
          <t>KARLSTAD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45265-2023</t>
        </is>
      </c>
      <c r="B802" s="1" t="n">
        <v>45187</v>
      </c>
      <c r="C802" s="1" t="n">
        <v>45790</v>
      </c>
      <c r="D802" t="inlineStr">
        <is>
          <t>VÄRMLANDS LÄN</t>
        </is>
      </c>
      <c r="E802" t="inlineStr">
        <is>
          <t>KARLSTAD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45287-2023</t>
        </is>
      </c>
      <c r="B803" s="1" t="n">
        <v>45187</v>
      </c>
      <c r="C803" s="1" t="n">
        <v>45790</v>
      </c>
      <c r="D803" t="inlineStr">
        <is>
          <t>VÄRMLANDS LÄN</t>
        </is>
      </c>
      <c r="E803" t="inlineStr">
        <is>
          <t>KARLSTAD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50709-2023</t>
        </is>
      </c>
      <c r="B804" s="1" t="n">
        <v>45187</v>
      </c>
      <c r="C804" s="1" t="n">
        <v>45790</v>
      </c>
      <c r="D804" t="inlineStr">
        <is>
          <t>VÄRMLANDS LÄN</t>
        </is>
      </c>
      <c r="E804" t="inlineStr">
        <is>
          <t>KARLSTAD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44364-2023</t>
        </is>
      </c>
      <c r="B805" s="1" t="n">
        <v>45188</v>
      </c>
      <c r="C805" s="1" t="n">
        <v>45790</v>
      </c>
      <c r="D805" t="inlineStr">
        <is>
          <t>VÄRMLANDS LÄN</t>
        </is>
      </c>
      <c r="E805" t="inlineStr">
        <is>
          <t>KARLSTAD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46098-2023</t>
        </is>
      </c>
      <c r="B806" s="1" t="n">
        <v>45196</v>
      </c>
      <c r="C806" s="1" t="n">
        <v>45790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46019-2023</t>
        </is>
      </c>
      <c r="B807" s="1" t="n">
        <v>45196</v>
      </c>
      <c r="C807" s="1" t="n">
        <v>45790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46097-2023</t>
        </is>
      </c>
      <c r="B808" s="1" t="n">
        <v>45196</v>
      </c>
      <c r="C808" s="1" t="n">
        <v>45790</v>
      </c>
      <c r="D808" t="inlineStr">
        <is>
          <t>VÄRMLANDS LÄN</t>
        </is>
      </c>
      <c r="E808" t="inlineStr">
        <is>
          <t>KARLSTAD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46096-2023</t>
        </is>
      </c>
      <c r="B809" s="1" t="n">
        <v>45196</v>
      </c>
      <c r="C809" s="1" t="n">
        <v>45790</v>
      </c>
      <c r="D809" t="inlineStr">
        <is>
          <t>VÄRMLANDS LÄN</t>
        </is>
      </c>
      <c r="E809" t="inlineStr">
        <is>
          <t>KARLSTAD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47561-2023</t>
        </is>
      </c>
      <c r="B810" s="1" t="n">
        <v>45197</v>
      </c>
      <c r="C810" s="1" t="n">
        <v>45790</v>
      </c>
      <c r="D810" t="inlineStr">
        <is>
          <t>VÄRMLANDS LÄN</t>
        </is>
      </c>
      <c r="E810" t="inlineStr">
        <is>
          <t>KARLSTAD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45790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45790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45790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45790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45790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45790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45790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45790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45790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45790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45790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45790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45790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45790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45790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45790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45790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45790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45790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45790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45790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45790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45790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45790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45790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45790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45790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45790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45790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45790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45790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45790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45790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45790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45790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45790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45790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45790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45790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45790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45790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45790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45790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45790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45790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45790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45790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45790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45790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45790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45790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45790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45790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45790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45790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45790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45790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45790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45790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45790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45790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45790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45790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45790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45790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45790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45790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45790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45790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45790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45790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45790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45790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45790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45790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45790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45790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45790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45790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45790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45790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45790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45790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45790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45790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45790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45790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45790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45790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45790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45790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45790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45790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45790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45790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45790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45790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45790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45790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45790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45790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45790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45790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45790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45790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45790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45790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45790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45790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45790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45790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45790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45790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45790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45790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45790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45790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45790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45790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45790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45790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45790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45790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45790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45790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45790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45790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45790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45790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45790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45790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45790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45790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45790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45790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45790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45790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45790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45790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45790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45790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45790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45790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45790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45790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45790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45790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45790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45790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45790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45790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45790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45790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45790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45790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45790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45790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45790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45790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45790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45790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45790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45790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45790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45790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45790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45790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45790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45790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45790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45790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45790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45790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45790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45790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45790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45790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45790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45790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45790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45790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45790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45790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45790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45790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45790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45790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45790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45790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45790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45790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45790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45790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45790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45790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45790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45790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45790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45790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45790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45790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45790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45790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45790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45790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45790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45790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45790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45790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45790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45790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45790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45790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45790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45790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45790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45790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45790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45790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45790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45790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45790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45790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45790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45790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45790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45790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45790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45790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45790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45790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45790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45790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45790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45790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45790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45790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45790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45790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45790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45790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45790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45790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45790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45790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45790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45790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45790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45790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45790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45790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45790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45790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45790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45790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45790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45790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45790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45790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45790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45790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45790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45790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45790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45790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45790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45790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45790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45790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45790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45790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45790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45790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45790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45790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45790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45790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45790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45790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45790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45790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45790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45790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45790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45790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45790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45790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45790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45790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45790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45790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45790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45790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45790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45790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45790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45790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45790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45790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45790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45790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45790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45790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45790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45790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45790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45790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45790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45790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45790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45790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45790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45790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45790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45790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45790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45790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45790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45790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45790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45790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45790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45790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45790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45790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45790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45790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45790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45790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45790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45790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45790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45790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45790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45790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45790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45790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45790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45790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45790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45790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45790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45790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45790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45790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45790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45790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45790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45790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45790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45790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45790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45790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45790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45790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45790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45790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45790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45790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45790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45790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45790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45790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45790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45790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45790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45790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45790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45790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45790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45790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45790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45790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45790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45790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45790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45790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45790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45790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45790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45790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45790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45790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45790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45790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45790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45790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45790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45790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45790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45790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45790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45790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45790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45790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45790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45790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45790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45790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45790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45790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45790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45790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45790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45790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45790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45790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45790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45790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45790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45790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45790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45790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45790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45790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45790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18727-2025</t>
        </is>
      </c>
      <c r="B1227" s="1" t="n">
        <v>45763</v>
      </c>
      <c r="C1227" s="1" t="n">
        <v>45790</v>
      </c>
      <c r="D1227" t="inlineStr">
        <is>
          <t>VÄRMLANDS LÄN</t>
        </is>
      </c>
      <c r="E1227" t="inlineStr">
        <is>
          <t>KARLSTAD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18759-2025</t>
        </is>
      </c>
      <c r="B1228" s="1" t="n">
        <v>45763</v>
      </c>
      <c r="C1228" s="1" t="n">
        <v>45790</v>
      </c>
      <c r="D1228" t="inlineStr">
        <is>
          <t>VÄRMLANDS LÄN</t>
        </is>
      </c>
      <c r="E1228" t="inlineStr">
        <is>
          <t>KARLSTAD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19089-2025</t>
        </is>
      </c>
      <c r="B1229" s="1" t="n">
        <v>45767</v>
      </c>
      <c r="C1229" s="1" t="n">
        <v>45790</v>
      </c>
      <c r="D1229" t="inlineStr">
        <is>
          <t>VÄRMLANDS LÄN</t>
        </is>
      </c>
      <c r="E1229" t="inlineStr">
        <is>
          <t>KARLSTAD</t>
        </is>
      </c>
      <c r="G1229" t="n">
        <v>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19088-2025</t>
        </is>
      </c>
      <c r="B1230" s="1" t="n">
        <v>45767</v>
      </c>
      <c r="C1230" s="1" t="n">
        <v>45790</v>
      </c>
      <c r="D1230" t="inlineStr">
        <is>
          <t>VÄRMLANDS LÄN</t>
        </is>
      </c>
      <c r="E1230" t="inlineStr">
        <is>
          <t>KARLSTAD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19369-2025</t>
        </is>
      </c>
      <c r="B1231" s="1" t="n">
        <v>45769</v>
      </c>
      <c r="C1231" s="1" t="n">
        <v>45790</v>
      </c>
      <c r="D1231" t="inlineStr">
        <is>
          <t>VÄRMLANDS LÄN</t>
        </is>
      </c>
      <c r="E1231" t="inlineStr">
        <is>
          <t>KARLSTAD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19395-2025</t>
        </is>
      </c>
      <c r="B1232" s="1" t="n">
        <v>45769</v>
      </c>
      <c r="C1232" s="1" t="n">
        <v>45790</v>
      </c>
      <c r="D1232" t="inlineStr">
        <is>
          <t>VÄRMLANDS LÄN</t>
        </is>
      </c>
      <c r="E1232" t="inlineStr">
        <is>
          <t>KARLSTAD</t>
        </is>
      </c>
      <c r="F1232" t="inlineStr">
        <is>
          <t>Bergvik skog väst AB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19410-2025</t>
        </is>
      </c>
      <c r="B1233" s="1" t="n">
        <v>45769</v>
      </c>
      <c r="C1233" s="1" t="n">
        <v>45790</v>
      </c>
      <c r="D1233" t="inlineStr">
        <is>
          <t>VÄRMLANDS LÄN</t>
        </is>
      </c>
      <c r="E1233" t="inlineStr">
        <is>
          <t>KARLSTAD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45790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45790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45790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45790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45790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45790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21844-2025</t>
        </is>
      </c>
      <c r="B1240" s="1" t="n">
        <v>45784</v>
      </c>
      <c r="C1240" s="1" t="n">
        <v>45790</v>
      </c>
      <c r="D1240" t="inlineStr">
        <is>
          <t>VÄRMLANDS LÄN</t>
        </is>
      </c>
      <c r="E1240" t="inlineStr">
        <is>
          <t>KARLSTAD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45790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21849-2025</t>
        </is>
      </c>
      <c r="B1242" s="1" t="n">
        <v>45784</v>
      </c>
      <c r="C1242" s="1" t="n">
        <v>45790</v>
      </c>
      <c r="D1242" t="inlineStr">
        <is>
          <t>VÄRMLANDS LÄN</t>
        </is>
      </c>
      <c r="E1242" t="inlineStr">
        <is>
          <t>KARLSTAD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21838-2025</t>
        </is>
      </c>
      <c r="B1243" s="1" t="n">
        <v>45784</v>
      </c>
      <c r="C1243" s="1" t="n">
        <v>45790</v>
      </c>
      <c r="D1243" t="inlineStr">
        <is>
          <t>VÄRMLANDS LÄN</t>
        </is>
      </c>
      <c r="E1243" t="inlineStr">
        <is>
          <t>KARLSTAD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21840-2025</t>
        </is>
      </c>
      <c r="B1244" s="1" t="n">
        <v>45784</v>
      </c>
      <c r="C1244" s="1" t="n">
        <v>45790</v>
      </c>
      <c r="D1244" t="inlineStr">
        <is>
          <t>VÄRMLANDS LÄN</t>
        </is>
      </c>
      <c r="E1244" t="inlineStr">
        <is>
          <t>KARLSTAD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45790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45790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22644-2025</t>
        </is>
      </c>
      <c r="B1247" s="1" t="n">
        <v>45789</v>
      </c>
      <c r="C1247" s="1" t="n">
        <v>45790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13.8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45790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22585-2025</t>
        </is>
      </c>
      <c r="B1249" s="1" t="n">
        <v>45789</v>
      </c>
      <c r="C1249" s="1" t="n">
        <v>45790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>
      <c r="A1250" t="inlineStr">
        <is>
          <t>A 22591-2025</t>
        </is>
      </c>
      <c r="B1250" s="1" t="n">
        <v>45789</v>
      </c>
      <c r="C1250" s="1" t="n">
        <v>45790</v>
      </c>
      <c r="D1250" t="inlineStr">
        <is>
          <t>VÄRMLANDS LÄN</t>
        </is>
      </c>
      <c r="E1250" t="inlineStr">
        <is>
          <t>KARLSTAD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2025-05-13T17:46:31Z</dcterms:created>
  <dcterms:modified xmlns:dcterms="http://purl.org/dc/terms/" xmlns:xsi="http://www.w3.org/2001/XMLSchema-instance" xsi:type="dcterms:W3CDTF">2025-05-13T17:46:32Z</dcterms:modified>
</cp:coreProperties>
</file>