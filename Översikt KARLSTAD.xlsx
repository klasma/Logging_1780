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46193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46193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44469-2022</t>
        </is>
      </c>
      <c r="B6" s="1" t="n">
        <v>44838</v>
      </c>
      <c r="C6" s="1" t="n">
        <v>46193</v>
      </c>
      <c r="D6" t="inlineStr">
        <is>
          <t>VÄRMLANDS LÄN</t>
        </is>
      </c>
      <c r="E6" t="inlineStr">
        <is>
          <t>KARLSTAD</t>
        </is>
      </c>
      <c r="G6" t="n">
        <v>9.300000000000001</v>
      </c>
      <c r="H6" t="n">
        <v>1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Grangråticka
Taggfingersvamp
Dofttaggsvamp
Fjällig taggsvamp s.str.
Skarp dropptaggsvamp
Rödgul trumpetsvamp
Zontaggsvamp
Äkta lopplummer</t>
        </is>
      </c>
      <c r="S6">
        <f>HYPERLINK("https://klasma.github.io/Logging_1780/artfynd/A 44469-2022 artfynd.xlsx", "A 44469-2022")</f>
        <v/>
      </c>
      <c r="T6">
        <f>HYPERLINK("https://klasma.github.io/Logging_1780/kartor/A 44469-2022 karta.png", "A 44469-2022")</f>
        <v/>
      </c>
      <c r="V6">
        <f>HYPERLINK("https://klasma.github.io/Logging_1780/klagomål/A 44469-2022 FSC-klagomål.docx", "A 44469-2022")</f>
        <v/>
      </c>
      <c r="W6">
        <f>HYPERLINK("https://klasma.github.io/Logging_1780/klagomålsmail/A 44469-2022 FSC-klagomål mail.docx", "A 44469-2022")</f>
        <v/>
      </c>
      <c r="X6">
        <f>HYPERLINK("https://klasma.github.io/Logging_1780/tillsyn/A 44469-2022 tillsynsbegäran.docx", "A 44469-2022")</f>
        <v/>
      </c>
      <c r="Y6">
        <f>HYPERLINK("https://klasma.github.io/Logging_1780/tillsynsmail/A 44469-2022 tillsynsbegäran mail.docx", "A 44469-2022")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46193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46193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46193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1</v>
      </c>
      <c r="K9" t="n">
        <v>5</v>
      </c>
      <c r="L9" t="n">
        <v>0</v>
      </c>
      <c r="M9" t="n">
        <v>0</v>
      </c>
      <c r="N9" t="n">
        <v>0</v>
      </c>
      <c r="O9" t="n">
        <v>6</v>
      </c>
      <c r="P9" t="n">
        <v>5</v>
      </c>
      <c r="Q9" t="n">
        <v>6</v>
      </c>
      <c r="R9" s="2" t="inlineStr">
        <is>
          <t>Brun gräsfjäril
Brunfläckig pärlemorfjäril
Silverblåvinge
Violettkantad guldvinge
Ängsblåvinge
Sotnätfjäril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47561-2023</t>
        </is>
      </c>
      <c r="B10" s="1" t="n">
        <v>45197</v>
      </c>
      <c r="C10" s="1" t="n">
        <v>46193</v>
      </c>
      <c r="D10" t="inlineStr">
        <is>
          <t>VÄRMLANDS LÄN</t>
        </is>
      </c>
      <c r="E10" t="inlineStr">
        <is>
          <t>KARLSTAD</t>
        </is>
      </c>
      <c r="G10" t="n">
        <v>3.2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Violettkantad guldvinge
Mindre hackspett
Ängsmetallvinge
Gröngöling
Fläcknycklar</t>
        </is>
      </c>
      <c r="S10">
        <f>HYPERLINK("https://klasma.github.io/Logging_1780/artfynd/A 47561-2023 artfynd.xlsx", "A 47561-2023")</f>
        <v/>
      </c>
      <c r="T10">
        <f>HYPERLINK("https://klasma.github.io/Logging_1780/kartor/A 47561-2023 karta.png", "A 47561-2023")</f>
        <v/>
      </c>
      <c r="V10">
        <f>HYPERLINK("https://klasma.github.io/Logging_1780/klagomål/A 47561-2023 FSC-klagomål.docx", "A 47561-2023")</f>
        <v/>
      </c>
      <c r="W10">
        <f>HYPERLINK("https://klasma.github.io/Logging_1780/klagomålsmail/A 47561-2023 FSC-klagomål mail.docx", "A 47561-2023")</f>
        <v/>
      </c>
      <c r="X10">
        <f>HYPERLINK("https://klasma.github.io/Logging_1780/tillsyn/A 47561-2023 tillsynsbegäran.docx", "A 47561-2023")</f>
        <v/>
      </c>
      <c r="Y10">
        <f>HYPERLINK("https://klasma.github.io/Logging_1780/tillsynsmail/A 47561-2023 tillsynsbegäran mail.docx", "A 47561-2023")</f>
        <v/>
      </c>
      <c r="Z10">
        <f>HYPERLINK("https://klasma.github.io/Logging_1780/fåglar/A 47561-2023 prioriterade fågelarter.docx", "A 47561-2023")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46193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Ullticka
Barkticka
Kornig nållav
Åkergroda
Vanlig groda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s="1" t="n">
        <v>46049</v>
      </c>
      <c r="C12" s="1" t="n">
        <v>46193</v>
      </c>
      <c r="D12" t="inlineStr">
        <is>
          <t>VÄRMLANDS LÄN</t>
        </is>
      </c>
      <c r="E12" t="inlineStr">
        <is>
          <t>KARLSTAD</t>
        </is>
      </c>
      <c r="G12" t="n">
        <v>2.4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Gullpudra
Grönpyrola
Svart trolldruva
Blåsippa
Revlummer</t>
        </is>
      </c>
      <c r="S12">
        <f>HYPERLINK("https://klasma.github.io/Logging_1780/artfynd/A 5148-2026 artfynd.xlsx", "A 5148-2026")</f>
        <v/>
      </c>
      <c r="T12">
        <f>HYPERLINK("https://klasma.github.io/Logging_1780/kartor/A 5148-2026 karta.png", "A 5148-2026")</f>
        <v/>
      </c>
      <c r="V12">
        <f>HYPERLINK("https://klasma.github.io/Logging_1780/klagomål/A 5148-2026 FSC-klagomål.docx", "A 5148-2026")</f>
        <v/>
      </c>
      <c r="W12">
        <f>HYPERLINK("https://klasma.github.io/Logging_1780/klagomålsmail/A 5148-2026 FSC-klagomål mail.docx", "A 5148-2026")</f>
        <v/>
      </c>
      <c r="X12">
        <f>HYPERLINK("https://klasma.github.io/Logging_1780/tillsyn/A 5148-2026 tillsynsbegäran.docx", "A 5148-2026")</f>
        <v/>
      </c>
      <c r="Y12">
        <f>HYPERLINK("https://klasma.github.io/Logging_1780/tillsynsmail/A 5148-2026 tillsynsbegäran mail.docx", "A 5148-2026")</f>
        <v/>
      </c>
    </row>
    <row r="13" ht="15" customHeight="1">
      <c r="A13" t="inlineStr">
        <is>
          <t>A 23629-2026</t>
        </is>
      </c>
      <c r="B13" s="1" t="n">
        <v>46163</v>
      </c>
      <c r="C13" s="1" t="n">
        <v>46193</v>
      </c>
      <c r="D13" t="inlineStr">
        <is>
          <t>VÄRMLANDS LÄN</t>
        </is>
      </c>
      <c r="E13" t="inlineStr">
        <is>
          <t>KARLSTAD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Ask
Fällmossa
Trubbfjädermossa
Trädporella
Lopplummer (aggregat)</t>
        </is>
      </c>
      <c r="S13">
        <f>HYPERLINK("https://klasma.github.io/Logging_1780/artfynd/A 23629-2026 artfynd.xlsx", "A 23629-2026")</f>
        <v/>
      </c>
      <c r="T13">
        <f>HYPERLINK("https://klasma.github.io/Logging_1780/kartor/A 23629-2026 karta.png", "A 23629-2026")</f>
        <v/>
      </c>
      <c r="V13">
        <f>HYPERLINK("https://klasma.github.io/Logging_1780/klagomål/A 23629-2026 FSC-klagomål.docx", "A 23629-2026")</f>
        <v/>
      </c>
      <c r="W13">
        <f>HYPERLINK("https://klasma.github.io/Logging_1780/klagomålsmail/A 23629-2026 FSC-klagomål mail.docx", "A 23629-2026")</f>
        <v/>
      </c>
      <c r="X13">
        <f>HYPERLINK("https://klasma.github.io/Logging_1780/tillsyn/A 23629-2026 tillsynsbegäran.docx", "A 23629-2026")</f>
        <v/>
      </c>
      <c r="Y13">
        <f>HYPERLINK("https://klasma.github.io/Logging_1780/tillsynsmail/A 23629-2026 tillsynsbegäran mail.docx", "A 23629-2026")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46193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Mattlummer
Spillkråka
Åkergroda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33866-2021</t>
        </is>
      </c>
      <c r="B17" s="1" t="n">
        <v>44378</v>
      </c>
      <c r="C17" s="1" t="n">
        <v>46193</v>
      </c>
      <c r="D17" t="inlineStr">
        <is>
          <t>VÄRMLANDS LÄN</t>
        </is>
      </c>
      <c r="E17" t="inlineStr">
        <is>
          <t>KARLSTAD</t>
        </is>
      </c>
      <c r="F17" t="inlineStr">
        <is>
          <t>Kyrkan</t>
        </is>
      </c>
      <c r="G17" t="n">
        <v>5.8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Nattviol</t>
        </is>
      </c>
      <c r="S17">
        <f>HYPERLINK("https://klasma.github.io/Logging_1780/artfynd/A 33866-2021 artfynd.xlsx", "A 33866-2021")</f>
        <v/>
      </c>
      <c r="T17">
        <f>HYPERLINK("https://klasma.github.io/Logging_1780/kartor/A 33866-2021 karta.png", "A 33866-2021")</f>
        <v/>
      </c>
      <c r="V17">
        <f>HYPERLINK("https://klasma.github.io/Logging_1780/klagomål/A 33866-2021 FSC-klagomål.docx", "A 33866-2021")</f>
        <v/>
      </c>
      <c r="W17">
        <f>HYPERLINK("https://klasma.github.io/Logging_1780/klagomålsmail/A 33866-2021 FSC-klagomål mail.docx", "A 33866-2021")</f>
        <v/>
      </c>
      <c r="X17">
        <f>HYPERLINK("https://klasma.github.io/Logging_1780/tillsyn/A 33866-2021 tillsynsbegäran.docx", "A 33866-2021")</f>
        <v/>
      </c>
      <c r="Y17">
        <f>HYPERLINK("https://klasma.github.io/Logging_1780/tillsynsmail/A 33866-2021 tillsynsbegäran mail.docx", "A 33866-2021")</f>
        <v/>
      </c>
    </row>
    <row r="18" ht="15" customHeight="1">
      <c r="A18" t="inlineStr">
        <is>
          <t>A 12633-2025</t>
        </is>
      </c>
      <c r="B18" s="1" t="n">
        <v>45733</v>
      </c>
      <c r="C18" s="1" t="n">
        <v>46193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9.1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Plattlummer
Stubbspretmossa
Mattlummer</t>
        </is>
      </c>
      <c r="S18">
        <f>HYPERLINK("https://klasma.github.io/Logging_1780/artfynd/A 12633-2025 artfynd.xlsx", "A 12633-2025")</f>
        <v/>
      </c>
      <c r="T18">
        <f>HYPERLINK("https://klasma.github.io/Logging_1780/kartor/A 12633-2025 karta.png", "A 12633-2025")</f>
        <v/>
      </c>
      <c r="V18">
        <f>HYPERLINK("https://klasma.github.io/Logging_1780/klagomål/A 12633-2025 FSC-klagomål.docx", "A 12633-2025")</f>
        <v/>
      </c>
      <c r="W18">
        <f>HYPERLINK("https://klasma.github.io/Logging_1780/klagomålsmail/A 12633-2025 FSC-klagomål mail.docx", "A 12633-2025")</f>
        <v/>
      </c>
      <c r="X18">
        <f>HYPERLINK("https://klasma.github.io/Logging_1780/tillsyn/A 12633-2025 tillsynsbegäran.docx", "A 12633-2025")</f>
        <v/>
      </c>
      <c r="Y18">
        <f>HYPERLINK("https://klasma.github.io/Logging_1780/tillsynsmail/A 12633-2025 tillsynsbegäran mail.docx", "A 12633-2025")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46193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46193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46193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47986-2025</t>
        </is>
      </c>
      <c r="B23" s="1" t="n">
        <v>45932</v>
      </c>
      <c r="C23" s="1" t="n">
        <v>46193</v>
      </c>
      <c r="D23" t="inlineStr">
        <is>
          <t>VÄRMLANDS LÄN</t>
        </is>
      </c>
      <c r="E23" t="inlineStr">
        <is>
          <t>KARLSTAD</t>
        </is>
      </c>
      <c r="G23" t="n">
        <v>2.2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Kandelabersvamp
Motaggsvamp</t>
        </is>
      </c>
      <c r="S23">
        <f>HYPERLINK("https://klasma.github.io/Logging_1780/artfynd/A 47986-2025 artfynd.xlsx", "A 47986-2025")</f>
        <v/>
      </c>
      <c r="T23">
        <f>HYPERLINK("https://klasma.github.io/Logging_1780/kartor/A 47986-2025 karta.png", "A 47986-2025")</f>
        <v/>
      </c>
      <c r="V23">
        <f>HYPERLINK("https://klasma.github.io/Logging_1780/klagomål/A 47986-2025 FSC-klagomål.docx", "A 47986-2025")</f>
        <v/>
      </c>
      <c r="W23">
        <f>HYPERLINK("https://klasma.github.io/Logging_1780/klagomålsmail/A 47986-2025 FSC-klagomål mail.docx", "A 47986-2025")</f>
        <v/>
      </c>
      <c r="X23">
        <f>HYPERLINK("https://klasma.github.io/Logging_1780/tillsyn/A 47986-2025 tillsynsbegäran.docx", "A 47986-2025")</f>
        <v/>
      </c>
      <c r="Y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s="1" t="n">
        <v>46013</v>
      </c>
      <c r="C24" s="1" t="n">
        <v>46193</v>
      </c>
      <c r="D24" t="inlineStr">
        <is>
          <t>VÄRMLANDS LÄN</t>
        </is>
      </c>
      <c r="E24" t="inlineStr">
        <is>
          <t>KARLSTAD</t>
        </is>
      </c>
      <c r="G24" t="n">
        <v>0.6</v>
      </c>
      <c r="H24" t="n">
        <v>3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Pilgrimsfalk
Tofsvipa
Fjällvråk</t>
        </is>
      </c>
      <c r="S24">
        <f>HYPERLINK("https://klasma.github.io/Logging_1780/artfynd/A 63593-2025 artfynd.xlsx", "A 63593-2025")</f>
        <v/>
      </c>
      <c r="T24">
        <f>HYPERLINK("https://klasma.github.io/Logging_1780/kartor/A 63593-2025 karta.png", "A 63593-2025")</f>
        <v/>
      </c>
      <c r="V24">
        <f>HYPERLINK("https://klasma.github.io/Logging_1780/klagomål/A 63593-2025 FSC-klagomål.docx", "A 63593-2025")</f>
        <v/>
      </c>
      <c r="W24">
        <f>HYPERLINK("https://klasma.github.io/Logging_1780/klagomålsmail/A 63593-2025 FSC-klagomål mail.docx", "A 63593-2025")</f>
        <v/>
      </c>
      <c r="X24">
        <f>HYPERLINK("https://klasma.github.io/Logging_1780/tillsyn/A 63593-2025 tillsynsbegäran.docx", "A 63593-2025")</f>
        <v/>
      </c>
      <c r="Y24">
        <f>HYPERLINK("https://klasma.github.io/Logging_1780/tillsynsmail/A 63593-2025 tillsynsbegäran mail.docx", "A 63593-2025")</f>
        <v/>
      </c>
      <c r="Z24">
        <f>HYPERLINK("https://klasma.github.io/Logging_1780/fåglar/A 63593-2025 prioriterade fågelarter.docx", "A 63593-2025")</f>
        <v/>
      </c>
    </row>
    <row r="25" ht="15" customHeight="1">
      <c r="A25" t="inlineStr">
        <is>
          <t>A 41534-2023</t>
        </is>
      </c>
      <c r="B25" s="1" t="n">
        <v>45175</v>
      </c>
      <c r="C25" s="1" t="n">
        <v>46193</v>
      </c>
      <c r="D25" t="inlineStr">
        <is>
          <t>VÄRMLANDS LÄN</t>
        </is>
      </c>
      <c r="E25" t="inlineStr">
        <is>
          <t>KARLSTAD</t>
        </is>
      </c>
      <c r="F25" t="inlineStr">
        <is>
          <t>Övriga Aktiebolag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Tjäder
Tofsmes</t>
        </is>
      </c>
      <c r="S25">
        <f>HYPERLINK("https://klasma.github.io/Logging_1780/artfynd/A 41534-2023 artfynd.xlsx", "A 41534-2023")</f>
        <v/>
      </c>
      <c r="T25">
        <f>HYPERLINK("https://klasma.github.io/Logging_1780/kartor/A 41534-2023 karta.png", "A 41534-2023")</f>
        <v/>
      </c>
      <c r="V25">
        <f>HYPERLINK("https://klasma.github.io/Logging_1780/klagomål/A 41534-2023 FSC-klagomål.docx", "A 41534-2023")</f>
        <v/>
      </c>
      <c r="W25">
        <f>HYPERLINK("https://klasma.github.io/Logging_1780/klagomålsmail/A 41534-2023 FSC-klagomål mail.docx", "A 41534-2023")</f>
        <v/>
      </c>
      <c r="X25">
        <f>HYPERLINK("https://klasma.github.io/Logging_1780/tillsyn/A 41534-2023 tillsynsbegäran.docx", "A 41534-2023")</f>
        <v/>
      </c>
      <c r="Y25">
        <f>HYPERLINK("https://klasma.github.io/Logging_1780/tillsynsmail/A 41534-2023 tillsynsbegäran mail.docx", "A 41534-2023")</f>
        <v/>
      </c>
      <c r="Z25">
        <f>HYPERLINK("https://klasma.github.io/Logging_1780/fåglar/A 41534-2023 prioriterade fågelarter.docx", "A 41534-2023")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46193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46193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46193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46193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50825-2021</t>
        </is>
      </c>
      <c r="B30" s="1" t="n">
        <v>44460</v>
      </c>
      <c r="C30" s="1" t="n">
        <v>46193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Mindre märgborre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59639-2021</t>
        </is>
      </c>
      <c r="B31" s="1" t="n">
        <v>44493</v>
      </c>
      <c r="C31" s="1" t="n">
        <v>46193</v>
      </c>
      <c r="D31" t="inlineStr">
        <is>
          <t>VÄRMLANDS LÄN</t>
        </is>
      </c>
      <c r="E31" t="inlineStr">
        <is>
          <t>KARLSTAD</t>
        </is>
      </c>
      <c r="G31" t="n">
        <v>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Dvärghäxört</t>
        </is>
      </c>
      <c r="S31">
        <f>HYPERLINK("https://klasma.github.io/Logging_1780/artfynd/A 59639-2021 artfynd.xlsx", "A 59639-2021")</f>
        <v/>
      </c>
      <c r="T31">
        <f>HYPERLINK("https://klasma.github.io/Logging_1780/kartor/A 59639-2021 karta.png", "A 59639-2021")</f>
        <v/>
      </c>
      <c r="V31">
        <f>HYPERLINK("https://klasma.github.io/Logging_1780/klagomål/A 59639-2021 FSC-klagomål.docx", "A 59639-2021")</f>
        <v/>
      </c>
      <c r="W31">
        <f>HYPERLINK("https://klasma.github.io/Logging_1780/klagomålsmail/A 59639-2021 FSC-klagomål mail.docx", "A 59639-2021")</f>
        <v/>
      </c>
      <c r="X31">
        <f>HYPERLINK("https://klasma.github.io/Logging_1780/tillsyn/A 59639-2021 tillsynsbegäran.docx", "A 59639-2021")</f>
        <v/>
      </c>
      <c r="Y31">
        <f>HYPERLINK("https://klasma.github.io/Logging_1780/tillsynsmail/A 59639-2021 tillsynsbegäran mail.docx", "A 59639-2021")</f>
        <v/>
      </c>
    </row>
    <row r="32" ht="15" customHeight="1">
      <c r="A32" t="inlineStr">
        <is>
          <t>A 25330-2024</t>
        </is>
      </c>
      <c r="B32" s="1" t="n">
        <v>45462</v>
      </c>
      <c r="C32" s="1" t="n">
        <v>46193</v>
      </c>
      <c r="D32" t="inlineStr">
        <is>
          <t>VÄRMLANDS LÄN</t>
        </is>
      </c>
      <c r="E32" t="inlineStr">
        <is>
          <t>KARLSTAD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Spillkråka</t>
        </is>
      </c>
      <c r="S32">
        <f>HYPERLINK("https://klasma.github.io/Logging_1780/artfynd/A 25330-2024 artfynd.xlsx", "A 25330-2024")</f>
        <v/>
      </c>
      <c r="T32">
        <f>HYPERLINK("https://klasma.github.io/Logging_1780/kartor/A 25330-2024 karta.png", "A 25330-2024")</f>
        <v/>
      </c>
      <c r="V32">
        <f>HYPERLINK("https://klasma.github.io/Logging_1780/klagomål/A 25330-2024 FSC-klagomål.docx", "A 25330-2024")</f>
        <v/>
      </c>
      <c r="W32">
        <f>HYPERLINK("https://klasma.github.io/Logging_1780/klagomålsmail/A 25330-2024 FSC-klagomål mail.docx", "A 25330-2024")</f>
        <v/>
      </c>
      <c r="X32">
        <f>HYPERLINK("https://klasma.github.io/Logging_1780/tillsyn/A 25330-2024 tillsynsbegäran.docx", "A 25330-2024")</f>
        <v/>
      </c>
      <c r="Y32">
        <f>HYPERLINK("https://klasma.github.io/Logging_1780/tillsynsmail/A 25330-2024 tillsynsbegäran mail.docx", "A 25330-2024")</f>
        <v/>
      </c>
      <c r="Z32">
        <f>HYPERLINK("https://klasma.github.io/Logging_1780/fåglar/A 25330-2024 prioriterade fågelarter.docx", "A 25330-2024")</f>
        <v/>
      </c>
    </row>
    <row r="33" ht="15" customHeight="1">
      <c r="A33" t="inlineStr">
        <is>
          <t>A 57145-2024</t>
        </is>
      </c>
      <c r="B33" s="1" t="n">
        <v>45629</v>
      </c>
      <c r="C33" s="1" t="n">
        <v>46193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Bårdlav
Blåsippa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59639-2021</t>
        </is>
      </c>
      <c r="B34" s="1" t="n">
        <v>44493</v>
      </c>
      <c r="C34" s="1" t="n">
        <v>46193</v>
      </c>
      <c r="D34" t="inlineStr">
        <is>
          <t>VÄRMLANDS LÄN</t>
        </is>
      </c>
      <c r="E34" t="inlineStr">
        <is>
          <t>KARLSTAD</t>
        </is>
      </c>
      <c r="G34" t="n">
        <v>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Gullpudra
Dvärghäxört</t>
        </is>
      </c>
      <c r="S34">
        <f>HYPERLINK("https://klasma.github.io/Logging_1780/artfynd/A 59639-2021 artfynd.xlsx", "A 59639-2021")</f>
        <v/>
      </c>
      <c r="T34">
        <f>HYPERLINK("https://klasma.github.io/Logging_1780/kartor/A 59639-2021 karta.png", "A 59639-2021")</f>
        <v/>
      </c>
      <c r="V34">
        <f>HYPERLINK("https://klasma.github.io/Logging_1780/klagomål/A 59639-2021 FSC-klagomål.docx", "A 59639-2021")</f>
        <v/>
      </c>
      <c r="W34">
        <f>HYPERLINK("https://klasma.github.io/Logging_1780/klagomålsmail/A 59639-2021 FSC-klagomål mail.docx", "A 59639-2021")</f>
        <v/>
      </c>
      <c r="X34">
        <f>HYPERLINK("https://klasma.github.io/Logging_1780/tillsyn/A 59639-2021 tillsynsbegäran.docx", "A 59639-2021")</f>
        <v/>
      </c>
      <c r="Y34">
        <f>HYPERLINK("https://klasma.github.io/Logging_1780/tillsynsmail/A 59639-2021 tillsynsbegäran mail.docx", "A 59639-2021")</f>
        <v/>
      </c>
    </row>
    <row r="35" ht="15" customHeight="1">
      <c r="A35" t="inlineStr">
        <is>
          <t>A 9499-2024</t>
        </is>
      </c>
      <c r="B35" s="1" t="n">
        <v>45359</v>
      </c>
      <c r="C35" s="1" t="n">
        <v>46193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HYPERLINK("https://klasma.github.io/Logging_1780/artfynd/A 9499-2024 artfynd.xlsx", "A 9499-2024")</f>
        <v/>
      </c>
      <c r="T35">
        <f>HYPERLINK("https://klasma.github.io/Logging_1780/kartor/A 9499-2024 karta.png", "A 9499-2024")</f>
        <v/>
      </c>
      <c r="V35">
        <f>HYPERLINK("https://klasma.github.io/Logging_1780/klagomål/A 9499-2024 FSC-klagomål.docx", "A 9499-2024")</f>
        <v/>
      </c>
      <c r="W35">
        <f>HYPERLINK("https://klasma.github.io/Logging_1780/klagomålsmail/A 9499-2024 FSC-klagomål mail.docx", "A 9499-2024")</f>
        <v/>
      </c>
      <c r="X35">
        <f>HYPERLINK("https://klasma.github.io/Logging_1780/tillsyn/A 9499-2024 tillsynsbegäran.docx", "A 9499-2024")</f>
        <v/>
      </c>
      <c r="Y35">
        <f>HYPERLINK("https://klasma.github.io/Logging_1780/tillsynsmail/A 9499-2024 tillsynsbegäran mail.docx", "A 9499-2024")</f>
        <v/>
      </c>
      <c r="Z35">
        <f>HYPERLINK("https://klasma.github.io/Logging_1780/fåglar/A 9499-2024 prioriterade fågelarter.docx", "A 9499-2024")</f>
        <v/>
      </c>
    </row>
    <row r="36" ht="15" customHeight="1">
      <c r="A36" t="inlineStr">
        <is>
          <t>A 47105-2025</t>
        </is>
      </c>
      <c r="B36" s="1" t="n">
        <v>45929</v>
      </c>
      <c r="C36" s="1" t="n">
        <v>46193</v>
      </c>
      <c r="D36" t="inlineStr">
        <is>
          <t>VÄRMLANDS LÄN</t>
        </is>
      </c>
      <c r="E36" t="inlineStr">
        <is>
          <t>KARLSTAD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Gullviva</t>
        </is>
      </c>
      <c r="S36">
        <f>HYPERLINK("https://klasma.github.io/Logging_1780/artfynd/A 47105-2025 artfynd.xlsx", "A 47105-2025")</f>
        <v/>
      </c>
      <c r="T36">
        <f>HYPERLINK("https://klasma.github.io/Logging_1780/kartor/A 47105-2025 karta.png", "A 47105-2025")</f>
        <v/>
      </c>
      <c r="V36">
        <f>HYPERLINK("https://klasma.github.io/Logging_1780/klagomål/A 47105-2025 FSC-klagomål.docx", "A 47105-2025")</f>
        <v/>
      </c>
      <c r="W36">
        <f>HYPERLINK("https://klasma.github.io/Logging_1780/klagomålsmail/A 47105-2025 FSC-klagomål mail.docx", "A 47105-2025")</f>
        <v/>
      </c>
      <c r="X36">
        <f>HYPERLINK("https://klasma.github.io/Logging_1780/tillsyn/A 47105-2025 tillsynsbegäran.docx", "A 47105-2025")</f>
        <v/>
      </c>
      <c r="Y36">
        <f>HYPERLINK("https://klasma.github.io/Logging_1780/tillsynsmail/A 47105-2025 tillsynsbegäran mail.docx", "A 47105-2025")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46193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Lopplummer (aggregat)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25097-2025</t>
        </is>
      </c>
      <c r="B38" s="1" t="n">
        <v>45798</v>
      </c>
      <c r="C38" s="1" t="n">
        <v>46193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Kandelabersvamp
Vågticka</t>
        </is>
      </c>
      <c r="S38">
        <f>HYPERLINK("https://klasma.github.io/Logging_1780/artfynd/A 25097-2025 artfynd.xlsx", "A 25097-2025")</f>
        <v/>
      </c>
      <c r="T38">
        <f>HYPERLINK("https://klasma.github.io/Logging_1780/kartor/A 25097-2025 karta.png", "A 25097-2025")</f>
        <v/>
      </c>
      <c r="V38">
        <f>HYPERLINK("https://klasma.github.io/Logging_1780/klagomål/A 25097-2025 FSC-klagomål.docx", "A 25097-2025")</f>
        <v/>
      </c>
      <c r="W38">
        <f>HYPERLINK("https://klasma.github.io/Logging_1780/klagomålsmail/A 25097-2025 FSC-klagomål mail.docx", "A 25097-2025")</f>
        <v/>
      </c>
      <c r="X38">
        <f>HYPERLINK("https://klasma.github.io/Logging_1780/tillsyn/A 25097-2025 tillsynsbegäran.docx", "A 25097-2025")</f>
        <v/>
      </c>
      <c r="Y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s="1" t="n">
        <v>45986</v>
      </c>
      <c r="C39" s="1" t="n">
        <v>46193</v>
      </c>
      <c r="D39" t="inlineStr">
        <is>
          <t>VÄRMLANDS LÄN</t>
        </is>
      </c>
      <c r="E39" t="inlineStr">
        <is>
          <t>KARLSTAD</t>
        </is>
      </c>
      <c r="G39" t="n">
        <v>5.6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Vårärt
Svart trolldruva</t>
        </is>
      </c>
      <c r="S39">
        <f>HYPERLINK("https://klasma.github.io/Logging_1780/artfynd/A 58911-2025 artfynd.xlsx", "A 58911-2025")</f>
        <v/>
      </c>
      <c r="T39">
        <f>HYPERLINK("https://klasma.github.io/Logging_1780/kartor/A 58911-2025 karta.png", "A 58911-2025")</f>
        <v/>
      </c>
      <c r="V39">
        <f>HYPERLINK("https://klasma.github.io/Logging_1780/klagomål/A 58911-2025 FSC-klagomål.docx", "A 58911-2025")</f>
        <v/>
      </c>
      <c r="W39">
        <f>HYPERLINK("https://klasma.github.io/Logging_1780/klagomålsmail/A 58911-2025 FSC-klagomål mail.docx", "A 58911-2025")</f>
        <v/>
      </c>
      <c r="X39">
        <f>HYPERLINK("https://klasma.github.io/Logging_1780/tillsyn/A 58911-2025 tillsynsbegäran.docx", "A 58911-2025")</f>
        <v/>
      </c>
      <c r="Y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46193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9023-2026</t>
        </is>
      </c>
      <c r="B41" s="1" t="n">
        <v>46069</v>
      </c>
      <c r="C41" s="1" t="n">
        <v>46193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Linnea
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46193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46193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46193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13191-2024</t>
        </is>
      </c>
      <c r="B45" s="1" t="n">
        <v>45386</v>
      </c>
      <c r="C45" s="1" t="n">
        <v>46193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HYPERLINK("https://klasma.github.io/Logging_1780/artfynd/A 13191-2024 artfynd.xlsx", "A 13191-2024")</f>
        <v/>
      </c>
      <c r="T45">
        <f>HYPERLINK("https://klasma.github.io/Logging_1780/kartor/A 13191-2024 karta.png", "A 13191-2024")</f>
        <v/>
      </c>
      <c r="V45">
        <f>HYPERLINK("https://klasma.github.io/Logging_1780/klagomål/A 13191-2024 FSC-klagomål.docx", "A 13191-2024")</f>
        <v/>
      </c>
      <c r="W45">
        <f>HYPERLINK("https://klasma.github.io/Logging_1780/klagomålsmail/A 13191-2024 FSC-klagomål mail.docx", "A 13191-2024")</f>
        <v/>
      </c>
      <c r="X45">
        <f>HYPERLINK("https://klasma.github.io/Logging_1780/tillsyn/A 13191-2024 tillsynsbegäran.docx", "A 13191-2024")</f>
        <v/>
      </c>
      <c r="Y45">
        <f>HYPERLINK("https://klasma.github.io/Logging_1780/tillsynsmail/A 13191-2024 tillsynsbegäran mail.docx", "A 13191-2024")</f>
        <v/>
      </c>
      <c r="Z45">
        <f>HYPERLINK("https://klasma.github.io/Logging_1780/fåglar/A 13191-2024 prioriterade fågelarter.docx", "A 13191-2024")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46193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6260-2023</t>
        </is>
      </c>
      <c r="B47" s="1" t="n">
        <v>44959</v>
      </c>
      <c r="C47" s="1" t="n">
        <v>46193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Trädporella</t>
        </is>
      </c>
      <c r="S47">
        <f>HYPERLINK("https://klasma.github.io/Logging_1780/artfynd/A 6260-2023 artfynd.xlsx", "A 6260-2023")</f>
        <v/>
      </c>
      <c r="T47">
        <f>HYPERLINK("https://klasma.github.io/Logging_1780/kartor/A 6260-2023 karta.png", "A 6260-2023")</f>
        <v/>
      </c>
      <c r="V47">
        <f>HYPERLINK("https://klasma.github.io/Logging_1780/klagomål/A 6260-2023 FSC-klagomål.docx", "A 6260-2023")</f>
        <v/>
      </c>
      <c r="W47">
        <f>HYPERLINK("https://klasma.github.io/Logging_1780/klagomålsmail/A 6260-2023 FSC-klagomål mail.docx", "A 6260-2023")</f>
        <v/>
      </c>
      <c r="X47">
        <f>HYPERLINK("https://klasma.github.io/Logging_1780/tillsyn/A 6260-2023 tillsynsbegäran.docx", "A 6260-2023")</f>
        <v/>
      </c>
      <c r="Y47">
        <f>HYPERLINK("https://klasma.github.io/Logging_1780/tillsynsmail/A 6260-2023 tillsynsbegäran mail.docx", "A 6260-2023")</f>
        <v/>
      </c>
    </row>
    <row r="48" ht="15" customHeight="1">
      <c r="A48" t="inlineStr">
        <is>
          <t>A 8944-2025</t>
        </is>
      </c>
      <c r="B48" s="1" t="n">
        <v>45713</v>
      </c>
      <c r="C48" s="1" t="n">
        <v>46193</v>
      </c>
      <c r="D48" t="inlineStr">
        <is>
          <t>VÄRMLANDS LÄN</t>
        </is>
      </c>
      <c r="E48" t="inlineStr">
        <is>
          <t>KARLSTAD</t>
        </is>
      </c>
      <c r="G48" t="n">
        <v>12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8944-2025 artfynd.xlsx", "A 8944-2025")</f>
        <v/>
      </c>
      <c r="T48">
        <f>HYPERLINK("https://klasma.github.io/Logging_1780/kartor/A 8944-2025 karta.png", "A 8944-2025")</f>
        <v/>
      </c>
      <c r="V48">
        <f>HYPERLINK("https://klasma.github.io/Logging_1780/klagomål/A 8944-2025 FSC-klagomål.docx", "A 8944-2025")</f>
        <v/>
      </c>
      <c r="W48">
        <f>HYPERLINK("https://klasma.github.io/Logging_1780/klagomålsmail/A 8944-2025 FSC-klagomål mail.docx", "A 8944-2025")</f>
        <v/>
      </c>
      <c r="X48">
        <f>HYPERLINK("https://klasma.github.io/Logging_1780/tillsyn/A 8944-2025 tillsynsbegäran.docx", "A 8944-2025")</f>
        <v/>
      </c>
      <c r="Y48">
        <f>HYPERLINK("https://klasma.github.io/Logging_1780/tillsynsmail/A 8944-2025 tillsynsbegäran mail.docx", "A 8944-2025")</f>
        <v/>
      </c>
    </row>
    <row r="49" ht="15" customHeight="1">
      <c r="A49" t="inlineStr">
        <is>
          <t>A 17354-2023</t>
        </is>
      </c>
      <c r="B49" s="1" t="n">
        <v>45035</v>
      </c>
      <c r="C49" s="1" t="n">
        <v>46193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HYPERLINK("https://klasma.github.io/Logging_1780/artfynd/A 17354-2023 artfynd.xlsx", "A 17354-2023")</f>
        <v/>
      </c>
      <c r="T49">
        <f>HYPERLINK("https://klasma.github.io/Logging_1780/kartor/A 17354-2023 karta.png", "A 17354-2023")</f>
        <v/>
      </c>
      <c r="V49">
        <f>HYPERLINK("https://klasma.github.io/Logging_1780/klagomål/A 17354-2023 FSC-klagomål.docx", "A 17354-2023")</f>
        <v/>
      </c>
      <c r="W49">
        <f>HYPERLINK("https://klasma.github.io/Logging_1780/klagomålsmail/A 17354-2023 FSC-klagomål mail.docx", "A 17354-2023")</f>
        <v/>
      </c>
      <c r="X49">
        <f>HYPERLINK("https://klasma.github.io/Logging_1780/tillsyn/A 17354-2023 tillsynsbegäran.docx", "A 17354-2023")</f>
        <v/>
      </c>
      <c r="Y49">
        <f>HYPERLINK("https://klasma.github.io/Logging_1780/tillsynsmail/A 17354-2023 tillsynsbegäran mail.docx", "A 17354-2023")</f>
        <v/>
      </c>
    </row>
    <row r="50" ht="15" customHeight="1">
      <c r="A50" t="inlineStr">
        <is>
          <t>A 18470-2022</t>
        </is>
      </c>
      <c r="B50" s="1" t="n">
        <v>44686</v>
      </c>
      <c r="C50" s="1" t="n">
        <v>46193</v>
      </c>
      <c r="D50" t="inlineStr">
        <is>
          <t>VÄRMLANDS LÄN</t>
        </is>
      </c>
      <c r="E50" t="inlineStr">
        <is>
          <t>KARLSTAD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HYPERLINK("https://klasma.github.io/Logging_1780/artfynd/A 18470-2022 artfynd.xlsx", "A 18470-2022")</f>
        <v/>
      </c>
      <c r="T50">
        <f>HYPERLINK("https://klasma.github.io/Logging_1780/kartor/A 18470-2022 karta.png", "A 18470-2022")</f>
        <v/>
      </c>
      <c r="V50">
        <f>HYPERLINK("https://klasma.github.io/Logging_1780/klagomål/A 18470-2022 FSC-klagomål.docx", "A 18470-2022")</f>
        <v/>
      </c>
      <c r="W50">
        <f>HYPERLINK("https://klasma.github.io/Logging_1780/klagomålsmail/A 18470-2022 FSC-klagomål mail.docx", "A 18470-2022")</f>
        <v/>
      </c>
      <c r="X50">
        <f>HYPERLINK("https://klasma.github.io/Logging_1780/tillsyn/A 18470-2022 tillsynsbegäran.docx", "A 18470-2022")</f>
        <v/>
      </c>
      <c r="Y50">
        <f>HYPERLINK("https://klasma.github.io/Logging_1780/tillsynsmail/A 18470-2022 tillsynsbegäran mail.docx", "A 18470-2022")</f>
        <v/>
      </c>
      <c r="Z50">
        <f>HYPERLINK("https://klasma.github.io/Logging_1780/fåglar/A 18470-2022 prioriterade fågelarter.docx", "A 18470-2022")</f>
        <v/>
      </c>
    </row>
    <row r="51" ht="15" customHeight="1">
      <c r="A51" t="inlineStr">
        <is>
          <t>A 9737-2023</t>
        </is>
      </c>
      <c r="B51" s="1" t="n">
        <v>44984</v>
      </c>
      <c r="C51" s="1" t="n">
        <v>46193</v>
      </c>
      <c r="D51" t="inlineStr">
        <is>
          <t>VÄRMLANDS LÄN</t>
        </is>
      </c>
      <c r="E51" t="inlineStr">
        <is>
          <t>KARLSTAD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HYPERLINK("https://klasma.github.io/Logging_1780/artfynd/A 9737-2023 artfynd.xlsx", "A 9737-2023")</f>
        <v/>
      </c>
      <c r="T51">
        <f>HYPERLINK("https://klasma.github.io/Logging_1780/kartor/A 9737-2023 karta.png", "A 9737-2023")</f>
        <v/>
      </c>
      <c r="V51">
        <f>HYPERLINK("https://klasma.github.io/Logging_1780/klagomål/A 9737-2023 FSC-klagomål.docx", "A 9737-2023")</f>
        <v/>
      </c>
      <c r="W51">
        <f>HYPERLINK("https://klasma.github.io/Logging_1780/klagomålsmail/A 9737-2023 FSC-klagomål mail.docx", "A 9737-2023")</f>
        <v/>
      </c>
      <c r="X51">
        <f>HYPERLINK("https://klasma.github.io/Logging_1780/tillsyn/A 9737-2023 tillsynsbegäran.docx", "A 9737-2023")</f>
        <v/>
      </c>
      <c r="Y51">
        <f>HYPERLINK("https://klasma.github.io/Logging_1780/tillsynsmail/A 9737-2023 tillsynsbegäran mail.docx", "A 9737-2023")</f>
        <v/>
      </c>
    </row>
    <row r="52" ht="15" customHeight="1">
      <c r="A52" t="inlineStr">
        <is>
          <t>A 36886-2022</t>
        </is>
      </c>
      <c r="B52" s="1" t="n">
        <v>44805</v>
      </c>
      <c r="C52" s="1" t="n">
        <v>46193</v>
      </c>
      <c r="D52" t="inlineStr">
        <is>
          <t>VÄRMLANDS LÄN</t>
        </is>
      </c>
      <c r="E52" t="inlineStr">
        <is>
          <t>KARLSTAD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HYPERLINK("https://klasma.github.io/Logging_1780/artfynd/A 36886-2022 artfynd.xlsx", "A 36886-2022")</f>
        <v/>
      </c>
      <c r="T52">
        <f>HYPERLINK("https://klasma.github.io/Logging_1780/kartor/A 36886-2022 karta.png", "A 36886-2022")</f>
        <v/>
      </c>
      <c r="V52">
        <f>HYPERLINK("https://klasma.github.io/Logging_1780/klagomål/A 36886-2022 FSC-klagomål.docx", "A 36886-2022")</f>
        <v/>
      </c>
      <c r="W52">
        <f>HYPERLINK("https://klasma.github.io/Logging_1780/klagomålsmail/A 36886-2022 FSC-klagomål mail.docx", "A 36886-2022")</f>
        <v/>
      </c>
      <c r="X52">
        <f>HYPERLINK("https://klasma.github.io/Logging_1780/tillsyn/A 36886-2022 tillsynsbegäran.docx", "A 36886-2022")</f>
        <v/>
      </c>
      <c r="Y52">
        <f>HYPERLINK("https://klasma.github.io/Logging_1780/tillsynsmail/A 36886-2022 tillsynsbegäran mail.docx", "A 36886-2022")</f>
        <v/>
      </c>
      <c r="Z52">
        <f>HYPERLINK("https://klasma.github.io/Logging_1780/fåglar/A 36886-2022 prioriterade fågelarter.docx", "A 36886-2022")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46193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9470-2023</t>
        </is>
      </c>
      <c r="B54" s="1" t="n">
        <v>44981</v>
      </c>
      <c r="C54" s="1" t="n">
        <v>46193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HYPERLINK("https://klasma.github.io/Logging_1780/artfynd/A 9470-2023 artfynd.xlsx", "A 9470-2023")</f>
        <v/>
      </c>
      <c r="T54">
        <f>HYPERLINK("https://klasma.github.io/Logging_1780/kartor/A 9470-2023 karta.png", "A 9470-2023")</f>
        <v/>
      </c>
      <c r="V54">
        <f>HYPERLINK("https://klasma.github.io/Logging_1780/klagomål/A 9470-2023 FSC-klagomål.docx", "A 9470-2023")</f>
        <v/>
      </c>
      <c r="W54">
        <f>HYPERLINK("https://klasma.github.io/Logging_1780/klagomålsmail/A 9470-2023 FSC-klagomål mail.docx", "A 9470-2023")</f>
        <v/>
      </c>
      <c r="X54">
        <f>HYPERLINK("https://klasma.github.io/Logging_1780/tillsyn/A 9470-2023 tillsynsbegäran.docx", "A 9470-2023")</f>
        <v/>
      </c>
      <c r="Y54">
        <f>HYPERLINK("https://klasma.github.io/Logging_1780/tillsynsmail/A 9470-2023 tillsynsbegäran mail.docx", "A 9470-2023")</f>
        <v/>
      </c>
    </row>
    <row r="55" ht="15" customHeight="1">
      <c r="A55" t="inlineStr">
        <is>
          <t>A 51895-2024</t>
        </is>
      </c>
      <c r="B55" s="1" t="n">
        <v>45607</v>
      </c>
      <c r="C55" s="1" t="n">
        <v>46193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HYPERLINK("https://klasma.github.io/Logging_1780/artfynd/A 51895-2024 artfynd.xlsx", "A 51895-2024")</f>
        <v/>
      </c>
      <c r="T55">
        <f>HYPERLINK("https://klasma.github.io/Logging_1780/kartor/A 51895-2024 karta.png", "A 51895-2024")</f>
        <v/>
      </c>
      <c r="V55">
        <f>HYPERLINK("https://klasma.github.io/Logging_1780/klagomål/A 51895-2024 FSC-klagomål.docx", "A 51895-2024")</f>
        <v/>
      </c>
      <c r="W55">
        <f>HYPERLINK("https://klasma.github.io/Logging_1780/klagomålsmail/A 51895-2024 FSC-klagomål mail.docx", "A 51895-2024")</f>
        <v/>
      </c>
      <c r="X55">
        <f>HYPERLINK("https://klasma.github.io/Logging_1780/tillsyn/A 51895-2024 tillsynsbegäran.docx", "A 51895-2024")</f>
        <v/>
      </c>
      <c r="Y55">
        <f>HYPERLINK("https://klasma.github.io/Logging_1780/tillsynsmail/A 51895-2024 tillsynsbegäran mail.docx", "A 51895-2024")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46193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49765-2025</t>
        </is>
      </c>
      <c r="B57" s="1" t="n">
        <v>45940</v>
      </c>
      <c r="C57" s="1" t="n">
        <v>46193</v>
      </c>
      <c r="D57" t="inlineStr">
        <is>
          <t>VÄRMLANDS LÄN</t>
        </is>
      </c>
      <c r="E57" t="inlineStr">
        <is>
          <t>KARLSTAD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Slöjvaxskivling</t>
        </is>
      </c>
      <c r="S57">
        <f>HYPERLINK("https://klasma.github.io/Logging_1780/artfynd/A 49765-2025 artfynd.xlsx", "A 49765-2025")</f>
        <v/>
      </c>
      <c r="T57">
        <f>HYPERLINK("https://klasma.github.io/Logging_1780/kartor/A 49765-2025 karta.png", "A 49765-2025")</f>
        <v/>
      </c>
      <c r="V57">
        <f>HYPERLINK("https://klasma.github.io/Logging_1780/klagomål/A 49765-2025 FSC-klagomål.docx", "A 49765-2025")</f>
        <v/>
      </c>
      <c r="W57">
        <f>HYPERLINK("https://klasma.github.io/Logging_1780/klagomålsmail/A 49765-2025 FSC-klagomål mail.docx", "A 49765-2025")</f>
        <v/>
      </c>
      <c r="X57">
        <f>HYPERLINK("https://klasma.github.io/Logging_1780/tillsyn/A 49765-2025 tillsynsbegäran.docx", "A 49765-2025")</f>
        <v/>
      </c>
      <c r="Y57">
        <f>HYPERLINK("https://klasma.github.io/Logging_1780/tillsynsmail/A 49765-2025 tillsynsbegäran mail.docx", "A 49765-2025")</f>
        <v/>
      </c>
    </row>
    <row r="58" ht="15" customHeight="1">
      <c r="A58" t="inlineStr">
        <is>
          <t>A 10461-2024</t>
        </is>
      </c>
      <c r="B58" s="1" t="n">
        <v>45366</v>
      </c>
      <c r="C58" s="1" t="n">
        <v>46193</v>
      </c>
      <c r="D58" t="inlineStr">
        <is>
          <t>VÄRMLANDS LÄN</t>
        </is>
      </c>
      <c r="E58" t="inlineStr">
        <is>
          <t>KARLSTAD</t>
        </is>
      </c>
      <c r="F58" t="inlineStr">
        <is>
          <t>Övriga statliga verk och myndigheter</t>
        </is>
      </c>
      <c r="G58" t="n">
        <v>17.8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Strandlummer</t>
        </is>
      </c>
      <c r="S58">
        <f>HYPERLINK("https://klasma.github.io/Logging_1780/artfynd/A 10461-2024 artfynd.xlsx", "A 10461-2024")</f>
        <v/>
      </c>
      <c r="T58">
        <f>HYPERLINK("https://klasma.github.io/Logging_1780/kartor/A 10461-2024 karta.png", "A 10461-2024")</f>
        <v/>
      </c>
      <c r="V58">
        <f>HYPERLINK("https://klasma.github.io/Logging_1780/klagomål/A 10461-2024 FSC-klagomål.docx", "A 10461-2024")</f>
        <v/>
      </c>
      <c r="W58">
        <f>HYPERLINK("https://klasma.github.io/Logging_1780/klagomålsmail/A 10461-2024 FSC-klagomål mail.docx", "A 10461-2024")</f>
        <v/>
      </c>
      <c r="X58">
        <f>HYPERLINK("https://klasma.github.io/Logging_1780/tillsyn/A 10461-2024 tillsynsbegäran.docx", "A 10461-2024")</f>
        <v/>
      </c>
      <c r="Y58">
        <f>HYPERLINK("https://klasma.github.io/Logging_1780/tillsynsmail/A 10461-2024 tillsynsbegäran mail.docx", "A 10461-2024")</f>
        <v/>
      </c>
    </row>
    <row r="59" ht="15" customHeight="1">
      <c r="A59" t="inlineStr">
        <is>
          <t>A 3736-2023</t>
        </is>
      </c>
      <c r="B59" s="1" t="n">
        <v>44949</v>
      </c>
      <c r="C59" s="1" t="n">
        <v>46193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HYPERLINK("https://klasma.github.io/Logging_1780/artfynd/A 3736-2023 artfynd.xlsx", "A 3736-2023")</f>
        <v/>
      </c>
      <c r="T59">
        <f>HYPERLINK("https://klasma.github.io/Logging_1780/kartor/A 3736-2023 karta.png", "A 3736-2023")</f>
        <v/>
      </c>
      <c r="V59">
        <f>HYPERLINK("https://klasma.github.io/Logging_1780/klagomål/A 3736-2023 FSC-klagomål.docx", "A 3736-2023")</f>
        <v/>
      </c>
      <c r="W59">
        <f>HYPERLINK("https://klasma.github.io/Logging_1780/klagomålsmail/A 3736-2023 FSC-klagomål mail.docx", "A 3736-2023")</f>
        <v/>
      </c>
      <c r="X59">
        <f>HYPERLINK("https://klasma.github.io/Logging_1780/tillsyn/A 3736-2023 tillsynsbegäran.docx", "A 3736-2023")</f>
        <v/>
      </c>
      <c r="Y59">
        <f>HYPERLINK("https://klasma.github.io/Logging_1780/tillsynsmail/A 3736-2023 tillsynsbegäran mail.docx", "A 3736-2023")</f>
        <v/>
      </c>
    </row>
    <row r="60" ht="15" customHeight="1">
      <c r="A60" t="inlineStr">
        <is>
          <t>A 56238-2025</t>
        </is>
      </c>
      <c r="B60" s="1" t="n">
        <v>45974</v>
      </c>
      <c r="C60" s="1" t="n">
        <v>46193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HYPERLINK("https://klasma.github.io/Logging_1780/artfynd/A 56238-2025 artfynd.xlsx", "A 56238-2025")</f>
        <v/>
      </c>
      <c r="T60">
        <f>HYPERLINK("https://klasma.github.io/Logging_1780/kartor/A 56238-2025 karta.png", "A 56238-2025")</f>
        <v/>
      </c>
      <c r="V60">
        <f>HYPERLINK("https://klasma.github.io/Logging_1780/klagomål/A 56238-2025 FSC-klagomål.docx", "A 56238-2025")</f>
        <v/>
      </c>
      <c r="W60">
        <f>HYPERLINK("https://klasma.github.io/Logging_1780/klagomålsmail/A 56238-2025 FSC-klagomål mail.docx", "A 56238-2025")</f>
        <v/>
      </c>
      <c r="X60">
        <f>HYPERLINK("https://klasma.github.io/Logging_1780/tillsyn/A 56238-2025 tillsynsbegäran.docx", "A 56238-2025")</f>
        <v/>
      </c>
      <c r="Y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s="1" t="n">
        <v>45974</v>
      </c>
      <c r="C61" s="1" t="n">
        <v>46193</v>
      </c>
      <c r="D61" t="inlineStr">
        <is>
          <t>VÄRMLANDS LÄN</t>
        </is>
      </c>
      <c r="E61" t="inlineStr">
        <is>
          <t>KARLSTAD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HYPERLINK("https://klasma.github.io/Logging_1780/artfynd/A 56241-2025 artfynd.xlsx", "A 56241-2025")</f>
        <v/>
      </c>
      <c r="T61">
        <f>HYPERLINK("https://klasma.github.io/Logging_1780/kartor/A 56241-2025 karta.png", "A 56241-2025")</f>
        <v/>
      </c>
      <c r="V61">
        <f>HYPERLINK("https://klasma.github.io/Logging_1780/klagomål/A 56241-2025 FSC-klagomål.docx", "A 56241-2025")</f>
        <v/>
      </c>
      <c r="W61">
        <f>HYPERLINK("https://klasma.github.io/Logging_1780/klagomålsmail/A 56241-2025 FSC-klagomål mail.docx", "A 56241-2025")</f>
        <v/>
      </c>
      <c r="X61">
        <f>HYPERLINK("https://klasma.github.io/Logging_1780/tillsyn/A 56241-2025 tillsynsbegäran.docx", "A 56241-2025")</f>
        <v/>
      </c>
      <c r="Y61">
        <f>HYPERLINK("https://klasma.github.io/Logging_1780/tillsynsmail/A 56241-2025 tillsynsbegäran mail.docx", "A 56241-2025")</f>
        <v/>
      </c>
    </row>
    <row r="62" ht="15" customHeight="1">
      <c r="A62" t="inlineStr">
        <is>
          <t>A 32531-2025</t>
        </is>
      </c>
      <c r="B62" s="1" t="n">
        <v>45838</v>
      </c>
      <c r="C62" s="1" t="n">
        <v>46193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HYPERLINK("https://klasma.github.io/Logging_1780/artfynd/A 32531-2025 artfynd.xlsx", "A 32531-2025")</f>
        <v/>
      </c>
      <c r="T62">
        <f>HYPERLINK("https://klasma.github.io/Logging_1780/kartor/A 32531-2025 karta.png", "A 32531-2025")</f>
        <v/>
      </c>
      <c r="V62">
        <f>HYPERLINK("https://klasma.github.io/Logging_1780/klagomål/A 32531-2025 FSC-klagomål.docx", "A 32531-2025")</f>
        <v/>
      </c>
      <c r="W62">
        <f>HYPERLINK("https://klasma.github.io/Logging_1780/klagomålsmail/A 32531-2025 FSC-klagomål mail.docx", "A 32531-2025")</f>
        <v/>
      </c>
      <c r="X62">
        <f>HYPERLINK("https://klasma.github.io/Logging_1780/tillsyn/A 32531-2025 tillsynsbegäran.docx", "A 32531-2025")</f>
        <v/>
      </c>
      <c r="Y62">
        <f>HYPERLINK("https://klasma.github.io/Logging_1780/tillsynsmail/A 32531-2025 tillsynsbegäran mail.docx", "A 32531-2025")</f>
        <v/>
      </c>
      <c r="Z62">
        <f>HYPERLINK("https://klasma.github.io/Logging_1780/fåglar/A 32531-2025 prioriterade fågelarter.docx", "A 32531-2025")</f>
        <v/>
      </c>
    </row>
    <row r="63" ht="15" customHeight="1">
      <c r="A63" t="inlineStr">
        <is>
          <t>A 14002-2022</t>
        </is>
      </c>
      <c r="B63" s="1" t="n">
        <v>44650</v>
      </c>
      <c r="C63" s="1" t="n">
        <v>46193</v>
      </c>
      <c r="D63" t="inlineStr">
        <is>
          <t>VÄRMLANDS LÄN</t>
        </is>
      </c>
      <c r="E63" t="inlineStr">
        <is>
          <t>KARLSTAD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HYPERLINK("https://klasma.github.io/Logging_1780/artfynd/A 14002-2022 artfynd.xlsx", "A 14002-2022")</f>
        <v/>
      </c>
      <c r="T63">
        <f>HYPERLINK("https://klasma.github.io/Logging_1780/kartor/A 14002-2022 karta.png", "A 14002-2022")</f>
        <v/>
      </c>
      <c r="U63">
        <f>HYPERLINK("https://klasma.github.io/Logging_1780/knärot/A 14002-2022 karta knärot.png", "A 14002-2022")</f>
        <v/>
      </c>
      <c r="V63">
        <f>HYPERLINK("https://klasma.github.io/Logging_1780/klagomål/A 14002-2022 FSC-klagomål.docx", "A 14002-2022")</f>
        <v/>
      </c>
      <c r="W63">
        <f>HYPERLINK("https://klasma.github.io/Logging_1780/klagomålsmail/A 14002-2022 FSC-klagomål mail.docx", "A 14002-2022")</f>
        <v/>
      </c>
      <c r="X63">
        <f>HYPERLINK("https://klasma.github.io/Logging_1780/tillsyn/A 14002-2022 tillsynsbegäran.docx", "A 14002-2022")</f>
        <v/>
      </c>
      <c r="Y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s="1" t="n">
        <v>44698</v>
      </c>
      <c r="C64" s="1" t="n">
        <v>46193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HYPERLINK("https://klasma.github.io/Logging_1780/artfynd/A 20241-2022 artfynd.xlsx", "A 20241-2022")</f>
        <v/>
      </c>
      <c r="T64">
        <f>HYPERLINK("https://klasma.github.io/Logging_1780/kartor/A 20241-2022 karta.png", "A 20241-2022")</f>
        <v/>
      </c>
      <c r="V64">
        <f>HYPERLINK("https://klasma.github.io/Logging_1780/klagomål/A 20241-2022 FSC-klagomål.docx", "A 20241-2022")</f>
        <v/>
      </c>
      <c r="W64">
        <f>HYPERLINK("https://klasma.github.io/Logging_1780/klagomålsmail/A 20241-2022 FSC-klagomål mail.docx", "A 20241-2022")</f>
        <v/>
      </c>
      <c r="X64">
        <f>HYPERLINK("https://klasma.github.io/Logging_1780/tillsyn/A 20241-2022 tillsynsbegäran.docx", "A 20241-2022")</f>
        <v/>
      </c>
      <c r="Y64">
        <f>HYPERLINK("https://klasma.github.io/Logging_1780/tillsynsmail/A 20241-2022 tillsynsbegäran mail.docx", "A 20241-2022")</f>
        <v/>
      </c>
    </row>
    <row r="65" ht="15" customHeight="1">
      <c r="A65" t="inlineStr">
        <is>
          <t>A 5131-2026</t>
        </is>
      </c>
      <c r="B65" s="1" t="n">
        <v>46049</v>
      </c>
      <c r="C65" s="1" t="n">
        <v>46193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HYPERLINK("https://klasma.github.io/Logging_1780/artfynd/A 5131-2026 artfynd.xlsx", "A 5131-2026")</f>
        <v/>
      </c>
      <c r="T65">
        <f>HYPERLINK("https://klasma.github.io/Logging_1780/kartor/A 5131-2026 karta.png", "A 5131-2026")</f>
        <v/>
      </c>
      <c r="V65">
        <f>HYPERLINK("https://klasma.github.io/Logging_1780/klagomål/A 5131-2026 FSC-klagomål.docx", "A 5131-2026")</f>
        <v/>
      </c>
      <c r="W65">
        <f>HYPERLINK("https://klasma.github.io/Logging_1780/klagomålsmail/A 5131-2026 FSC-klagomål mail.docx", "A 5131-2026")</f>
        <v/>
      </c>
      <c r="X65">
        <f>HYPERLINK("https://klasma.github.io/Logging_1780/tillsyn/A 5131-2026 tillsynsbegäran.docx", "A 5131-2026")</f>
        <v/>
      </c>
      <c r="Y65">
        <f>HYPERLINK("https://klasma.github.io/Logging_1780/tillsynsmail/A 5131-2026 tillsynsbegäran mail.docx", "A 5131-2026")</f>
        <v/>
      </c>
    </row>
    <row r="66" ht="15" customHeight="1">
      <c r="A66" t="inlineStr">
        <is>
          <t>A 21919-2023</t>
        </is>
      </c>
      <c r="B66" s="1" t="n">
        <v>45068</v>
      </c>
      <c r="C66" s="1" t="n">
        <v>46193</v>
      </c>
      <c r="D66" t="inlineStr">
        <is>
          <t>VÄRMLANDS LÄN</t>
        </is>
      </c>
      <c r="E66" t="inlineStr">
        <is>
          <t>KARLSTAD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HYPERLINK("https://klasma.github.io/Logging_1780/artfynd/A 21919-2023 artfynd.xlsx", "A 21919-2023")</f>
        <v/>
      </c>
      <c r="T66">
        <f>HYPERLINK("https://klasma.github.io/Logging_1780/kartor/A 21919-2023 karta.png", "A 21919-2023")</f>
        <v/>
      </c>
      <c r="V66">
        <f>HYPERLINK("https://klasma.github.io/Logging_1780/klagomål/A 21919-2023 FSC-klagomål.docx", "A 21919-2023")</f>
        <v/>
      </c>
      <c r="W66">
        <f>HYPERLINK("https://klasma.github.io/Logging_1780/klagomålsmail/A 21919-2023 FSC-klagomål mail.docx", "A 21919-2023")</f>
        <v/>
      </c>
      <c r="X66">
        <f>HYPERLINK("https://klasma.github.io/Logging_1780/tillsyn/A 21919-2023 tillsynsbegäran.docx", "A 21919-2023")</f>
        <v/>
      </c>
      <c r="Y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s="1" t="n">
        <v>44493</v>
      </c>
      <c r="C67" s="1" t="n">
        <v>46193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HYPERLINK("https://klasma.github.io/Logging_1780/artfynd/A 59641-2021 artfynd.xlsx", "A 59641-2021")</f>
        <v/>
      </c>
      <c r="T67">
        <f>HYPERLINK("https://klasma.github.io/Logging_1780/kartor/A 59641-2021 karta.png", "A 59641-2021")</f>
        <v/>
      </c>
      <c r="V67">
        <f>HYPERLINK("https://klasma.github.io/Logging_1780/klagomål/A 59641-2021 FSC-klagomål.docx", "A 59641-2021")</f>
        <v/>
      </c>
      <c r="W67">
        <f>HYPERLINK("https://klasma.github.io/Logging_1780/klagomålsmail/A 59641-2021 FSC-klagomål mail.docx", "A 59641-2021")</f>
        <v/>
      </c>
      <c r="X67">
        <f>HYPERLINK("https://klasma.github.io/Logging_1780/tillsyn/A 59641-2021 tillsynsbegäran.docx", "A 59641-2021")</f>
        <v/>
      </c>
      <c r="Y67">
        <f>HYPERLINK("https://klasma.github.io/Logging_1780/tillsynsmail/A 59641-2021 tillsynsbegäran mail.docx", "A 59641-2021")</f>
        <v/>
      </c>
    </row>
    <row r="68" ht="15" customHeight="1">
      <c r="A68" t="inlineStr">
        <is>
          <t>A 13259-2026</t>
        </is>
      </c>
      <c r="B68" s="1" t="n">
        <v>46093</v>
      </c>
      <c r="C68" s="1" t="n">
        <v>46193</v>
      </c>
      <c r="D68" t="inlineStr">
        <is>
          <t>VÄRMLANDS LÄN</t>
        </is>
      </c>
      <c r="E68" t="inlineStr">
        <is>
          <t>KARLSTAD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HYPERLINK("https://klasma.github.io/Logging_1780/artfynd/A 13259-2026 artfynd.xlsx", "A 13259-2026")</f>
        <v/>
      </c>
      <c r="T68">
        <f>HYPERLINK("https://klasma.github.io/Logging_1780/kartor/A 13259-2026 karta.png", "A 13259-2026")</f>
        <v/>
      </c>
      <c r="V68">
        <f>HYPERLINK("https://klasma.github.io/Logging_1780/klagomål/A 13259-2026 FSC-klagomål.docx", "A 13259-2026")</f>
        <v/>
      </c>
      <c r="W68">
        <f>HYPERLINK("https://klasma.github.io/Logging_1780/klagomålsmail/A 13259-2026 FSC-klagomål mail.docx", "A 13259-2026")</f>
        <v/>
      </c>
      <c r="X68">
        <f>HYPERLINK("https://klasma.github.io/Logging_1780/tillsyn/A 13259-2026 tillsynsbegäran.docx", "A 13259-2026")</f>
        <v/>
      </c>
      <c r="Y68">
        <f>HYPERLINK("https://klasma.github.io/Logging_1780/tillsynsmail/A 13259-2026 tillsynsbegäran mail.docx", "A 13259-2026")</f>
        <v/>
      </c>
    </row>
    <row r="69" ht="15" customHeight="1">
      <c r="A69" t="inlineStr">
        <is>
          <t>A 48588-2021</t>
        </is>
      </c>
      <c r="B69" s="1" t="n">
        <v>44452</v>
      </c>
      <c r="C69" s="1" t="n">
        <v>46193</v>
      </c>
      <c r="D69" t="inlineStr">
        <is>
          <t>VÄRMLANDS LÄN</t>
        </is>
      </c>
      <c r="E69" t="inlineStr">
        <is>
          <t>KARLSTAD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HYPERLINK("https://klasma.github.io/Logging_1780/artfynd/A 48588-2021 artfynd.xlsx", "A 48588-2021")</f>
        <v/>
      </c>
      <c r="T69">
        <f>HYPERLINK("https://klasma.github.io/Logging_1780/kartor/A 48588-2021 karta.png", "A 48588-2021")</f>
        <v/>
      </c>
      <c r="V69">
        <f>HYPERLINK("https://klasma.github.io/Logging_1780/klagomål/A 48588-2021 FSC-klagomål.docx", "A 48588-2021")</f>
        <v/>
      </c>
      <c r="W69">
        <f>HYPERLINK("https://klasma.github.io/Logging_1780/klagomålsmail/A 48588-2021 FSC-klagomål mail.docx", "A 48588-2021")</f>
        <v/>
      </c>
      <c r="X69">
        <f>HYPERLINK("https://klasma.github.io/Logging_1780/tillsyn/A 48588-2021 tillsynsbegäran.docx", "A 48588-2021")</f>
        <v/>
      </c>
      <c r="Y69">
        <f>HYPERLINK("https://klasma.github.io/Logging_1780/tillsynsmail/A 48588-2021 tillsynsbegäran mail.docx", "A 48588-2021")</f>
        <v/>
      </c>
      <c r="Z69">
        <f>HYPERLINK("https://klasma.github.io/Logging_1780/fåglar/A 48588-2021 prioriterade fågelarter.docx", "A 48588-2021")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46193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46193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46193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46193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46193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46193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46193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46193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46193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46193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46193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46193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46193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46193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46193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46193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46193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46193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46193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65625-2021</t>
        </is>
      </c>
      <c r="B89" s="1" t="n">
        <v>44516</v>
      </c>
      <c r="C89" s="1" t="n">
        <v>46193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46193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46193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46193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46193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46193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26922-2022</t>
        </is>
      </c>
      <c r="B98" s="1" t="n">
        <v>44740</v>
      </c>
      <c r="C98" s="1" t="n">
        <v>46193</v>
      </c>
      <c r="D98" t="inlineStr">
        <is>
          <t>VÄRMLANDS LÄN</t>
        </is>
      </c>
      <c r="E98" t="inlineStr">
        <is>
          <t>KARLSTAD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</v>
      </c>
      <c r="C99" s="1" t="n">
        <v>46193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46193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46193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46193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46193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</v>
      </c>
      <c r="C105" s="1" t="n">
        <v>46193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46193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46193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46193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46193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46193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46193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46193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46193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22205-2022</t>
        </is>
      </c>
      <c r="B115" s="1" t="n">
        <v>44712</v>
      </c>
      <c r="C115" s="1" t="n">
        <v>46193</v>
      </c>
      <c r="D115" t="inlineStr">
        <is>
          <t>VÄRMLANDS LÄN</t>
        </is>
      </c>
      <c r="E115" t="inlineStr">
        <is>
          <t>KARLSTAD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46193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46193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46193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46193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46193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46193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46193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10376-2022</t>
        </is>
      </c>
      <c r="B126" s="1" t="n">
        <v>44623</v>
      </c>
      <c r="C126" s="1" t="n">
        <v>46193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44099-2024</t>
        </is>
      </c>
      <c r="B127" s="1" t="n">
        <v>45572</v>
      </c>
      <c r="C127" s="1" t="n">
        <v>46193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21629-2023</t>
        </is>
      </c>
      <c r="B128" s="1" t="n">
        <v>45062</v>
      </c>
      <c r="C128" s="1" t="n">
        <v>46193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46898-2024</t>
        </is>
      </c>
      <c r="B129" s="1" t="n">
        <v>45583</v>
      </c>
      <c r="C129" s="1" t="n">
        <v>46193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56928-2021</t>
        </is>
      </c>
      <c r="B130" s="1" t="n">
        <v>44482</v>
      </c>
      <c r="C130" s="1" t="n">
        <v>46193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</v>
      </c>
      <c r="C131" s="1" t="n">
        <v>46193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46193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46193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46193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</v>
      </c>
      <c r="C135" s="1" t="n">
        <v>46193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46193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58656-2024</t>
        </is>
      </c>
      <c r="B137" s="1" t="n">
        <v>45635</v>
      </c>
      <c r="C137" s="1" t="n">
        <v>46193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50400-2021</t>
        </is>
      </c>
      <c r="B138" s="1" t="n">
        <v>44459</v>
      </c>
      <c r="C138" s="1" t="n">
        <v>46193</v>
      </c>
      <c r="D138" t="inlineStr">
        <is>
          <t>VÄRMLANDS LÄN</t>
        </is>
      </c>
      <c r="E138" t="inlineStr">
        <is>
          <t>KARLSTAD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5535-2022</t>
        </is>
      </c>
      <c r="B139" s="1" t="n">
        <v>44595</v>
      </c>
      <c r="C139" s="1" t="n">
        <v>46193</v>
      </c>
      <c r="D139" t="inlineStr">
        <is>
          <t>VÄRMLANDS LÄN</t>
        </is>
      </c>
      <c r="E139" t="inlineStr">
        <is>
          <t>KARLSTAD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14467-2022</t>
        </is>
      </c>
      <c r="B140" s="1" t="n">
        <v>44654</v>
      </c>
      <c r="C140" s="1" t="n">
        <v>46193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57449-2022</t>
        </is>
      </c>
      <c r="B141" s="1" t="n">
        <v>44896</v>
      </c>
      <c r="C141" s="1" t="n">
        <v>46193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57780-2021</t>
        </is>
      </c>
      <c r="B142" s="1" t="n">
        <v>44484</v>
      </c>
      <c r="C142" s="1" t="n">
        <v>46193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14401-2022</t>
        </is>
      </c>
      <c r="B143" s="1" t="n">
        <v>44652</v>
      </c>
      <c r="C143" s="1" t="n">
        <v>46193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57100-2022</t>
        </is>
      </c>
      <c r="B144" s="1" t="n">
        <v>44895</v>
      </c>
      <c r="C144" s="1" t="n">
        <v>46193</v>
      </c>
      <c r="D144" t="inlineStr">
        <is>
          <t>VÄRMLANDS LÄN</t>
        </is>
      </c>
      <c r="E144" t="inlineStr">
        <is>
          <t>KARLSTAD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46335-2024</t>
        </is>
      </c>
      <c r="B145" s="1" t="n">
        <v>45582</v>
      </c>
      <c r="C145" s="1" t="n">
        <v>46193</v>
      </c>
      <c r="D145" t="inlineStr">
        <is>
          <t>VÄRMLANDS LÄN</t>
        </is>
      </c>
      <c r="E145" t="inlineStr">
        <is>
          <t>KARLSTAD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46336-2024</t>
        </is>
      </c>
      <c r="B146" s="1" t="n">
        <v>45582</v>
      </c>
      <c r="C146" s="1" t="n">
        <v>46193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70127-2021</t>
        </is>
      </c>
      <c r="B147" s="1" t="n">
        <v>44533</v>
      </c>
      <c r="C147" s="1" t="n">
        <v>46193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46193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28154-2022</t>
        </is>
      </c>
      <c r="B149" s="1" t="n">
        <v>44746</v>
      </c>
      <c r="C149" s="1" t="n">
        <v>46193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46193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19666-2023</t>
        </is>
      </c>
      <c r="B151" s="1" t="n">
        <v>45051</v>
      </c>
      <c r="C151" s="1" t="n">
        <v>46193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1841-2024</t>
        </is>
      </c>
      <c r="B152" s="1" t="n">
        <v>45307</v>
      </c>
      <c r="C152" s="1" t="n">
        <v>46193</v>
      </c>
      <c r="D152" t="inlineStr">
        <is>
          <t>VÄRMLANDS LÄN</t>
        </is>
      </c>
      <c r="E152" t="inlineStr">
        <is>
          <t>KARLSTAD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40855-2022</t>
        </is>
      </c>
      <c r="B153" s="1" t="n">
        <v>44825</v>
      </c>
      <c r="C153" s="1" t="n">
        <v>46193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61102-2023</t>
        </is>
      </c>
      <c r="B154" s="1" t="n">
        <v>45260</v>
      </c>
      <c r="C154" s="1" t="n">
        <v>46193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46193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60724-2022</t>
        </is>
      </c>
      <c r="B156" s="1" t="n">
        <v>44913</v>
      </c>
      <c r="C156" s="1" t="n">
        <v>46193</v>
      </c>
      <c r="D156" t="inlineStr">
        <is>
          <t>VÄRMLANDS LÄN</t>
        </is>
      </c>
      <c r="E156" t="inlineStr">
        <is>
          <t>KARLSTAD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46193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39555-2024</t>
        </is>
      </c>
      <c r="B158" s="1" t="n">
        <v>45551</v>
      </c>
      <c r="C158" s="1" t="n">
        <v>46193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54442-2022</t>
        </is>
      </c>
      <c r="B159" s="1" t="n">
        <v>44882</v>
      </c>
      <c r="C159" s="1" t="n">
        <v>46193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33804-2024</t>
        </is>
      </c>
      <c r="B160" s="1" t="n">
        <v>45520</v>
      </c>
      <c r="C160" s="1" t="n">
        <v>46193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36399-2023</t>
        </is>
      </c>
      <c r="B161" s="1" t="n">
        <v>45149</v>
      </c>
      <c r="C161" s="1" t="n">
        <v>46193</v>
      </c>
      <c r="D161" t="inlineStr">
        <is>
          <t>VÄRMLANDS LÄN</t>
        </is>
      </c>
      <c r="E161" t="inlineStr">
        <is>
          <t>KARLSTAD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27569-2024</t>
        </is>
      </c>
      <c r="B162" s="1" t="n">
        <v>45474</v>
      </c>
      <c r="C162" s="1" t="n">
        <v>46193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</v>
      </c>
      <c r="C163" s="1" t="n">
        <v>46193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46193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47929-2023</t>
        </is>
      </c>
      <c r="B165" s="1" t="n">
        <v>45204</v>
      </c>
      <c r="C165" s="1" t="n">
        <v>46193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37076-2023</t>
        </is>
      </c>
      <c r="B166" s="1" t="n">
        <v>45154</v>
      </c>
      <c r="C166" s="1" t="n">
        <v>46193</v>
      </c>
      <c r="D166" t="inlineStr">
        <is>
          <t>VÄRMLANDS LÄN</t>
        </is>
      </c>
      <c r="E166" t="inlineStr">
        <is>
          <t>KARLSTAD</t>
        </is>
      </c>
      <c r="F166" t="inlineStr">
        <is>
          <t>Övriga statliga verk och myndigheter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31316-2023</t>
        </is>
      </c>
      <c r="B167" s="1" t="n">
        <v>45114</v>
      </c>
      <c r="C167" s="1" t="n">
        <v>46193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1496-2022</t>
        </is>
      </c>
      <c r="B168" s="1" t="n">
        <v>44573</v>
      </c>
      <c r="C168" s="1" t="n">
        <v>46193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42664-2021</t>
        </is>
      </c>
      <c r="B169" s="1" t="n">
        <v>44428</v>
      </c>
      <c r="C169" s="1" t="n">
        <v>46193</v>
      </c>
      <c r="D169" t="inlineStr">
        <is>
          <t>VÄRMLANDS LÄN</t>
        </is>
      </c>
      <c r="E169" t="inlineStr">
        <is>
          <t>KARLSTAD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46812-2021</t>
        </is>
      </c>
      <c r="B170" s="1" t="n">
        <v>44446</v>
      </c>
      <c r="C170" s="1" t="n">
        <v>46193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46193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</v>
      </c>
      <c r="C172" s="1" t="n">
        <v>46193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</v>
      </c>
      <c r="C173" s="1" t="n">
        <v>46193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46019-2023</t>
        </is>
      </c>
      <c r="B174" s="1" t="n">
        <v>45196</v>
      </c>
      <c r="C174" s="1" t="n">
        <v>46193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47608-2023</t>
        </is>
      </c>
      <c r="B175" s="1" t="n">
        <v>45203</v>
      </c>
      <c r="C175" s="1" t="n">
        <v>46193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32433-2023</t>
        </is>
      </c>
      <c r="B176" s="1" t="n">
        <v>45120</v>
      </c>
      <c r="C176" s="1" t="n">
        <v>46193</v>
      </c>
      <c r="D176" t="inlineStr">
        <is>
          <t>VÄRMLANDS LÄN</t>
        </is>
      </c>
      <c r="E176" t="inlineStr">
        <is>
          <t>KARLSTAD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26515-2023</t>
        </is>
      </c>
      <c r="B177" s="1" t="n">
        <v>45092</v>
      </c>
      <c r="C177" s="1" t="n">
        <v>46193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39958-2023</t>
        </is>
      </c>
      <c r="B178" s="1" t="n">
        <v>45168</v>
      </c>
      <c r="C178" s="1" t="n">
        <v>46193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12399-2024</t>
        </is>
      </c>
      <c r="B179" s="1" t="n">
        <v>45379</v>
      </c>
      <c r="C179" s="1" t="n">
        <v>46193</v>
      </c>
      <c r="D179" t="inlineStr">
        <is>
          <t>VÄRMLANDS LÄN</t>
        </is>
      </c>
      <c r="E179" t="inlineStr">
        <is>
          <t>KARLSTAD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</v>
      </c>
      <c r="C180" s="1" t="n">
        <v>46193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69008-2021</t>
        </is>
      </c>
      <c r="B181" s="1" t="n">
        <v>44530</v>
      </c>
      <c r="C181" s="1" t="n">
        <v>46193</v>
      </c>
      <c r="D181" t="inlineStr">
        <is>
          <t>VÄRMLANDS LÄN</t>
        </is>
      </c>
      <c r="E181" t="inlineStr">
        <is>
          <t>KARLSTAD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46097-2023</t>
        </is>
      </c>
      <c r="B182" s="1" t="n">
        <v>45196</v>
      </c>
      <c r="C182" s="1" t="n">
        <v>46193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25799-2022</t>
        </is>
      </c>
      <c r="B183" s="1" t="n">
        <v>44708</v>
      </c>
      <c r="C183" s="1" t="n">
        <v>46193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56643-2022</t>
        </is>
      </c>
      <c r="B184" s="1" t="n">
        <v>44893</v>
      </c>
      <c r="C184" s="1" t="n">
        <v>46193</v>
      </c>
      <c r="D184" t="inlineStr">
        <is>
          <t>VÄRMLANDS LÄN</t>
        </is>
      </c>
      <c r="E184" t="inlineStr">
        <is>
          <t>KARLSTAD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57469-2021</t>
        </is>
      </c>
      <c r="B185" s="1" t="n">
        <v>44483</v>
      </c>
      <c r="C185" s="1" t="n">
        <v>46193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72346-2021</t>
        </is>
      </c>
      <c r="B186" s="1" t="n">
        <v>44544</v>
      </c>
      <c r="C186" s="1" t="n">
        <v>46193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72772-2021</t>
        </is>
      </c>
      <c r="B187" s="1" t="n">
        <v>44547</v>
      </c>
      <c r="C187" s="1" t="n">
        <v>46193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59890-2024</t>
        </is>
      </c>
      <c r="B188" s="1" t="n">
        <v>45641</v>
      </c>
      <c r="C188" s="1" t="n">
        <v>46193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55250-2022</t>
        </is>
      </c>
      <c r="B189" s="1" t="n">
        <v>44887</v>
      </c>
      <c r="C189" s="1" t="n">
        <v>46193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56327-2023</t>
        </is>
      </c>
      <c r="B190" s="1" t="n">
        <v>45243</v>
      </c>
      <c r="C190" s="1" t="n">
        <v>46193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11053-2024</t>
        </is>
      </c>
      <c r="B191" s="1" t="n">
        <v>45370</v>
      </c>
      <c r="C191" s="1" t="n">
        <v>46193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46961-2023</t>
        </is>
      </c>
      <c r="B192" s="1" t="n">
        <v>45201</v>
      </c>
      <c r="C192" s="1" t="n">
        <v>46193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28056-2023</t>
        </is>
      </c>
      <c r="B193" s="1" t="n">
        <v>45099</v>
      </c>
      <c r="C193" s="1" t="n">
        <v>46193</v>
      </c>
      <c r="D193" t="inlineStr">
        <is>
          <t>VÄRMLANDS LÄN</t>
        </is>
      </c>
      <c r="E193" t="inlineStr">
        <is>
          <t>KARLSTAD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65086-2023</t>
        </is>
      </c>
      <c r="B194" s="1" t="n">
        <v>45288</v>
      </c>
      <c r="C194" s="1" t="n">
        <v>46193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596-2024</t>
        </is>
      </c>
      <c r="B195" s="1" t="n">
        <v>45299</v>
      </c>
      <c r="C195" s="1" t="n">
        <v>46193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3541-2024</t>
        </is>
      </c>
      <c r="B196" s="1" t="n">
        <v>45320</v>
      </c>
      <c r="C196" s="1" t="n">
        <v>46193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33515-2023</t>
        </is>
      </c>
      <c r="B197" s="1" t="n">
        <v>45131</v>
      </c>
      <c r="C197" s="1" t="n">
        <v>46193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11179-2022</t>
        </is>
      </c>
      <c r="B198" s="1" t="n">
        <v>44629</v>
      </c>
      <c r="C198" s="1" t="n">
        <v>46193</v>
      </c>
      <c r="D198" t="inlineStr">
        <is>
          <t>VÄRMLANDS LÄN</t>
        </is>
      </c>
      <c r="E198" t="inlineStr">
        <is>
          <t>KARLSTAD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8483-2022</t>
        </is>
      </c>
      <c r="B199" s="1" t="n">
        <v>44613</v>
      </c>
      <c r="C199" s="1" t="n">
        <v>46193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69428-2021</t>
        </is>
      </c>
      <c r="B200" s="1" t="n">
        <v>44531</v>
      </c>
      <c r="C200" s="1" t="n">
        <v>46193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5038-2022</t>
        </is>
      </c>
      <c r="B201" s="1" t="n">
        <v>44593</v>
      </c>
      <c r="C201" s="1" t="n">
        <v>46193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16560-2022</t>
        </is>
      </c>
      <c r="B202" s="1" t="n">
        <v>44672</v>
      </c>
      <c r="C202" s="1" t="n">
        <v>46193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1811-2022</t>
        </is>
      </c>
      <c r="B203" s="1" t="n">
        <v>44574</v>
      </c>
      <c r="C203" s="1" t="n">
        <v>46193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42283-2021</t>
        </is>
      </c>
      <c r="B204" s="1" t="n">
        <v>44427</v>
      </c>
      <c r="C204" s="1" t="n">
        <v>46193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34321-2024</t>
        </is>
      </c>
      <c r="B205" s="1" t="n">
        <v>45524</v>
      </c>
      <c r="C205" s="1" t="n">
        <v>46193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37878-2021</t>
        </is>
      </c>
      <c r="B206" s="1" t="n">
        <v>44403</v>
      </c>
      <c r="C206" s="1" t="n">
        <v>46193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58456-2022</t>
        </is>
      </c>
      <c r="B207" s="1" t="n">
        <v>44902</v>
      </c>
      <c r="C207" s="1" t="n">
        <v>46193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11697-2022</t>
        </is>
      </c>
      <c r="B208" s="1" t="n">
        <v>44634</v>
      </c>
      <c r="C208" s="1" t="n">
        <v>46193</v>
      </c>
      <c r="D208" t="inlineStr">
        <is>
          <t>VÄRMLANDS LÄN</t>
        </is>
      </c>
      <c r="E208" t="inlineStr">
        <is>
          <t>KARLSTAD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22505-2023</t>
        </is>
      </c>
      <c r="B209" s="1" t="n">
        <v>45071</v>
      </c>
      <c r="C209" s="1" t="n">
        <v>46193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46193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46193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13849-2024</t>
        </is>
      </c>
      <c r="B212" s="1" t="n">
        <v>45390</v>
      </c>
      <c r="C212" s="1" t="n">
        <v>46193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3961-2023</t>
        </is>
      </c>
      <c r="B213" s="1" t="n">
        <v>44952</v>
      </c>
      <c r="C213" s="1" t="n">
        <v>46193</v>
      </c>
      <c r="D213" t="inlineStr">
        <is>
          <t>VÄRMLANDS LÄN</t>
        </is>
      </c>
      <c r="E213" t="inlineStr">
        <is>
          <t>KARLSTAD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17364-2023</t>
        </is>
      </c>
      <c r="B214" s="1" t="n">
        <v>45035</v>
      </c>
      <c r="C214" s="1" t="n">
        <v>46193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47055-2021</t>
        </is>
      </c>
      <c r="B215" s="1" t="n">
        <v>44446</v>
      </c>
      <c r="C215" s="1" t="n">
        <v>46193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37888-2021</t>
        </is>
      </c>
      <c r="B216" s="1" t="n">
        <v>44403</v>
      </c>
      <c r="C216" s="1" t="n">
        <v>46193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55346-2023</t>
        </is>
      </c>
      <c r="B217" s="1" t="n">
        <v>45238</v>
      </c>
      <c r="C217" s="1" t="n">
        <v>46193</v>
      </c>
      <c r="D217" t="inlineStr">
        <is>
          <t>VÄRMLANDS LÄN</t>
        </is>
      </c>
      <c r="E217" t="inlineStr">
        <is>
          <t>KARLSTAD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12029-2023</t>
        </is>
      </c>
      <c r="B218" s="1" t="n">
        <v>44995</v>
      </c>
      <c r="C218" s="1" t="n">
        <v>46193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19291-2023</t>
        </is>
      </c>
      <c r="B219" s="1" t="n">
        <v>45049</v>
      </c>
      <c r="C219" s="1" t="n">
        <v>46193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38770-2022</t>
        </is>
      </c>
      <c r="B220" s="1" t="n">
        <v>44816</v>
      </c>
      <c r="C220" s="1" t="n">
        <v>46193</v>
      </c>
      <c r="D220" t="inlineStr">
        <is>
          <t>VÄRMLANDS LÄN</t>
        </is>
      </c>
      <c r="E220" t="inlineStr">
        <is>
          <t>KARLSTAD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56574-2023</t>
        </is>
      </c>
      <c r="B221" s="1" t="n">
        <v>45243</v>
      </c>
      <c r="C221" s="1" t="n">
        <v>46193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8892-2023</t>
        </is>
      </c>
      <c r="B222" s="1" t="n">
        <v>44979</v>
      </c>
      <c r="C222" s="1" t="n">
        <v>46193</v>
      </c>
      <c r="D222" t="inlineStr">
        <is>
          <t>VÄRMLANDS LÄN</t>
        </is>
      </c>
      <c r="E222" t="inlineStr">
        <is>
          <t>KARLSTAD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34335-2024</t>
        </is>
      </c>
      <c r="B223" s="1" t="n">
        <v>45524</v>
      </c>
      <c r="C223" s="1" t="n">
        <v>46193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19292-2023</t>
        </is>
      </c>
      <c r="B224" s="1" t="n">
        <v>45049</v>
      </c>
      <c r="C224" s="1" t="n">
        <v>46193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38023-2023</t>
        </is>
      </c>
      <c r="B225" s="1" t="n">
        <v>45160</v>
      </c>
      <c r="C225" s="1" t="n">
        <v>46193</v>
      </c>
      <c r="D225" t="inlineStr">
        <is>
          <t>VÄRMLANDS LÄN</t>
        </is>
      </c>
      <c r="E225" t="inlineStr">
        <is>
          <t>KARLSTAD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54611-2024</t>
        </is>
      </c>
      <c r="B226" s="1" t="n">
        <v>45617</v>
      </c>
      <c r="C226" s="1" t="n">
        <v>46193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10511-2024</t>
        </is>
      </c>
      <c r="B227" s="1" t="n">
        <v>45366</v>
      </c>
      <c r="C227" s="1" t="n">
        <v>46193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12613-2024</t>
        </is>
      </c>
      <c r="B228" s="1" t="n">
        <v>45382</v>
      </c>
      <c r="C228" s="1" t="n">
        <v>46193</v>
      </c>
      <c r="D228" t="inlineStr">
        <is>
          <t>VÄRMLANDS LÄN</t>
        </is>
      </c>
      <c r="E228" t="inlineStr">
        <is>
          <t>KARLSTAD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13291-2024</t>
        </is>
      </c>
      <c r="B229" s="1" t="n">
        <v>45386</v>
      </c>
      <c r="C229" s="1" t="n">
        <v>46193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46193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46193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27888-2025</t>
        </is>
      </c>
      <c r="B232" s="1" t="n">
        <v>45817</v>
      </c>
      <c r="C232" s="1" t="n">
        <v>46193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27049-2023</t>
        </is>
      </c>
      <c r="B233" s="1" t="n">
        <v>45095</v>
      </c>
      <c r="C233" s="1" t="n">
        <v>46193</v>
      </c>
      <c r="D233" t="inlineStr">
        <is>
          <t>VÄRMLANDS LÄN</t>
        </is>
      </c>
      <c r="E233" t="inlineStr">
        <is>
          <t>KARLSTAD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10931-2025</t>
        </is>
      </c>
      <c r="B234" s="1" t="n">
        <v>45723</v>
      </c>
      <c r="C234" s="1" t="n">
        <v>46193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57587-2024</t>
        </is>
      </c>
      <c r="B235" s="1" t="n">
        <v>45630</v>
      </c>
      <c r="C235" s="1" t="n">
        <v>46193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13402-2024</t>
        </is>
      </c>
      <c r="B236" s="1" t="n">
        <v>45387</v>
      </c>
      <c r="C236" s="1" t="n">
        <v>46193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13853-2024</t>
        </is>
      </c>
      <c r="B237" s="1" t="n">
        <v>45390</v>
      </c>
      <c r="C237" s="1" t="n">
        <v>46193</v>
      </c>
      <c r="D237" t="inlineStr">
        <is>
          <t>VÄRMLANDS LÄN</t>
        </is>
      </c>
      <c r="E237" t="inlineStr">
        <is>
          <t>KARLSTAD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16154-2022</t>
        </is>
      </c>
      <c r="B238" s="1" t="n">
        <v>44666</v>
      </c>
      <c r="C238" s="1" t="n">
        <v>46193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21943-2023</t>
        </is>
      </c>
      <c r="B239" s="1" t="n">
        <v>45068</v>
      </c>
      <c r="C239" s="1" t="n">
        <v>46193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28530-2023</t>
        </is>
      </c>
      <c r="B240" s="1" t="n">
        <v>45103</v>
      </c>
      <c r="C240" s="1" t="n">
        <v>46193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2978-2023</t>
        </is>
      </c>
      <c r="B241" s="1" t="n">
        <v>44945</v>
      </c>
      <c r="C241" s="1" t="n">
        <v>46193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63282-2023</t>
        </is>
      </c>
      <c r="B242" s="1" t="n">
        <v>45273</v>
      </c>
      <c r="C242" s="1" t="n">
        <v>46193</v>
      </c>
      <c r="D242" t="inlineStr">
        <is>
          <t>VÄRMLANDS LÄN</t>
        </is>
      </c>
      <c r="E242" t="inlineStr">
        <is>
          <t>KARLSTAD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46096-2023</t>
        </is>
      </c>
      <c r="B243" s="1" t="n">
        <v>45196</v>
      </c>
      <c r="C243" s="1" t="n">
        <v>46193</v>
      </c>
      <c r="D243" t="inlineStr">
        <is>
          <t>VÄRMLANDS LÄN</t>
        </is>
      </c>
      <c r="E243" t="inlineStr">
        <is>
          <t>KARLSTAD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</v>
      </c>
      <c r="C244" s="1" t="n">
        <v>46193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57153-2024</t>
        </is>
      </c>
      <c r="B245" s="1" t="n">
        <v>45629</v>
      </c>
      <c r="C245" s="1" t="n">
        <v>46193</v>
      </c>
      <c r="D245" t="inlineStr">
        <is>
          <t>VÄRMLANDS LÄN</t>
        </is>
      </c>
      <c r="E245" t="inlineStr">
        <is>
          <t>KARLSTAD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</v>
      </c>
      <c r="C246" s="1" t="n">
        <v>46193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13325-2023</t>
        </is>
      </c>
      <c r="B247" s="1" t="n">
        <v>45005</v>
      </c>
      <c r="C247" s="1" t="n">
        <v>46193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46193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46193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34726-2023</t>
        </is>
      </c>
      <c r="B250" s="1" t="n">
        <v>45141</v>
      </c>
      <c r="C250" s="1" t="n">
        <v>46193</v>
      </c>
      <c r="D250" t="inlineStr">
        <is>
          <t>VÄRMLANDS LÄN</t>
        </is>
      </c>
      <c r="E250" t="inlineStr">
        <is>
          <t>KARLSTAD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34727-2023</t>
        </is>
      </c>
      <c r="B251" s="1" t="n">
        <v>45141</v>
      </c>
      <c r="C251" s="1" t="n">
        <v>46193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55765-2024</t>
        </is>
      </c>
      <c r="B252" s="1" t="n">
        <v>45623</v>
      </c>
      <c r="C252" s="1" t="n">
        <v>46193</v>
      </c>
      <c r="D252" t="inlineStr">
        <is>
          <t>VÄRMLANDS LÄN</t>
        </is>
      </c>
      <c r="E252" t="inlineStr">
        <is>
          <t>KARLSTAD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23642-2025</t>
        </is>
      </c>
      <c r="B253" s="1" t="n">
        <v>45792</v>
      </c>
      <c r="C253" s="1" t="n">
        <v>46193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46193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</v>
      </c>
      <c r="C255" s="1" t="n">
        <v>46193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16425-2025</t>
        </is>
      </c>
      <c r="B256" s="1" t="n">
        <v>45751</v>
      </c>
      <c r="C256" s="1" t="n">
        <v>46193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46193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904-2025</t>
        </is>
      </c>
      <c r="B258" s="1" t="n">
        <v>45665</v>
      </c>
      <c r="C258" s="1" t="n">
        <v>46193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36884-2022</t>
        </is>
      </c>
      <c r="B259" s="1" t="n">
        <v>44805</v>
      </c>
      <c r="C259" s="1" t="n">
        <v>46193</v>
      </c>
      <c r="D259" t="inlineStr">
        <is>
          <t>VÄRMLANDS LÄN</t>
        </is>
      </c>
      <c r="E259" t="inlineStr">
        <is>
          <t>KARLSTAD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33809-2024</t>
        </is>
      </c>
      <c r="B260" s="1" t="n">
        <v>45520</v>
      </c>
      <c r="C260" s="1" t="n">
        <v>46193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23114-2024</t>
        </is>
      </c>
      <c r="B261" s="1" t="n">
        <v>45450</v>
      </c>
      <c r="C261" s="1" t="n">
        <v>46193</v>
      </c>
      <c r="D261" t="inlineStr">
        <is>
          <t>VÄRMLANDS LÄN</t>
        </is>
      </c>
      <c r="E261" t="inlineStr">
        <is>
          <t>KARLSTAD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54669-2024</t>
        </is>
      </c>
      <c r="B262" s="1" t="n">
        <v>45618</v>
      </c>
      <c r="C262" s="1" t="n">
        <v>46193</v>
      </c>
      <c r="D262" t="inlineStr">
        <is>
          <t>VÄRMLANDS LÄN</t>
        </is>
      </c>
      <c r="E262" t="inlineStr">
        <is>
          <t>KARLSTAD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42053-2021</t>
        </is>
      </c>
      <c r="B263" s="1" t="n">
        <v>44426</v>
      </c>
      <c r="C263" s="1" t="n">
        <v>46193</v>
      </c>
      <c r="D263" t="inlineStr">
        <is>
          <t>VÄRMLANDS LÄN</t>
        </is>
      </c>
      <c r="E263" t="inlineStr">
        <is>
          <t>KARLSTAD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7840-2023</t>
        </is>
      </c>
      <c r="B264" s="1" t="n">
        <v>44973</v>
      </c>
      <c r="C264" s="1" t="n">
        <v>46193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14320-2023</t>
        </is>
      </c>
      <c r="B265" s="1" t="n">
        <v>45012</v>
      </c>
      <c r="C265" s="1" t="n">
        <v>46193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32875-2023</t>
        </is>
      </c>
      <c r="B266" s="1" t="n">
        <v>45112</v>
      </c>
      <c r="C266" s="1" t="n">
        <v>46193</v>
      </c>
      <c r="D266" t="inlineStr">
        <is>
          <t>VÄRMLANDS LÄN</t>
        </is>
      </c>
      <c r="E266" t="inlineStr">
        <is>
          <t>KARLSTAD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43545-2023</t>
        </is>
      </c>
      <c r="B267" s="1" t="n">
        <v>45184</v>
      </c>
      <c r="C267" s="1" t="n">
        <v>46193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27344-2023</t>
        </is>
      </c>
      <c r="B268" s="1" t="n">
        <v>45096</v>
      </c>
      <c r="C268" s="1" t="n">
        <v>46193</v>
      </c>
      <c r="D268" t="inlineStr">
        <is>
          <t>VÄRMLANDS LÄN</t>
        </is>
      </c>
      <c r="E268" t="inlineStr">
        <is>
          <t>KARLSTAD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11359-2023</t>
        </is>
      </c>
      <c r="B269" s="1" t="n">
        <v>44985</v>
      </c>
      <c r="C269" s="1" t="n">
        <v>46193</v>
      </c>
      <c r="D269" t="inlineStr">
        <is>
          <t>VÄRMLANDS LÄN</t>
        </is>
      </c>
      <c r="E269" t="inlineStr">
        <is>
          <t>KARLSTAD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621-2024</t>
        </is>
      </c>
      <c r="B270" s="1" t="n">
        <v>45299</v>
      </c>
      <c r="C270" s="1" t="n">
        <v>46193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45757-2022</t>
        </is>
      </c>
      <c r="B271" s="1" t="n">
        <v>44846</v>
      </c>
      <c r="C271" s="1" t="n">
        <v>46193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50478-2024</t>
        </is>
      </c>
      <c r="B272" s="1" t="n">
        <v>45601</v>
      </c>
      <c r="C272" s="1" t="n">
        <v>46193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46193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12475-2023</t>
        </is>
      </c>
      <c r="B274" s="1" t="n">
        <v>44999</v>
      </c>
      <c r="C274" s="1" t="n">
        <v>46193</v>
      </c>
      <c r="D274" t="inlineStr">
        <is>
          <t>VÄRMLANDS LÄN</t>
        </is>
      </c>
      <c r="E274" t="inlineStr">
        <is>
          <t>KARLSTAD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61441-2024</t>
        </is>
      </c>
      <c r="B275" s="1" t="n">
        <v>45646</v>
      </c>
      <c r="C275" s="1" t="n">
        <v>46193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7370-2025</t>
        </is>
      </c>
      <c r="B276" s="1" t="n">
        <v>45704</v>
      </c>
      <c r="C276" s="1" t="n">
        <v>46193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13534-2024</t>
        </is>
      </c>
      <c r="B277" s="1" t="n">
        <v>45387</v>
      </c>
      <c r="C277" s="1" t="n">
        <v>46193</v>
      </c>
      <c r="D277" t="inlineStr">
        <is>
          <t>VÄRMLANDS LÄN</t>
        </is>
      </c>
      <c r="E277" t="inlineStr">
        <is>
          <t>KARLSTAD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18356-2023</t>
        </is>
      </c>
      <c r="B278" s="1" t="n">
        <v>45041</v>
      </c>
      <c r="C278" s="1" t="n">
        <v>46193</v>
      </c>
      <c r="D278" t="inlineStr">
        <is>
          <t>VÄRMLANDS LÄN</t>
        </is>
      </c>
      <c r="E278" t="inlineStr">
        <is>
          <t>KARLSTAD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29359-2023</t>
        </is>
      </c>
      <c r="B279" s="1" t="n">
        <v>45106</v>
      </c>
      <c r="C279" s="1" t="n">
        <v>46193</v>
      </c>
      <c r="D279" t="inlineStr">
        <is>
          <t>VÄRMLANDS LÄN</t>
        </is>
      </c>
      <c r="E279" t="inlineStr">
        <is>
          <t>KARLSTAD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57322-2024</t>
        </is>
      </c>
      <c r="B280" s="1" t="n">
        <v>45629</v>
      </c>
      <c r="C280" s="1" t="n">
        <v>46193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51663-2023</t>
        </is>
      </c>
      <c r="B281" s="1" t="n">
        <v>45222</v>
      </c>
      <c r="C281" s="1" t="n">
        <v>46193</v>
      </c>
      <c r="D281" t="inlineStr">
        <is>
          <t>VÄRMLANDS LÄN</t>
        </is>
      </c>
      <c r="E281" t="inlineStr">
        <is>
          <t>KARLSTAD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57611-2024</t>
        </is>
      </c>
      <c r="B282" s="1" t="n">
        <v>45630</v>
      </c>
      <c r="C282" s="1" t="n">
        <v>46193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45287-2023</t>
        </is>
      </c>
      <c r="B283" s="1" t="n">
        <v>45187</v>
      </c>
      <c r="C283" s="1" t="n">
        <v>46193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58653-2024</t>
        </is>
      </c>
      <c r="B284" s="1" t="n">
        <v>45635</v>
      </c>
      <c r="C284" s="1" t="n">
        <v>46193</v>
      </c>
      <c r="D284" t="inlineStr">
        <is>
          <t>VÄRMLANDS LÄN</t>
        </is>
      </c>
      <c r="E284" t="inlineStr">
        <is>
          <t>KARLSTAD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</v>
      </c>
      <c r="C285" s="1" t="n">
        <v>46193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12881-2026</t>
        </is>
      </c>
      <c r="B286" s="1" t="n">
        <v>46091</v>
      </c>
      <c r="C286" s="1" t="n">
        <v>46193</v>
      </c>
      <c r="D286" t="inlineStr">
        <is>
          <t>VÄRMLANDS LÄN</t>
        </is>
      </c>
      <c r="E286" t="inlineStr">
        <is>
          <t>KARLSTAD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13543-2025</t>
        </is>
      </c>
      <c r="B287" s="1" t="n">
        <v>45736</v>
      </c>
      <c r="C287" s="1" t="n">
        <v>46193</v>
      </c>
      <c r="D287" t="inlineStr">
        <is>
          <t>VÄRMLANDS LÄN</t>
        </is>
      </c>
      <c r="E287" t="inlineStr">
        <is>
          <t>KARLSTAD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37493-2025</t>
        </is>
      </c>
      <c r="B288" s="1" t="n">
        <v>45877</v>
      </c>
      <c r="C288" s="1" t="n">
        <v>46193</v>
      </c>
      <c r="D288" t="inlineStr">
        <is>
          <t>VÄRMLANDS LÄN</t>
        </is>
      </c>
      <c r="E288" t="inlineStr">
        <is>
          <t>KARLSTAD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41321-2023</t>
        </is>
      </c>
      <c r="B289" s="1" t="n">
        <v>45174</v>
      </c>
      <c r="C289" s="1" t="n">
        <v>46193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39229-2021</t>
        </is>
      </c>
      <c r="B290" s="1" t="n">
        <v>44413</v>
      </c>
      <c r="C290" s="1" t="n">
        <v>46193</v>
      </c>
      <c r="D290" t="inlineStr">
        <is>
          <t>VÄRMLANDS LÄN</t>
        </is>
      </c>
      <c r="E290" t="inlineStr">
        <is>
          <t>KARLSTAD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42829-2025</t>
        </is>
      </c>
      <c r="B291" s="1" t="n">
        <v>45908</v>
      </c>
      <c r="C291" s="1" t="n">
        <v>46193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</v>
      </c>
      <c r="C292" s="1" t="n">
        <v>46193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45231-2024</t>
        </is>
      </c>
      <c r="B293" s="1" t="n">
        <v>45575</v>
      </c>
      <c r="C293" s="1" t="n">
        <v>46193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30094-2023</t>
        </is>
      </c>
      <c r="B294" s="1" t="n">
        <v>45110</v>
      </c>
      <c r="C294" s="1" t="n">
        <v>46193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59892-2024</t>
        </is>
      </c>
      <c r="B295" s="1" t="n">
        <v>45641</v>
      </c>
      <c r="C295" s="1" t="n">
        <v>46193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46109-2024</t>
        </is>
      </c>
      <c r="B296" s="1" t="n">
        <v>45581</v>
      </c>
      <c r="C296" s="1" t="n">
        <v>46193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29550-2023</t>
        </is>
      </c>
      <c r="B297" s="1" t="n">
        <v>45098</v>
      </c>
      <c r="C297" s="1" t="n">
        <v>46193</v>
      </c>
      <c r="D297" t="inlineStr">
        <is>
          <t>VÄRMLANDS LÄN</t>
        </is>
      </c>
      <c r="E297" t="inlineStr">
        <is>
          <t>KARLSTAD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32169-2023</t>
        </is>
      </c>
      <c r="B298" s="1" t="n">
        <v>45107</v>
      </c>
      <c r="C298" s="1" t="n">
        <v>46193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43400-2025</t>
        </is>
      </c>
      <c r="B299" s="1" t="n">
        <v>45911</v>
      </c>
      <c r="C299" s="1" t="n">
        <v>46193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43601-2025</t>
        </is>
      </c>
      <c r="B300" s="1" t="n">
        <v>45911</v>
      </c>
      <c r="C300" s="1" t="n">
        <v>46193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13063-2025</t>
        </is>
      </c>
      <c r="B301" s="1" t="n">
        <v>45734</v>
      </c>
      <c r="C301" s="1" t="n">
        <v>46193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60932-2024</t>
        </is>
      </c>
      <c r="B302" s="1" t="n">
        <v>45645</v>
      </c>
      <c r="C302" s="1" t="n">
        <v>46193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8212-2025</t>
        </is>
      </c>
      <c r="B303" s="1" t="n">
        <v>45707</v>
      </c>
      <c r="C303" s="1" t="n">
        <v>46193</v>
      </c>
      <c r="D303" t="inlineStr">
        <is>
          <t>VÄRMLANDS LÄN</t>
        </is>
      </c>
      <c r="E303" t="inlineStr">
        <is>
          <t>KARLSTAD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19089-2025</t>
        </is>
      </c>
      <c r="B304" s="1" t="n">
        <v>45767</v>
      </c>
      <c r="C304" s="1" t="n">
        <v>46193</v>
      </c>
      <c r="D304" t="inlineStr">
        <is>
          <t>VÄRMLANDS LÄN</t>
        </is>
      </c>
      <c r="E304" t="inlineStr">
        <is>
          <t>KARLSTAD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59204-2023</t>
        </is>
      </c>
      <c r="B305" s="1" t="n">
        <v>45253</v>
      </c>
      <c r="C305" s="1" t="n">
        <v>46193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19844-2024</t>
        </is>
      </c>
      <c r="B306" s="1" t="n">
        <v>45432</v>
      </c>
      <c r="C306" s="1" t="n">
        <v>46193</v>
      </c>
      <c r="D306" t="inlineStr">
        <is>
          <t>VÄRMLANDS LÄN</t>
        </is>
      </c>
      <c r="E306" t="inlineStr">
        <is>
          <t>KARLSTAD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744-2024</t>
        </is>
      </c>
      <c r="B307" s="1" t="n">
        <v>45300</v>
      </c>
      <c r="C307" s="1" t="n">
        <v>46193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3410-2025</t>
        </is>
      </c>
      <c r="B308" s="1" t="n">
        <v>45679</v>
      </c>
      <c r="C308" s="1" t="n">
        <v>46193</v>
      </c>
      <c r="D308" t="inlineStr">
        <is>
          <t>VÄRMLANDS LÄN</t>
        </is>
      </c>
      <c r="E308" t="inlineStr">
        <is>
          <t>KARLSTAD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34261-2021</t>
        </is>
      </c>
      <c r="B309" s="1" t="n">
        <v>44379</v>
      </c>
      <c r="C309" s="1" t="n">
        <v>46193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44615-2025</t>
        </is>
      </c>
      <c r="B310" s="1" t="n">
        <v>45917</v>
      </c>
      <c r="C310" s="1" t="n">
        <v>46193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40001-2023</t>
        </is>
      </c>
      <c r="B311" s="1" t="n">
        <v>45168</v>
      </c>
      <c r="C311" s="1" t="n">
        <v>46193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66642-2021</t>
        </is>
      </c>
      <c r="B312" s="1" t="n">
        <v>44519</v>
      </c>
      <c r="C312" s="1" t="n">
        <v>46193</v>
      </c>
      <c r="D312" t="inlineStr">
        <is>
          <t>VÄRMLANDS LÄN</t>
        </is>
      </c>
      <c r="E312" t="inlineStr">
        <is>
          <t>KARLSTAD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21442-2025</t>
        </is>
      </c>
      <c r="B313" s="1" t="n">
        <v>45782</v>
      </c>
      <c r="C313" s="1" t="n">
        <v>46193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1982-2024</t>
        </is>
      </c>
      <c r="B314" s="1" t="n">
        <v>45308</v>
      </c>
      <c r="C314" s="1" t="n">
        <v>46193</v>
      </c>
      <c r="D314" t="inlineStr">
        <is>
          <t>VÄRMLANDS LÄN</t>
        </is>
      </c>
      <c r="E314" t="inlineStr">
        <is>
          <t>KARLSTAD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6641-2025</t>
        </is>
      </c>
      <c r="B315" s="1" t="n">
        <v>45700</v>
      </c>
      <c r="C315" s="1" t="n">
        <v>46193</v>
      </c>
      <c r="D315" t="inlineStr">
        <is>
          <t>VÄRMLANDS LÄN</t>
        </is>
      </c>
      <c r="E315" t="inlineStr">
        <is>
          <t>KARLSTAD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21531-2025</t>
        </is>
      </c>
      <c r="B316" s="1" t="n">
        <v>45782</v>
      </c>
      <c r="C316" s="1" t="n">
        <v>46193</v>
      </c>
      <c r="D316" t="inlineStr">
        <is>
          <t>VÄRMLANDS LÄN</t>
        </is>
      </c>
      <c r="E316" t="inlineStr">
        <is>
          <t>KARLSTAD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49343-2021</t>
        </is>
      </c>
      <c r="B317" s="1" t="n">
        <v>44454</v>
      </c>
      <c r="C317" s="1" t="n">
        <v>46193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37487-2025</t>
        </is>
      </c>
      <c r="B318" s="1" t="n">
        <v>45877</v>
      </c>
      <c r="C318" s="1" t="n">
        <v>46193</v>
      </c>
      <c r="D318" t="inlineStr">
        <is>
          <t>VÄRMLANDS LÄN</t>
        </is>
      </c>
      <c r="E318" t="inlineStr">
        <is>
          <t>KARLSTAD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21838-2025</t>
        </is>
      </c>
      <c r="B319" s="1" t="n">
        <v>45784</v>
      </c>
      <c r="C319" s="1" t="n">
        <v>46193</v>
      </c>
      <c r="D319" t="inlineStr">
        <is>
          <t>VÄRMLANDS LÄN</t>
        </is>
      </c>
      <c r="E319" t="inlineStr">
        <is>
          <t>KARLSTAD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8634-2025</t>
        </is>
      </c>
      <c r="B320" s="1" t="n">
        <v>45711</v>
      </c>
      <c r="C320" s="1" t="n">
        <v>46193</v>
      </c>
      <c r="D320" t="inlineStr">
        <is>
          <t>VÄRMLANDS LÄN</t>
        </is>
      </c>
      <c r="E320" t="inlineStr">
        <is>
          <t>KARLSTAD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21849-2025</t>
        </is>
      </c>
      <c r="B321" s="1" t="n">
        <v>45784</v>
      </c>
      <c r="C321" s="1" t="n">
        <v>46193</v>
      </c>
      <c r="D321" t="inlineStr">
        <is>
          <t>VÄRMLANDS LÄN</t>
        </is>
      </c>
      <c r="E321" t="inlineStr">
        <is>
          <t>KARLSTAD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21866-2025</t>
        </is>
      </c>
      <c r="B322" s="1" t="n">
        <v>45784</v>
      </c>
      <c r="C322" s="1" t="n">
        <v>46193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46231-2025</t>
        </is>
      </c>
      <c r="B323" s="1" t="n">
        <v>45925</v>
      </c>
      <c r="C323" s="1" t="n">
        <v>46193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25945-2026</t>
        </is>
      </c>
      <c r="B324" s="1" t="n">
        <v>46181</v>
      </c>
      <c r="C324" s="1" t="n">
        <v>46193</v>
      </c>
      <c r="D324" t="inlineStr">
        <is>
          <t>VÄRMLANDS LÄN</t>
        </is>
      </c>
      <c r="E324" t="inlineStr">
        <is>
          <t>KARLSTAD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46230-2025</t>
        </is>
      </c>
      <c r="B325" s="1" t="n">
        <v>45925</v>
      </c>
      <c r="C325" s="1" t="n">
        <v>46193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32333-2025</t>
        </is>
      </c>
      <c r="B326" s="1" t="n">
        <v>45836</v>
      </c>
      <c r="C326" s="1" t="n">
        <v>46193</v>
      </c>
      <c r="D326" t="inlineStr">
        <is>
          <t>VÄRMLANDS LÄN</t>
        </is>
      </c>
      <c r="E326" t="inlineStr">
        <is>
          <t>KARLSTAD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21840-2025</t>
        </is>
      </c>
      <c r="B327" s="1" t="n">
        <v>45784</v>
      </c>
      <c r="C327" s="1" t="n">
        <v>46193</v>
      </c>
      <c r="D327" t="inlineStr">
        <is>
          <t>VÄRMLANDS LÄN</t>
        </is>
      </c>
      <c r="E327" t="inlineStr">
        <is>
          <t>KARLSTAD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21844-2025</t>
        </is>
      </c>
      <c r="B328" s="1" t="n">
        <v>45784</v>
      </c>
      <c r="C328" s="1" t="n">
        <v>46193</v>
      </c>
      <c r="D328" t="inlineStr">
        <is>
          <t>VÄRMLANDS LÄN</t>
        </is>
      </c>
      <c r="E328" t="inlineStr">
        <is>
          <t>KARLSTAD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26602-2026</t>
        </is>
      </c>
      <c r="B329" s="1" t="n">
        <v>46183</v>
      </c>
      <c r="C329" s="1" t="n">
        <v>46193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17892-2023</t>
        </is>
      </c>
      <c r="B330" s="1" t="n">
        <v>45039</v>
      </c>
      <c r="C330" s="1" t="n">
        <v>46193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66322-2021</t>
        </is>
      </c>
      <c r="B331" s="1" t="n">
        <v>44518</v>
      </c>
      <c r="C331" s="1" t="n">
        <v>46193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20509-2025</t>
        </is>
      </c>
      <c r="B332" s="1" t="n">
        <v>45775</v>
      </c>
      <c r="C332" s="1" t="n">
        <v>46193</v>
      </c>
      <c r="D332" t="inlineStr">
        <is>
          <t>VÄRMLANDS LÄN</t>
        </is>
      </c>
      <c r="E332" t="inlineStr">
        <is>
          <t>KARLSTAD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6254-2025</t>
        </is>
      </c>
      <c r="B333" s="1" t="n">
        <v>45698</v>
      </c>
      <c r="C333" s="1" t="n">
        <v>46193</v>
      </c>
      <c r="D333" t="inlineStr">
        <is>
          <t>VÄRMLANDS LÄN</t>
        </is>
      </c>
      <c r="E333" t="inlineStr">
        <is>
          <t>KARLSTAD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6269-2025</t>
        </is>
      </c>
      <c r="B334" s="1" t="n">
        <v>45698</v>
      </c>
      <c r="C334" s="1" t="n">
        <v>46193</v>
      </c>
      <c r="D334" t="inlineStr">
        <is>
          <t>VÄRMLANDS LÄN</t>
        </is>
      </c>
      <c r="E334" t="inlineStr">
        <is>
          <t>KARLSTAD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39792-2024</t>
        </is>
      </c>
      <c r="B335" s="1" t="n">
        <v>45553</v>
      </c>
      <c r="C335" s="1" t="n">
        <v>46193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22409-2023</t>
        </is>
      </c>
      <c r="B336" s="1" t="n">
        <v>45070</v>
      </c>
      <c r="C336" s="1" t="n">
        <v>46193</v>
      </c>
      <c r="D336" t="inlineStr">
        <is>
          <t>VÄRMLANDS LÄN</t>
        </is>
      </c>
      <c r="E336" t="inlineStr">
        <is>
          <t>KARLSTAD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474-2022</t>
        </is>
      </c>
      <c r="B337" s="1" t="n">
        <v>44566</v>
      </c>
      <c r="C337" s="1" t="n">
        <v>46193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16420-2025</t>
        </is>
      </c>
      <c r="B338" s="1" t="n">
        <v>45751</v>
      </c>
      <c r="C338" s="1" t="n">
        <v>46193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12214-2025</t>
        </is>
      </c>
      <c r="B339" s="1" t="n">
        <v>45729</v>
      </c>
      <c r="C339" s="1" t="n">
        <v>46193</v>
      </c>
      <c r="D339" t="inlineStr">
        <is>
          <t>VÄRMLANDS LÄN</t>
        </is>
      </c>
      <c r="E339" t="inlineStr">
        <is>
          <t>KARLSTAD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41960-2023</t>
        </is>
      </c>
      <c r="B340" s="1" t="n">
        <v>45177</v>
      </c>
      <c r="C340" s="1" t="n">
        <v>46193</v>
      </c>
      <c r="D340" t="inlineStr">
        <is>
          <t>VÄRMLANDS LÄN</t>
        </is>
      </c>
      <c r="E340" t="inlineStr">
        <is>
          <t>KARLSTAD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25786-2024</t>
        </is>
      </c>
      <c r="B341" s="1" t="n">
        <v>45466</v>
      </c>
      <c r="C341" s="1" t="n">
        <v>46193</v>
      </c>
      <c r="D341" t="inlineStr">
        <is>
          <t>VÄRMLANDS LÄN</t>
        </is>
      </c>
      <c r="E341" t="inlineStr">
        <is>
          <t>KARLSTAD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2135-2022</t>
        </is>
      </c>
      <c r="B342" s="1" t="n">
        <v>44578</v>
      </c>
      <c r="C342" s="1" t="n">
        <v>46193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48520-2025</t>
        </is>
      </c>
      <c r="B343" s="1" t="n">
        <v>45936</v>
      </c>
      <c r="C343" s="1" t="n">
        <v>46193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22585-2025</t>
        </is>
      </c>
      <c r="B344" s="1" t="n">
        <v>45789</v>
      </c>
      <c r="C344" s="1" t="n">
        <v>46193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48517-2025</t>
        </is>
      </c>
      <c r="B345" s="1" t="n">
        <v>45936</v>
      </c>
      <c r="C345" s="1" t="n">
        <v>46193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48502-2025</t>
        </is>
      </c>
      <c r="B346" s="1" t="n">
        <v>45936</v>
      </c>
      <c r="C346" s="1" t="n">
        <v>46193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48777-2025</t>
        </is>
      </c>
      <c r="B347" s="1" t="n">
        <v>45937</v>
      </c>
      <c r="C347" s="1" t="n">
        <v>46193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</v>
      </c>
      <c r="C348" s="1" t="n">
        <v>46193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8804-2024</t>
        </is>
      </c>
      <c r="B349" s="1" t="n">
        <v>45356</v>
      </c>
      <c r="C349" s="1" t="n">
        <v>46193</v>
      </c>
      <c r="D349" t="inlineStr">
        <is>
          <t>VÄRMLANDS LÄN</t>
        </is>
      </c>
      <c r="E349" t="inlineStr">
        <is>
          <t>KARLSTAD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38298-2022</t>
        </is>
      </c>
      <c r="B350" s="1" t="n">
        <v>44812</v>
      </c>
      <c r="C350" s="1" t="n">
        <v>46193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24.3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47349-2022</t>
        </is>
      </c>
      <c r="B351" s="1" t="n">
        <v>44852</v>
      </c>
      <c r="C351" s="1" t="n">
        <v>46193</v>
      </c>
      <c r="D351" t="inlineStr">
        <is>
          <t>VÄRMLANDS LÄN</t>
        </is>
      </c>
      <c r="E351" t="inlineStr">
        <is>
          <t>KARLSTAD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42060-2021</t>
        </is>
      </c>
      <c r="B352" s="1" t="n">
        <v>44426</v>
      </c>
      <c r="C352" s="1" t="n">
        <v>46193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50309-2025</t>
        </is>
      </c>
      <c r="B353" s="1" t="n">
        <v>45944</v>
      </c>
      <c r="C353" s="1" t="n">
        <v>46193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10651-2025</t>
        </is>
      </c>
      <c r="B354" s="1" t="n">
        <v>45721</v>
      </c>
      <c r="C354" s="1" t="n">
        <v>46193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55081-2024</t>
        </is>
      </c>
      <c r="B355" s="1" t="n">
        <v>45621</v>
      </c>
      <c r="C355" s="1" t="n">
        <v>46193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50312-2025</t>
        </is>
      </c>
      <c r="B356" s="1" t="n">
        <v>45944</v>
      </c>
      <c r="C356" s="1" t="n">
        <v>46193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53038-2022</t>
        </is>
      </c>
      <c r="B357" s="1" t="n">
        <v>44873</v>
      </c>
      <c r="C357" s="1" t="n">
        <v>46193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60281-2024</t>
        </is>
      </c>
      <c r="B358" s="1" t="n">
        <v>45642</v>
      </c>
      <c r="C358" s="1" t="n">
        <v>46193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50501-2025</t>
        </is>
      </c>
      <c r="B359" s="1" t="n">
        <v>45945</v>
      </c>
      <c r="C359" s="1" t="n">
        <v>46193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16312-2023</t>
        </is>
      </c>
      <c r="B360" s="1" t="n">
        <v>45028</v>
      </c>
      <c r="C360" s="1" t="n">
        <v>46193</v>
      </c>
      <c r="D360" t="inlineStr">
        <is>
          <t>VÄRMLANDS LÄN</t>
        </is>
      </c>
      <c r="E360" t="inlineStr">
        <is>
          <t>KARLSTAD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57503-2024</t>
        </is>
      </c>
      <c r="B361" s="1" t="n">
        <v>45630</v>
      </c>
      <c r="C361" s="1" t="n">
        <v>46193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51096-2021</t>
        </is>
      </c>
      <c r="B362" s="1" t="n">
        <v>44459</v>
      </c>
      <c r="C362" s="1" t="n">
        <v>46193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19166-2023</t>
        </is>
      </c>
      <c r="B363" s="1" t="n">
        <v>45044</v>
      </c>
      <c r="C363" s="1" t="n">
        <v>46193</v>
      </c>
      <c r="D363" t="inlineStr">
        <is>
          <t>VÄRMLANDS LÄN</t>
        </is>
      </c>
      <c r="E363" t="inlineStr">
        <is>
          <t>KARLSTAD</t>
        </is>
      </c>
      <c r="F363" t="inlineStr">
        <is>
          <t>Övriga statliga verk och myndigheter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42901-2021</t>
        </is>
      </c>
      <c r="B364" s="1" t="n">
        <v>44431</v>
      </c>
      <c r="C364" s="1" t="n">
        <v>46193</v>
      </c>
      <c r="D364" t="inlineStr">
        <is>
          <t>VÄRMLANDS LÄN</t>
        </is>
      </c>
      <c r="E364" t="inlineStr">
        <is>
          <t>KARLSTAD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25236-2025</t>
        </is>
      </c>
      <c r="B365" s="1" t="n">
        <v>45800</v>
      </c>
      <c r="C365" s="1" t="n">
        <v>46193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27050-2023</t>
        </is>
      </c>
      <c r="B366" s="1" t="n">
        <v>45095</v>
      </c>
      <c r="C366" s="1" t="n">
        <v>46193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25163-2025</t>
        </is>
      </c>
      <c r="B367" s="1" t="n">
        <v>45800</v>
      </c>
      <c r="C367" s="1" t="n">
        <v>46193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57441-2022</t>
        </is>
      </c>
      <c r="B368" s="1" t="n">
        <v>44896</v>
      </c>
      <c r="C368" s="1" t="n">
        <v>46193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48984-2022</t>
        </is>
      </c>
      <c r="B369" s="1" t="n">
        <v>44855</v>
      </c>
      <c r="C369" s="1" t="n">
        <v>46193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18169-2025</t>
        </is>
      </c>
      <c r="B370" s="1" t="n">
        <v>45761</v>
      </c>
      <c r="C370" s="1" t="n">
        <v>46193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26076-2026</t>
        </is>
      </c>
      <c r="B371" s="1" t="n">
        <v>46181</v>
      </c>
      <c r="C371" s="1" t="n">
        <v>46193</v>
      </c>
      <c r="D371" t="inlineStr">
        <is>
          <t>VÄRMLANDS LÄN</t>
        </is>
      </c>
      <c r="E371" t="inlineStr">
        <is>
          <t>KARLSTAD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20855-2026</t>
        </is>
      </c>
      <c r="B372" s="1" t="n">
        <v>46142</v>
      </c>
      <c r="C372" s="1" t="n">
        <v>46193</v>
      </c>
      <c r="D372" t="inlineStr">
        <is>
          <t>VÄRMLANDS LÄN</t>
        </is>
      </c>
      <c r="E372" t="inlineStr">
        <is>
          <t>KARLSTAD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12611-2024</t>
        </is>
      </c>
      <c r="B373" s="1" t="n">
        <v>45382</v>
      </c>
      <c r="C373" s="1" t="n">
        <v>46193</v>
      </c>
      <c r="D373" t="inlineStr">
        <is>
          <t>VÄRMLANDS LÄN</t>
        </is>
      </c>
      <c r="E373" t="inlineStr">
        <is>
          <t>KARLSTAD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10260-2025</t>
        </is>
      </c>
      <c r="B374" s="1" t="n">
        <v>45720</v>
      </c>
      <c r="C374" s="1" t="n">
        <v>46193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41514-2024</t>
        </is>
      </c>
      <c r="B375" s="1" t="n">
        <v>45560</v>
      </c>
      <c r="C375" s="1" t="n">
        <v>46193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16033-2024</t>
        </is>
      </c>
      <c r="B376" s="1" t="n">
        <v>45405</v>
      </c>
      <c r="C376" s="1" t="n">
        <v>46193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57504-2022</t>
        </is>
      </c>
      <c r="B377" s="1" t="n">
        <v>44896</v>
      </c>
      <c r="C377" s="1" t="n">
        <v>46193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9405-2025</t>
        </is>
      </c>
      <c r="B378" s="1" t="n">
        <v>45715</v>
      </c>
      <c r="C378" s="1" t="n">
        <v>46193</v>
      </c>
      <c r="D378" t="inlineStr">
        <is>
          <t>VÄRMLANDS LÄN</t>
        </is>
      </c>
      <c r="E378" t="inlineStr">
        <is>
          <t>KARLSTAD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26861-2025</t>
        </is>
      </c>
      <c r="B379" s="1" t="n">
        <v>45810</v>
      </c>
      <c r="C379" s="1" t="n">
        <v>46193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13118-2023</t>
        </is>
      </c>
      <c r="B380" s="1" t="n">
        <v>45002</v>
      </c>
      <c r="C380" s="1" t="n">
        <v>46193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55819-2022</t>
        </is>
      </c>
      <c r="B381" s="1" t="n">
        <v>44888</v>
      </c>
      <c r="C381" s="1" t="n">
        <v>46193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4071-2023</t>
        </is>
      </c>
      <c r="B382" s="1" t="n">
        <v>44952</v>
      </c>
      <c r="C382" s="1" t="n">
        <v>46193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26670-2023</t>
        </is>
      </c>
      <c r="B383" s="1" t="n">
        <v>45093</v>
      </c>
      <c r="C383" s="1" t="n">
        <v>46193</v>
      </c>
      <c r="D383" t="inlineStr">
        <is>
          <t>VÄRMLANDS LÄN</t>
        </is>
      </c>
      <c r="E383" t="inlineStr">
        <is>
          <t>KARLSTAD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61095-2023</t>
        </is>
      </c>
      <c r="B384" s="1" t="n">
        <v>45260</v>
      </c>
      <c r="C384" s="1" t="n">
        <v>46193</v>
      </c>
      <c r="D384" t="inlineStr">
        <is>
          <t>VÄRMLANDS LÄN</t>
        </is>
      </c>
      <c r="E384" t="inlineStr">
        <is>
          <t>KARLSTAD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27489-2025</t>
        </is>
      </c>
      <c r="B385" s="1" t="n">
        <v>45813</v>
      </c>
      <c r="C385" s="1" t="n">
        <v>46193</v>
      </c>
      <c r="D385" t="inlineStr">
        <is>
          <t>VÄRMLANDS LÄN</t>
        </is>
      </c>
      <c r="E385" t="inlineStr">
        <is>
          <t>KARLSTAD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27492-2025</t>
        </is>
      </c>
      <c r="B386" s="1" t="n">
        <v>45813</v>
      </c>
      <c r="C386" s="1" t="n">
        <v>46193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27493-2025</t>
        </is>
      </c>
      <c r="B387" s="1" t="n">
        <v>45813</v>
      </c>
      <c r="C387" s="1" t="n">
        <v>46193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27495-2025</t>
        </is>
      </c>
      <c r="B388" s="1" t="n">
        <v>45813</v>
      </c>
      <c r="C388" s="1" t="n">
        <v>46193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14235-2024</t>
        </is>
      </c>
      <c r="B389" s="1" t="n">
        <v>45393</v>
      </c>
      <c r="C389" s="1" t="n">
        <v>46193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54296-2025</t>
        </is>
      </c>
      <c r="B390" s="1" t="n">
        <v>45964</v>
      </c>
      <c r="C390" s="1" t="n">
        <v>46193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33564-2023</t>
        </is>
      </c>
      <c r="B391" s="1" t="n">
        <v>45118</v>
      </c>
      <c r="C391" s="1" t="n">
        <v>46193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54254-2024</t>
        </is>
      </c>
      <c r="B392" s="1" t="n">
        <v>45616</v>
      </c>
      <c r="C392" s="1" t="n">
        <v>46193</v>
      </c>
      <c r="D392" t="inlineStr">
        <is>
          <t>VÄRMLANDS LÄN</t>
        </is>
      </c>
      <c r="E392" t="inlineStr">
        <is>
          <t>KARLSTAD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36072-2024</t>
        </is>
      </c>
      <c r="B393" s="1" t="n">
        <v>45533</v>
      </c>
      <c r="C393" s="1" t="n">
        <v>46193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13830-2022</t>
        </is>
      </c>
      <c r="B394" s="1" t="n">
        <v>44649</v>
      </c>
      <c r="C394" s="1" t="n">
        <v>46193</v>
      </c>
      <c r="D394" t="inlineStr">
        <is>
          <t>VÄRMLANDS LÄN</t>
        </is>
      </c>
      <c r="E394" t="inlineStr">
        <is>
          <t>KARLSTAD</t>
        </is>
      </c>
      <c r="F394" t="inlineStr">
        <is>
          <t>Naturvårdsverket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28433-2025</t>
        </is>
      </c>
      <c r="B395" s="1" t="n">
        <v>45819</v>
      </c>
      <c r="C395" s="1" t="n">
        <v>46193</v>
      </c>
      <c r="D395" t="inlineStr">
        <is>
          <t>VÄRMLANDS LÄN</t>
        </is>
      </c>
      <c r="E395" t="inlineStr">
        <is>
          <t>KARLSTAD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58459-2022</t>
        </is>
      </c>
      <c r="B396" s="1" t="n">
        <v>44902</v>
      </c>
      <c r="C396" s="1" t="n">
        <v>46193</v>
      </c>
      <c r="D396" t="inlineStr">
        <is>
          <t>VÄRMLANDS LÄN</t>
        </is>
      </c>
      <c r="E396" t="inlineStr">
        <is>
          <t>KARLSTAD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29192-2025</t>
        </is>
      </c>
      <c r="B397" s="1" t="n">
        <v>45822</v>
      </c>
      <c r="C397" s="1" t="n">
        <v>46193</v>
      </c>
      <c r="D397" t="inlineStr">
        <is>
          <t>VÄRMLANDS LÄN</t>
        </is>
      </c>
      <c r="E397" t="inlineStr">
        <is>
          <t>KARLSTAD</t>
        </is>
      </c>
      <c r="G397" t="n">
        <v>23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55910-2025</t>
        </is>
      </c>
      <c r="B398" s="1" t="n">
        <v>45972</v>
      </c>
      <c r="C398" s="1" t="n">
        <v>46193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64061-2023</t>
        </is>
      </c>
      <c r="B399" s="1" t="n">
        <v>45279</v>
      </c>
      <c r="C399" s="1" t="n">
        <v>46193</v>
      </c>
      <c r="D399" t="inlineStr">
        <is>
          <t>VÄRMLANDS LÄN</t>
        </is>
      </c>
      <c r="E399" t="inlineStr">
        <is>
          <t>KARLSTAD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55419-2025</t>
        </is>
      </c>
      <c r="B400" s="1" t="n">
        <v>45971</v>
      </c>
      <c r="C400" s="1" t="n">
        <v>46193</v>
      </c>
      <c r="D400" t="inlineStr">
        <is>
          <t>VÄRMLANDS LÄN</t>
        </is>
      </c>
      <c r="E400" t="inlineStr">
        <is>
          <t>KARLSTAD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15128-2026</t>
        </is>
      </c>
      <c r="B401" s="1" t="n">
        <v>46105</v>
      </c>
      <c r="C401" s="1" t="n">
        <v>46193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56375-2025</t>
        </is>
      </c>
      <c r="B402" s="1" t="n">
        <v>45974</v>
      </c>
      <c r="C402" s="1" t="n">
        <v>46193</v>
      </c>
      <c r="D402" t="inlineStr">
        <is>
          <t>VÄRMLANDS LÄN</t>
        </is>
      </c>
      <c r="E402" t="inlineStr">
        <is>
          <t>KARLSTAD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46193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46193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37982-2024</t>
        </is>
      </c>
      <c r="B405" s="1" t="n">
        <v>45544</v>
      </c>
      <c r="C405" s="1" t="n">
        <v>46193</v>
      </c>
      <c r="D405" t="inlineStr">
        <is>
          <t>VÄRMLANDS LÄN</t>
        </is>
      </c>
      <c r="E405" t="inlineStr">
        <is>
          <t>KARLSTAD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31417-2025</t>
        </is>
      </c>
      <c r="B406" s="1" t="n">
        <v>45833</v>
      </c>
      <c r="C406" s="1" t="n">
        <v>46193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56872-2025</t>
        </is>
      </c>
      <c r="B407" s="1" t="n">
        <v>45978</v>
      </c>
      <c r="C407" s="1" t="n">
        <v>46193</v>
      </c>
      <c r="D407" t="inlineStr">
        <is>
          <t>VÄRMLANDS LÄN</t>
        </is>
      </c>
      <c r="E407" t="inlineStr">
        <is>
          <t>KARLSTAD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11370-2023</t>
        </is>
      </c>
      <c r="B408" s="1" t="n">
        <v>44985</v>
      </c>
      <c r="C408" s="1" t="n">
        <v>46193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56795-2025</t>
        </is>
      </c>
      <c r="B409" s="1" t="n">
        <v>45978</v>
      </c>
      <c r="C409" s="1" t="n">
        <v>46193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68011-2021</t>
        </is>
      </c>
      <c r="B410" s="1" t="n">
        <v>44525</v>
      </c>
      <c r="C410" s="1" t="n">
        <v>46193</v>
      </c>
      <c r="D410" t="inlineStr">
        <is>
          <t>VÄRMLANDS LÄN</t>
        </is>
      </c>
      <c r="E410" t="inlineStr">
        <is>
          <t>KARLSTAD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53654-2024</t>
        </is>
      </c>
      <c r="B411" s="1" t="n">
        <v>45615</v>
      </c>
      <c r="C411" s="1" t="n">
        <v>46193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56870-2025</t>
        </is>
      </c>
      <c r="B412" s="1" t="n">
        <v>45978</v>
      </c>
      <c r="C412" s="1" t="n">
        <v>46193</v>
      </c>
      <c r="D412" t="inlineStr">
        <is>
          <t>VÄRMLANDS LÄN</t>
        </is>
      </c>
      <c r="E412" t="inlineStr">
        <is>
          <t>KARLSTAD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56871-2025</t>
        </is>
      </c>
      <c r="B413" s="1" t="n">
        <v>45978</v>
      </c>
      <c r="C413" s="1" t="n">
        <v>46193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56863-2025</t>
        </is>
      </c>
      <c r="B414" s="1" t="n">
        <v>45978</v>
      </c>
      <c r="C414" s="1" t="n">
        <v>46193</v>
      </c>
      <c r="D414" t="inlineStr">
        <is>
          <t>VÄRMLANDS LÄN</t>
        </is>
      </c>
      <c r="E414" t="inlineStr">
        <is>
          <t>KARLSTAD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56869-2025</t>
        </is>
      </c>
      <c r="B415" s="1" t="n">
        <v>45978</v>
      </c>
      <c r="C415" s="1" t="n">
        <v>46193</v>
      </c>
      <c r="D415" t="inlineStr">
        <is>
          <t>VÄRMLANDS LÄN</t>
        </is>
      </c>
      <c r="E415" t="inlineStr">
        <is>
          <t>KARLSTAD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46193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31833-2025</t>
        </is>
      </c>
      <c r="B417" s="1" t="n">
        <v>45834</v>
      </c>
      <c r="C417" s="1" t="n">
        <v>46193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42465-2024</t>
        </is>
      </c>
      <c r="B418" s="1" t="n">
        <v>45565</v>
      </c>
      <c r="C418" s="1" t="n">
        <v>46193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24270-2024</t>
        </is>
      </c>
      <c r="B419" s="1" t="n">
        <v>45457</v>
      </c>
      <c r="C419" s="1" t="n">
        <v>46193</v>
      </c>
      <c r="D419" t="inlineStr">
        <is>
          <t>VÄRMLANDS LÄN</t>
        </is>
      </c>
      <c r="E419" t="inlineStr">
        <is>
          <t>KARLSTAD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32590-2025</t>
        </is>
      </c>
      <c r="B420" s="1" t="n">
        <v>45838</v>
      </c>
      <c r="C420" s="1" t="n">
        <v>46193</v>
      </c>
      <c r="D420" t="inlineStr">
        <is>
          <t>VÄRMLANDS LÄN</t>
        </is>
      </c>
      <c r="E420" t="inlineStr">
        <is>
          <t>KARLSTAD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6263-2023</t>
        </is>
      </c>
      <c r="B421" s="1" t="n">
        <v>44959</v>
      </c>
      <c r="C421" s="1" t="n">
        <v>46193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32591-2025</t>
        </is>
      </c>
      <c r="B422" s="1" t="n">
        <v>45838</v>
      </c>
      <c r="C422" s="1" t="n">
        <v>46193</v>
      </c>
      <c r="D422" t="inlineStr">
        <is>
          <t>VÄRMLANDS LÄN</t>
        </is>
      </c>
      <c r="E422" t="inlineStr">
        <is>
          <t>KARLSTAD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</v>
      </c>
      <c r="C423" s="1" t="n">
        <v>46193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1648-2024</t>
        </is>
      </c>
      <c r="B424" s="1" t="n">
        <v>45306</v>
      </c>
      <c r="C424" s="1" t="n">
        <v>46193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54292-2024</t>
        </is>
      </c>
      <c r="B425" s="1" t="n">
        <v>45617</v>
      </c>
      <c r="C425" s="1" t="n">
        <v>46193</v>
      </c>
      <c r="D425" t="inlineStr">
        <is>
          <t>VÄRMLANDS LÄN</t>
        </is>
      </c>
      <c r="E425" t="inlineStr">
        <is>
          <t>KARLSTAD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46193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33705-2025</t>
        </is>
      </c>
      <c r="B427" s="1" t="n">
        <v>45841</v>
      </c>
      <c r="C427" s="1" t="n">
        <v>46193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16757-2024</t>
        </is>
      </c>
      <c r="B428" s="1" t="n">
        <v>45411</v>
      </c>
      <c r="C428" s="1" t="n">
        <v>46193</v>
      </c>
      <c r="D428" t="inlineStr">
        <is>
          <t>VÄRMLANDS LÄN</t>
        </is>
      </c>
      <c r="E428" t="inlineStr">
        <is>
          <t>KARLSTAD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58912-2025</t>
        </is>
      </c>
      <c r="B429" s="1" t="n">
        <v>45986</v>
      </c>
      <c r="C429" s="1" t="n">
        <v>46193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50955-2025</t>
        </is>
      </c>
      <c r="B430" s="1" t="n">
        <v>45946</v>
      </c>
      <c r="C430" s="1" t="n">
        <v>46193</v>
      </c>
      <c r="D430" t="inlineStr">
        <is>
          <t>VÄRMLANDS LÄN</t>
        </is>
      </c>
      <c r="E430" t="inlineStr">
        <is>
          <t>KARLSTAD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10284-2023</t>
        </is>
      </c>
      <c r="B431" s="1" t="n">
        <v>44986</v>
      </c>
      <c r="C431" s="1" t="n">
        <v>46193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1120-2026</t>
        </is>
      </c>
      <c r="B432" s="1" t="n">
        <v>46029</v>
      </c>
      <c r="C432" s="1" t="n">
        <v>46193</v>
      </c>
      <c r="D432" t="inlineStr">
        <is>
          <t>VÄRMLANDS LÄN</t>
        </is>
      </c>
      <c r="E432" t="inlineStr">
        <is>
          <t>KARLSTAD</t>
        </is>
      </c>
      <c r="F432" t="inlineStr">
        <is>
          <t>Övriga statliga verk och myndigheter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38883-2023</t>
        </is>
      </c>
      <c r="B433" s="1" t="n">
        <v>45163</v>
      </c>
      <c r="C433" s="1" t="n">
        <v>46193</v>
      </c>
      <c r="D433" t="inlineStr">
        <is>
          <t>VÄRMLANDS LÄN</t>
        </is>
      </c>
      <c r="E433" t="inlineStr">
        <is>
          <t>KARLSTAD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4373-2022</t>
        </is>
      </c>
      <c r="B434" s="1" t="n">
        <v>44589</v>
      </c>
      <c r="C434" s="1" t="n">
        <v>46193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17.9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21217-2026</t>
        </is>
      </c>
      <c r="B435" s="1" t="n">
        <v>46146</v>
      </c>
      <c r="C435" s="1" t="n">
        <v>46193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41654-2024</t>
        </is>
      </c>
      <c r="B436" s="1" t="n">
        <v>45560</v>
      </c>
      <c r="C436" s="1" t="n">
        <v>46193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54141-2024</t>
        </is>
      </c>
      <c r="B437" s="1" t="n">
        <v>45616</v>
      </c>
      <c r="C437" s="1" t="n">
        <v>46193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57146-2024</t>
        </is>
      </c>
      <c r="B438" s="1" t="n">
        <v>45629</v>
      </c>
      <c r="C438" s="1" t="n">
        <v>46193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21220-2026</t>
        </is>
      </c>
      <c r="B439" s="1" t="n">
        <v>46146</v>
      </c>
      <c r="C439" s="1" t="n">
        <v>46193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35867-2025</t>
        </is>
      </c>
      <c r="B440" s="1" t="n">
        <v>45861</v>
      </c>
      <c r="C440" s="1" t="n">
        <v>46193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16397-2025</t>
        </is>
      </c>
      <c r="B441" s="1" t="n">
        <v>45751</v>
      </c>
      <c r="C441" s="1" t="n">
        <v>46193</v>
      </c>
      <c r="D441" t="inlineStr">
        <is>
          <t>VÄRMLANDS LÄN</t>
        </is>
      </c>
      <c r="E441" t="inlineStr">
        <is>
          <t>KARLSTAD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60434-2025</t>
        </is>
      </c>
      <c r="B442" s="1" t="n">
        <v>45995</v>
      </c>
      <c r="C442" s="1" t="n">
        <v>46193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13745-2022</t>
        </is>
      </c>
      <c r="B443" s="1" t="n">
        <v>44649</v>
      </c>
      <c r="C443" s="1" t="n">
        <v>46193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12316-2025</t>
        </is>
      </c>
      <c r="B444" s="1" t="n">
        <v>45729</v>
      </c>
      <c r="C444" s="1" t="n">
        <v>46193</v>
      </c>
      <c r="D444" t="inlineStr">
        <is>
          <t>VÄRMLANDS LÄN</t>
        </is>
      </c>
      <c r="E444" t="inlineStr">
        <is>
          <t>KARLSTAD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27583-2026</t>
        </is>
      </c>
      <c r="B445" s="1" t="n">
        <v>46190</v>
      </c>
      <c r="C445" s="1" t="n">
        <v>46193</v>
      </c>
      <c r="D445" t="inlineStr">
        <is>
          <t>VÄRMLANDS LÄN</t>
        </is>
      </c>
      <c r="E445" t="inlineStr">
        <is>
          <t>KARLSTAD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36497-2025</t>
        </is>
      </c>
      <c r="B446" s="1" t="n">
        <v>45869</v>
      </c>
      <c r="C446" s="1" t="n">
        <v>46193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57607-2024</t>
        </is>
      </c>
      <c r="B447" s="1" t="n">
        <v>45630</v>
      </c>
      <c r="C447" s="1" t="n">
        <v>46193</v>
      </c>
      <c r="D447" t="inlineStr">
        <is>
          <t>VÄRMLANDS LÄN</t>
        </is>
      </c>
      <c r="E447" t="inlineStr">
        <is>
          <t>KARLSTAD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27559-2026</t>
        </is>
      </c>
      <c r="B448" s="1" t="n">
        <v>46190</v>
      </c>
      <c r="C448" s="1" t="n">
        <v>46193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27576-2026</t>
        </is>
      </c>
      <c r="B449" s="1" t="n">
        <v>46190</v>
      </c>
      <c r="C449" s="1" t="n">
        <v>46193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27571-2026</t>
        </is>
      </c>
      <c r="B450" s="1" t="n">
        <v>46190</v>
      </c>
      <c r="C450" s="1" t="n">
        <v>46193</v>
      </c>
      <c r="D450" t="inlineStr">
        <is>
          <t>VÄRMLANDS LÄN</t>
        </is>
      </c>
      <c r="E450" t="inlineStr">
        <is>
          <t>KARLSTAD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61673-2025</t>
        </is>
      </c>
      <c r="B451" s="1" t="n">
        <v>46002</v>
      </c>
      <c r="C451" s="1" t="n">
        <v>46193</v>
      </c>
      <c r="D451" t="inlineStr">
        <is>
          <t>VÄRMLANDS LÄN</t>
        </is>
      </c>
      <c r="E451" t="inlineStr">
        <is>
          <t>KARLSTAD</t>
        </is>
      </c>
      <c r="F451" t="inlineStr">
        <is>
          <t>Naturvårdsverket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61962-2025</t>
        </is>
      </c>
      <c r="B452" s="1" t="n">
        <v>46003</v>
      </c>
      <c r="C452" s="1" t="n">
        <v>46193</v>
      </c>
      <c r="D452" t="inlineStr">
        <is>
          <t>VÄRMLANDS LÄN</t>
        </is>
      </c>
      <c r="E452" t="inlineStr">
        <is>
          <t>KARLSTAD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61968-2025</t>
        </is>
      </c>
      <c r="B453" s="1" t="n">
        <v>46003</v>
      </c>
      <c r="C453" s="1" t="n">
        <v>46193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46193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50236-2024</t>
        </is>
      </c>
      <c r="B455" s="1" t="n">
        <v>45600</v>
      </c>
      <c r="C455" s="1" t="n">
        <v>46193</v>
      </c>
      <c r="D455" t="inlineStr">
        <is>
          <t>VÄRMLANDS LÄN</t>
        </is>
      </c>
      <c r="E455" t="inlineStr">
        <is>
          <t>KARLSTAD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50526-2023</t>
        </is>
      </c>
      <c r="B456" s="1" t="n">
        <v>45217</v>
      </c>
      <c r="C456" s="1" t="n">
        <v>46193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24648-2022</t>
        </is>
      </c>
      <c r="B457" s="1" t="n">
        <v>44727</v>
      </c>
      <c r="C457" s="1" t="n">
        <v>46193</v>
      </c>
      <c r="D457" t="inlineStr">
        <is>
          <t>VÄRMLANDS LÄN</t>
        </is>
      </c>
      <c r="E457" t="inlineStr">
        <is>
          <t>KARLSTAD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22242-2025</t>
        </is>
      </c>
      <c r="B458" s="1" t="n">
        <v>45785</v>
      </c>
      <c r="C458" s="1" t="n">
        <v>46193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63122-2025</t>
        </is>
      </c>
      <c r="B459" s="1" t="n">
        <v>46009</v>
      </c>
      <c r="C459" s="1" t="n">
        <v>46193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18471-2022</t>
        </is>
      </c>
      <c r="B460" s="1" t="n">
        <v>44686</v>
      </c>
      <c r="C460" s="1" t="n">
        <v>46193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2061-2025</t>
        </is>
      </c>
      <c r="B461" s="1" t="n">
        <v>45672</v>
      </c>
      <c r="C461" s="1" t="n">
        <v>46193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11190-2024</t>
        </is>
      </c>
      <c r="B462" s="1" t="n">
        <v>45371</v>
      </c>
      <c r="C462" s="1" t="n">
        <v>46193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11194-2024</t>
        </is>
      </c>
      <c r="B463" s="1" t="n">
        <v>45371</v>
      </c>
      <c r="C463" s="1" t="n">
        <v>46193</v>
      </c>
      <c r="D463" t="inlineStr">
        <is>
          <t>VÄRMLANDS LÄN</t>
        </is>
      </c>
      <c r="E463" t="inlineStr">
        <is>
          <t>KARLSTAD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37724-2025</t>
        </is>
      </c>
      <c r="B464" s="1" t="n">
        <v>45880</v>
      </c>
      <c r="C464" s="1" t="n">
        <v>46193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41563-2023</t>
        </is>
      </c>
      <c r="B465" s="1" t="n">
        <v>45175</v>
      </c>
      <c r="C465" s="1" t="n">
        <v>46193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46967-2023</t>
        </is>
      </c>
      <c r="B466" s="1" t="n">
        <v>45201</v>
      </c>
      <c r="C466" s="1" t="n">
        <v>46193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63120-2025</t>
        </is>
      </c>
      <c r="B467" s="1" t="n">
        <v>46009</v>
      </c>
      <c r="C467" s="1" t="n">
        <v>46193</v>
      </c>
      <c r="D467" t="inlineStr">
        <is>
          <t>VÄRMLANDS LÄN</t>
        </is>
      </c>
      <c r="E467" t="inlineStr">
        <is>
          <t>KARLSTAD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46193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37758-2025</t>
        </is>
      </c>
      <c r="B469" s="1" t="n">
        <v>45880</v>
      </c>
      <c r="C469" s="1" t="n">
        <v>46193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37932-2025</t>
        </is>
      </c>
      <c r="B470" s="1" t="n">
        <v>45881</v>
      </c>
      <c r="C470" s="1" t="n">
        <v>46193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39504-2022</t>
        </is>
      </c>
      <c r="B471" s="1" t="n">
        <v>44818</v>
      </c>
      <c r="C471" s="1" t="n">
        <v>46193</v>
      </c>
      <c r="D471" t="inlineStr">
        <is>
          <t>VÄRMLANDS LÄN</t>
        </is>
      </c>
      <c r="E471" t="inlineStr">
        <is>
          <t>KARLSTAD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7491-2022</t>
        </is>
      </c>
      <c r="B472" s="1" t="n">
        <v>44607</v>
      </c>
      <c r="C472" s="1" t="n">
        <v>46193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24488-2023</t>
        </is>
      </c>
      <c r="B473" s="1" t="n">
        <v>45077</v>
      </c>
      <c r="C473" s="1" t="n">
        <v>46193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46193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63825-2025</t>
        </is>
      </c>
      <c r="B475" s="1" t="n">
        <v>46020</v>
      </c>
      <c r="C475" s="1" t="n">
        <v>46193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63172-2025</t>
        </is>
      </c>
      <c r="B476" s="1" t="n">
        <v>46010</v>
      </c>
      <c r="C476" s="1" t="n">
        <v>46193</v>
      </c>
      <c r="D476" t="inlineStr">
        <is>
          <t>VÄRMLANDS LÄN</t>
        </is>
      </c>
      <c r="E476" t="inlineStr">
        <is>
          <t>KARLSTAD</t>
        </is>
      </c>
      <c r="F476" t="inlineStr">
        <is>
          <t>Naturvårdsverket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46193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</v>
      </c>
      <c r="C478" s="1" t="n">
        <v>46193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</v>
      </c>
      <c r="C479" s="1" t="n">
        <v>46193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822-2026</t>
        </is>
      </c>
      <c r="B480" s="1" t="n">
        <v>46030</v>
      </c>
      <c r="C480" s="1" t="n">
        <v>46193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30533-2023</t>
        </is>
      </c>
      <c r="B481" s="1" t="n">
        <v>45111</v>
      </c>
      <c r="C481" s="1" t="n">
        <v>46193</v>
      </c>
      <c r="D481" t="inlineStr">
        <is>
          <t>VÄRMLANDS LÄN</t>
        </is>
      </c>
      <c r="E481" t="inlineStr">
        <is>
          <t>KARLSTAD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1296-2026</t>
        </is>
      </c>
      <c r="B482" s="1" t="n">
        <v>46031</v>
      </c>
      <c r="C482" s="1" t="n">
        <v>46193</v>
      </c>
      <c r="D482" t="inlineStr">
        <is>
          <t>VÄRMLANDS LÄN</t>
        </is>
      </c>
      <c r="E482" t="inlineStr">
        <is>
          <t>KARLSTAD</t>
        </is>
      </c>
      <c r="F482" t="inlineStr">
        <is>
          <t>Kyrkan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35879-2023</t>
        </is>
      </c>
      <c r="B483" s="1" t="n">
        <v>45148</v>
      </c>
      <c r="C483" s="1" t="n">
        <v>46193</v>
      </c>
      <c r="D483" t="inlineStr">
        <is>
          <t>VÄRMLANDS LÄN</t>
        </is>
      </c>
      <c r="E483" t="inlineStr">
        <is>
          <t>KARLSTAD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1484-2026</t>
        </is>
      </c>
      <c r="B484" s="1" t="n">
        <v>46034</v>
      </c>
      <c r="C484" s="1" t="n">
        <v>46193</v>
      </c>
      <c r="D484" t="inlineStr">
        <is>
          <t>VÄRMLANDS LÄN</t>
        </is>
      </c>
      <c r="E484" t="inlineStr">
        <is>
          <t>KARLSTAD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11841-2024</t>
        </is>
      </c>
      <c r="B485" s="1" t="n">
        <v>45376</v>
      </c>
      <c r="C485" s="1" t="n">
        <v>46193</v>
      </c>
      <c r="D485" t="inlineStr">
        <is>
          <t>VÄRMLANDS LÄN</t>
        </is>
      </c>
      <c r="E485" t="inlineStr">
        <is>
          <t>KARLSTAD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28201-2023</t>
        </is>
      </c>
      <c r="B486" s="1" t="n">
        <v>45099</v>
      </c>
      <c r="C486" s="1" t="n">
        <v>46193</v>
      </c>
      <c r="D486" t="inlineStr">
        <is>
          <t>VÄRMLANDS LÄN</t>
        </is>
      </c>
      <c r="E486" t="inlineStr">
        <is>
          <t>KARLSTAD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2779-2026</t>
        </is>
      </c>
      <c r="B487" s="1" t="n">
        <v>46036</v>
      </c>
      <c r="C487" s="1" t="n">
        <v>46193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61070-2023</t>
        </is>
      </c>
      <c r="B488" s="1" t="n">
        <v>45260</v>
      </c>
      <c r="C488" s="1" t="n">
        <v>46193</v>
      </c>
      <c r="D488" t="inlineStr">
        <is>
          <t>VÄRMLANDS LÄN</t>
        </is>
      </c>
      <c r="E488" t="inlineStr">
        <is>
          <t>KARLSTAD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6262-2025</t>
        </is>
      </c>
      <c r="B489" s="1" t="n">
        <v>45698</v>
      </c>
      <c r="C489" s="1" t="n">
        <v>46193</v>
      </c>
      <c r="D489" t="inlineStr">
        <is>
          <t>VÄRMLANDS LÄN</t>
        </is>
      </c>
      <c r="E489" t="inlineStr">
        <is>
          <t>KARLSTAD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55764-2022</t>
        </is>
      </c>
      <c r="B490" s="1" t="n">
        <v>44888</v>
      </c>
      <c r="C490" s="1" t="n">
        <v>46193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HYPERLINK("https://klasma.github.io/Logging_1780/knärot/A 55764-2022 karta knärot.png", "A 55764-2022")</f>
        <v/>
      </c>
      <c r="V490">
        <f>HYPERLINK("https://klasma.github.io/Logging_1780/klagomål/A 55764-2022 FSC-klagomål.docx", "A 55764-2022")</f>
        <v/>
      </c>
      <c r="W490">
        <f>HYPERLINK("https://klasma.github.io/Logging_1780/klagomålsmail/A 55764-2022 FSC-klagomål mail.docx", "A 55764-2022")</f>
        <v/>
      </c>
      <c r="X490">
        <f>HYPERLINK("https://klasma.github.io/Logging_1780/tillsyn/A 55764-2022 tillsynsbegäran.docx", "A 55764-2022")</f>
        <v/>
      </c>
      <c r="Y490">
        <f>HYPERLINK("https://klasma.github.io/Logging_1780/tillsynsmail/A 55764-2022 tillsynsbegäran mail.docx", "A 55764-2022")</f>
        <v/>
      </c>
    </row>
    <row r="491" ht="15" customHeight="1">
      <c r="A491" t="inlineStr">
        <is>
          <t>A 61009-2023</t>
        </is>
      </c>
      <c r="B491" s="1" t="n">
        <v>45261</v>
      </c>
      <c r="C491" s="1" t="n">
        <v>46193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15836-2022</t>
        </is>
      </c>
      <c r="B492" s="1" t="n">
        <v>44664</v>
      </c>
      <c r="C492" s="1" t="n">
        <v>46193</v>
      </c>
      <c r="D492" t="inlineStr">
        <is>
          <t>VÄRMLANDS LÄN</t>
        </is>
      </c>
      <c r="E492" t="inlineStr">
        <is>
          <t>KARLSTAD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3989-2026</t>
        </is>
      </c>
      <c r="B493" s="1" t="n">
        <v>46044</v>
      </c>
      <c r="C493" s="1" t="n">
        <v>46193</v>
      </c>
      <c r="D493" t="inlineStr">
        <is>
          <t>VÄRMLANDS LÄN</t>
        </is>
      </c>
      <c r="E493" t="inlineStr">
        <is>
          <t>KARLSTAD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13532-2024</t>
        </is>
      </c>
      <c r="B494" s="1" t="n">
        <v>45387</v>
      </c>
      <c r="C494" s="1" t="n">
        <v>46193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41568-2023</t>
        </is>
      </c>
      <c r="B495" s="1" t="n">
        <v>45175</v>
      </c>
      <c r="C495" s="1" t="n">
        <v>46193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4717-2025</t>
        </is>
      </c>
      <c r="B496" s="1" t="n">
        <v>45688</v>
      </c>
      <c r="C496" s="1" t="n">
        <v>46193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26672-2023</t>
        </is>
      </c>
      <c r="B497" s="1" t="n">
        <v>45093</v>
      </c>
      <c r="C497" s="1" t="n">
        <v>46193</v>
      </c>
      <c r="D497" t="inlineStr">
        <is>
          <t>VÄRMLANDS LÄN</t>
        </is>
      </c>
      <c r="E497" t="inlineStr">
        <is>
          <t>KARLSTAD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22798-2022</t>
        </is>
      </c>
      <c r="B498" s="1" t="n">
        <v>44715</v>
      </c>
      <c r="C498" s="1" t="n">
        <v>46193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26323-2022</t>
        </is>
      </c>
      <c r="B499" s="1" t="n">
        <v>44735</v>
      </c>
      <c r="C499" s="1" t="n">
        <v>46193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5152-2026</t>
        </is>
      </c>
      <c r="B500" s="1" t="n">
        <v>46049</v>
      </c>
      <c r="C500" s="1" t="n">
        <v>46193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3885-2024</t>
        </is>
      </c>
      <c r="B501" s="1" t="n">
        <v>45322</v>
      </c>
      <c r="C501" s="1" t="n">
        <v>46193</v>
      </c>
      <c r="D501" t="inlineStr">
        <is>
          <t>VÄRMLANDS LÄN</t>
        </is>
      </c>
      <c r="E501" t="inlineStr">
        <is>
          <t>KARLSTAD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5124-2026</t>
        </is>
      </c>
      <c r="B502" s="1" t="n">
        <v>46049</v>
      </c>
      <c r="C502" s="1" t="n">
        <v>46193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59053-2023</t>
        </is>
      </c>
      <c r="B503" s="1" t="n">
        <v>45252</v>
      </c>
      <c r="C503" s="1" t="n">
        <v>46193</v>
      </c>
      <c r="D503" t="inlineStr">
        <is>
          <t>VÄRMLANDS LÄN</t>
        </is>
      </c>
      <c r="E503" t="inlineStr">
        <is>
          <t>KARLSTAD</t>
        </is>
      </c>
      <c r="G503" t="n">
        <v>21.7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5683-2026</t>
        </is>
      </c>
      <c r="B504" s="1" t="n">
        <v>46051</v>
      </c>
      <c r="C504" s="1" t="n">
        <v>46193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65085-2023</t>
        </is>
      </c>
      <c r="B505" s="1" t="n">
        <v>45288</v>
      </c>
      <c r="C505" s="1" t="n">
        <v>46193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8892-2025</t>
        </is>
      </c>
      <c r="B506" s="1" t="n">
        <v>45713</v>
      </c>
      <c r="C506" s="1" t="n">
        <v>46193</v>
      </c>
      <c r="D506" t="inlineStr">
        <is>
          <t>VÄRMLANDS LÄN</t>
        </is>
      </c>
      <c r="E506" t="inlineStr">
        <is>
          <t>KARLSTAD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51088-2023</t>
        </is>
      </c>
      <c r="B507" s="1" t="n">
        <v>45218</v>
      </c>
      <c r="C507" s="1" t="n">
        <v>46193</v>
      </c>
      <c r="D507" t="inlineStr">
        <is>
          <t>VÄRMLANDS LÄN</t>
        </is>
      </c>
      <c r="E507" t="inlineStr">
        <is>
          <t>KARLSTAD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29655-2022</t>
        </is>
      </c>
      <c r="B508" s="1" t="n">
        <v>44754</v>
      </c>
      <c r="C508" s="1" t="n">
        <v>46193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3550-2024</t>
        </is>
      </c>
      <c r="B509" s="1" t="n">
        <v>45320</v>
      </c>
      <c r="C509" s="1" t="n">
        <v>46193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38933-2023</t>
        </is>
      </c>
      <c r="B510" s="1" t="n">
        <v>45163</v>
      </c>
      <c r="C510" s="1" t="n">
        <v>46193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618-2024</t>
        </is>
      </c>
      <c r="B511" s="1" t="n">
        <v>45299</v>
      </c>
      <c r="C511" s="1" t="n">
        <v>46193</v>
      </c>
      <c r="D511" t="inlineStr">
        <is>
          <t>VÄRMLANDS LÄN</t>
        </is>
      </c>
      <c r="E511" t="inlineStr">
        <is>
          <t>KARLSTAD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17082-2025</t>
        </is>
      </c>
      <c r="B512" s="1" t="n">
        <v>45755</v>
      </c>
      <c r="C512" s="1" t="n">
        <v>46193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60022-2023</t>
        </is>
      </c>
      <c r="B513" s="1" t="n">
        <v>45258</v>
      </c>
      <c r="C513" s="1" t="n">
        <v>46193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52799-2023</t>
        </is>
      </c>
      <c r="B514" s="1" t="n">
        <v>45219</v>
      </c>
      <c r="C514" s="1" t="n">
        <v>46193</v>
      </c>
      <c r="D514" t="inlineStr">
        <is>
          <t>VÄRMLANDS LÄN</t>
        </is>
      </c>
      <c r="E514" t="inlineStr">
        <is>
          <t>KARLSTAD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1675-2023</t>
        </is>
      </c>
      <c r="B515" s="1" t="n">
        <v>44938</v>
      </c>
      <c r="C515" s="1" t="n">
        <v>46193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8642-2026</t>
        </is>
      </c>
      <c r="B516" s="1" t="n">
        <v>46066</v>
      </c>
      <c r="C516" s="1" t="n">
        <v>46193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55621-2022</t>
        </is>
      </c>
      <c r="B517" s="1" t="n">
        <v>44888</v>
      </c>
      <c r="C517" s="1" t="n">
        <v>46193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1165-2024</t>
        </is>
      </c>
      <c r="B518" s="1" t="n">
        <v>45302</v>
      </c>
      <c r="C518" s="1" t="n">
        <v>46193</v>
      </c>
      <c r="D518" t="inlineStr">
        <is>
          <t>VÄRMLANDS LÄN</t>
        </is>
      </c>
      <c r="E518" t="inlineStr">
        <is>
          <t>KARLSTAD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8649-2026</t>
        </is>
      </c>
      <c r="B519" s="1" t="n">
        <v>46066</v>
      </c>
      <c r="C519" s="1" t="n">
        <v>46193</v>
      </c>
      <c r="D519" t="inlineStr">
        <is>
          <t>VÄRMLANDS LÄN</t>
        </is>
      </c>
      <c r="E519" t="inlineStr">
        <is>
          <t>KARLSTAD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8656-2026</t>
        </is>
      </c>
      <c r="B520" s="1" t="n">
        <v>46066</v>
      </c>
      <c r="C520" s="1" t="n">
        <v>46193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9075-2026</t>
        </is>
      </c>
      <c r="B521" s="1" t="n">
        <v>46069</v>
      </c>
      <c r="C521" s="1" t="n">
        <v>46193</v>
      </c>
      <c r="D521" t="inlineStr">
        <is>
          <t>VÄRMLANDS LÄN</t>
        </is>
      </c>
      <c r="E521" t="inlineStr">
        <is>
          <t>KARLSTAD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11620-2023</t>
        </is>
      </c>
      <c r="B522" s="1" t="n">
        <v>44994</v>
      </c>
      <c r="C522" s="1" t="n">
        <v>46193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29893-2024</t>
        </is>
      </c>
      <c r="B523" s="1" t="n">
        <v>45487</v>
      </c>
      <c r="C523" s="1" t="n">
        <v>46193</v>
      </c>
      <c r="D523" t="inlineStr">
        <is>
          <t>VÄRMLANDS LÄN</t>
        </is>
      </c>
      <c r="E523" t="inlineStr">
        <is>
          <t>KARLSTAD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5631-2025</t>
        </is>
      </c>
      <c r="B524" s="1" t="n">
        <v>45693</v>
      </c>
      <c r="C524" s="1" t="n">
        <v>46193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72072-2021</t>
        </is>
      </c>
      <c r="B525" s="1" t="n">
        <v>44544</v>
      </c>
      <c r="C525" s="1" t="n">
        <v>46193</v>
      </c>
      <c r="D525" t="inlineStr">
        <is>
          <t>VÄRMLANDS LÄN</t>
        </is>
      </c>
      <c r="E525" t="inlineStr">
        <is>
          <t>KARLSTAD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33807-2024</t>
        </is>
      </c>
      <c r="B526" s="1" t="n">
        <v>45520</v>
      </c>
      <c r="C526" s="1" t="n">
        <v>46193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11342-2026</t>
        </is>
      </c>
      <c r="B527" s="1" t="n">
        <v>46082</v>
      </c>
      <c r="C527" s="1" t="n">
        <v>46193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59295-2022</t>
        </is>
      </c>
      <c r="B528" s="1" t="n">
        <v>44904</v>
      </c>
      <c r="C528" s="1" t="n">
        <v>46193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1983-2024</t>
        </is>
      </c>
      <c r="B529" s="1" t="n">
        <v>45308</v>
      </c>
      <c r="C529" s="1" t="n">
        <v>46193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46176-2024</t>
        </is>
      </c>
      <c r="B530" s="1" t="n">
        <v>45581</v>
      </c>
      <c r="C530" s="1" t="n">
        <v>46193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53048-2022</t>
        </is>
      </c>
      <c r="B531" s="1" t="n">
        <v>44876</v>
      </c>
      <c r="C531" s="1" t="n">
        <v>46193</v>
      </c>
      <c r="D531" t="inlineStr">
        <is>
          <t>VÄRMLANDS LÄN</t>
        </is>
      </c>
      <c r="E531" t="inlineStr">
        <is>
          <t>KARLSTAD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60184-2023</t>
        </is>
      </c>
      <c r="B532" s="1" t="n">
        <v>45258</v>
      </c>
      <c r="C532" s="1" t="n">
        <v>46193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12103-2026</t>
        </is>
      </c>
      <c r="B533" s="1" t="n">
        <v>46086</v>
      </c>
      <c r="C533" s="1" t="n">
        <v>46193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61005-2023</t>
        </is>
      </c>
      <c r="B534" s="1" t="n">
        <v>45261</v>
      </c>
      <c r="C534" s="1" t="n">
        <v>46193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41510-2023</t>
        </is>
      </c>
      <c r="B535" s="1" t="n">
        <v>45175</v>
      </c>
      <c r="C535" s="1" t="n">
        <v>46193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41376-2024</t>
        </is>
      </c>
      <c r="B536" s="1" t="n">
        <v>45559</v>
      </c>
      <c r="C536" s="1" t="n">
        <v>46193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12905-2026</t>
        </is>
      </c>
      <c r="B537" s="1" t="n">
        <v>46091</v>
      </c>
      <c r="C537" s="1" t="n">
        <v>46193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59626-2021</t>
        </is>
      </c>
      <c r="B538" s="1" t="n">
        <v>44491</v>
      </c>
      <c r="C538" s="1" t="n">
        <v>46193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12878-2026</t>
        </is>
      </c>
      <c r="B539" s="1" t="n">
        <v>46092</v>
      </c>
      <c r="C539" s="1" t="n">
        <v>46193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12903-2026</t>
        </is>
      </c>
      <c r="B540" s="1" t="n">
        <v>46092</v>
      </c>
      <c r="C540" s="1" t="n">
        <v>46193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55666-2024</t>
        </is>
      </c>
      <c r="B541" s="1" t="n">
        <v>45622</v>
      </c>
      <c r="C541" s="1" t="n">
        <v>46193</v>
      </c>
      <c r="D541" t="inlineStr">
        <is>
          <t>VÄRMLANDS LÄN</t>
        </is>
      </c>
      <c r="E541" t="inlineStr">
        <is>
          <t>KARLSTAD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51086-2021</t>
        </is>
      </c>
      <c r="B542" s="1" t="n">
        <v>44461</v>
      </c>
      <c r="C542" s="1" t="n">
        <v>46193</v>
      </c>
      <c r="D542" t="inlineStr">
        <is>
          <t>VÄRMLANDS LÄN</t>
        </is>
      </c>
      <c r="E542" t="inlineStr">
        <is>
          <t>KARLSTAD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13343-2026</t>
        </is>
      </c>
      <c r="B543" s="1" t="n">
        <v>46094</v>
      </c>
      <c r="C543" s="1" t="n">
        <v>46193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13322-2026</t>
        </is>
      </c>
      <c r="B544" s="1" t="n">
        <v>46094</v>
      </c>
      <c r="C544" s="1" t="n">
        <v>46193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2984-2023</t>
        </is>
      </c>
      <c r="B545" s="1" t="n">
        <v>44945</v>
      </c>
      <c r="C545" s="1" t="n">
        <v>46193</v>
      </c>
      <c r="D545" t="inlineStr">
        <is>
          <t>VÄRMLANDS LÄN</t>
        </is>
      </c>
      <c r="E545" t="inlineStr">
        <is>
          <t>KARLSTAD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14076-2026</t>
        </is>
      </c>
      <c r="B546" s="1" t="n">
        <v>46099</v>
      </c>
      <c r="C546" s="1" t="n">
        <v>46193</v>
      </c>
      <c r="D546" t="inlineStr">
        <is>
          <t>VÄRMLANDS LÄN</t>
        </is>
      </c>
      <c r="E546" t="inlineStr">
        <is>
          <t>KARLSTAD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5056-2022</t>
        </is>
      </c>
      <c r="B547" s="1" t="n">
        <v>44593</v>
      </c>
      <c r="C547" s="1" t="n">
        <v>46193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</v>
      </c>
      <c r="C548" s="1" t="n">
        <v>46193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14433-2026</t>
        </is>
      </c>
      <c r="B549" s="1" t="n">
        <v>46100</v>
      </c>
      <c r="C549" s="1" t="n">
        <v>46193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14468-2026</t>
        </is>
      </c>
      <c r="B550" s="1" t="n">
        <v>46100</v>
      </c>
      <c r="C550" s="1" t="n">
        <v>46193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14890-2026</t>
        </is>
      </c>
      <c r="B551" s="1" t="n">
        <v>46104</v>
      </c>
      <c r="C551" s="1" t="n">
        <v>46193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14830-2026</t>
        </is>
      </c>
      <c r="B552" s="1" t="n">
        <v>46104</v>
      </c>
      <c r="C552" s="1" t="n">
        <v>46193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14859-2026</t>
        </is>
      </c>
      <c r="B553" s="1" t="n">
        <v>46104</v>
      </c>
      <c r="C553" s="1" t="n">
        <v>46193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15729-2026</t>
        </is>
      </c>
      <c r="B554" s="1" t="n">
        <v>46107</v>
      </c>
      <c r="C554" s="1" t="n">
        <v>46193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15772-2026</t>
        </is>
      </c>
      <c r="B555" s="1" t="n">
        <v>46107</v>
      </c>
      <c r="C555" s="1" t="n">
        <v>46193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</v>
      </c>
      <c r="C556" s="1" t="n">
        <v>46193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17108-2026</t>
        </is>
      </c>
      <c r="B557" s="1" t="n">
        <v>46114</v>
      </c>
      <c r="C557" s="1" t="n">
        <v>46193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22302-2026</t>
        </is>
      </c>
      <c r="B558" s="1" t="n">
        <v>46154</v>
      </c>
      <c r="C558" s="1" t="n">
        <v>46193</v>
      </c>
      <c r="D558" t="inlineStr">
        <is>
          <t>VÄRMLANDS LÄN</t>
        </is>
      </c>
      <c r="E558" t="inlineStr">
        <is>
          <t>KARLSTAD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18163-2026</t>
        </is>
      </c>
      <c r="B559" s="1" t="n">
        <v>46125</v>
      </c>
      <c r="C559" s="1" t="n">
        <v>46193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</v>
      </c>
      <c r="C560" s="1" t="n">
        <v>46193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19157-2026</t>
        </is>
      </c>
      <c r="B561" s="1" t="n">
        <v>46132</v>
      </c>
      <c r="C561" s="1" t="n">
        <v>46193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25068-2026</t>
        </is>
      </c>
      <c r="B562" s="1" t="n">
        <v>46174</v>
      </c>
      <c r="C562" s="1" t="n">
        <v>46193</v>
      </c>
      <c r="D562" t="inlineStr">
        <is>
          <t>VÄRMLANDS LÄN</t>
        </is>
      </c>
      <c r="E562" t="inlineStr">
        <is>
          <t>KARLSTAD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24592-2026</t>
        </is>
      </c>
      <c r="B563" s="1" t="n">
        <v>46170</v>
      </c>
      <c r="C563" s="1" t="n">
        <v>46193</v>
      </c>
      <c r="D563" t="inlineStr">
        <is>
          <t>VÄRMLANDS LÄN</t>
        </is>
      </c>
      <c r="E563" t="inlineStr">
        <is>
          <t>KARLSTAD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19196-2026</t>
        </is>
      </c>
      <c r="B564" s="1" t="n">
        <v>46132</v>
      </c>
      <c r="C564" s="1" t="n">
        <v>46193</v>
      </c>
      <c r="D564" t="inlineStr">
        <is>
          <t>VÄRMLANDS LÄN</t>
        </is>
      </c>
      <c r="E564" t="inlineStr">
        <is>
          <t>KARLSTAD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25109-2026</t>
        </is>
      </c>
      <c r="B565" s="1" t="n">
        <v>46175</v>
      </c>
      <c r="C565" s="1" t="n">
        <v>46193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1446-2023</t>
        </is>
      </c>
      <c r="B566" s="1" t="n">
        <v>44937</v>
      </c>
      <c r="C566" s="1" t="n">
        <v>46193</v>
      </c>
      <c r="D566" t="inlineStr">
        <is>
          <t>VÄRMLANDS LÄN</t>
        </is>
      </c>
      <c r="E566" t="inlineStr">
        <is>
          <t>KARLSTAD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25796-2026</t>
        </is>
      </c>
      <c r="B567" s="1" t="n">
        <v>46178</v>
      </c>
      <c r="C567" s="1" t="n">
        <v>46193</v>
      </c>
      <c r="D567" t="inlineStr">
        <is>
          <t>VÄRMLANDS LÄN</t>
        </is>
      </c>
      <c r="E567" t="inlineStr">
        <is>
          <t>KARLSTAD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25785-2026</t>
        </is>
      </c>
      <c r="B568" s="1" t="n">
        <v>46178</v>
      </c>
      <c r="C568" s="1" t="n">
        <v>46193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42684-2025</t>
        </is>
      </c>
      <c r="B569" s="1" t="n">
        <v>45908</v>
      </c>
      <c r="C569" s="1" t="n">
        <v>46193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12410-2024</t>
        </is>
      </c>
      <c r="B570" s="1" t="n">
        <v>45379</v>
      </c>
      <c r="C570" s="1" t="n">
        <v>46193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25558-2025</t>
        </is>
      </c>
      <c r="B571" s="1" t="n">
        <v>45803</v>
      </c>
      <c r="C571" s="1" t="n">
        <v>46193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29265-2025</t>
        </is>
      </c>
      <c r="B572" s="1" t="n">
        <v>45824</v>
      </c>
      <c r="C572" s="1" t="n">
        <v>46193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42343-2025</t>
        </is>
      </c>
      <c r="B573" s="1" t="n">
        <v>45877</v>
      </c>
      <c r="C573" s="1" t="n">
        <v>46193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42174-2025</t>
        </is>
      </c>
      <c r="B574" s="1" t="n">
        <v>45904</v>
      </c>
      <c r="C574" s="1" t="n">
        <v>46193</v>
      </c>
      <c r="D574" t="inlineStr">
        <is>
          <t>VÄRMLANDS LÄN</t>
        </is>
      </c>
      <c r="E574" t="inlineStr">
        <is>
          <t>KARLSTAD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4723-2025</t>
        </is>
      </c>
      <c r="B575" s="1" t="n">
        <v>45688</v>
      </c>
      <c r="C575" s="1" t="n">
        <v>46193</v>
      </c>
      <c r="D575" t="inlineStr">
        <is>
          <t>VÄRMLANDS LÄN</t>
        </is>
      </c>
      <c r="E575" t="inlineStr">
        <is>
          <t>KARLSTAD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59055-2024</t>
        </is>
      </c>
      <c r="B576" s="1" t="n">
        <v>45636</v>
      </c>
      <c r="C576" s="1" t="n">
        <v>46193</v>
      </c>
      <c r="D576" t="inlineStr">
        <is>
          <t>VÄRMLANDS LÄN</t>
        </is>
      </c>
      <c r="E576" t="inlineStr">
        <is>
          <t>KARLSTAD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57445-2022</t>
        </is>
      </c>
      <c r="B577" s="1" t="n">
        <v>44896</v>
      </c>
      <c r="C577" s="1" t="n">
        <v>46193</v>
      </c>
      <c r="D577" t="inlineStr">
        <is>
          <t>VÄRMLANDS LÄN</t>
        </is>
      </c>
      <c r="E577" t="inlineStr">
        <is>
          <t>KARLSTAD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16421-2025</t>
        </is>
      </c>
      <c r="B578" s="1" t="n">
        <v>45751</v>
      </c>
      <c r="C578" s="1" t="n">
        <v>46193</v>
      </c>
      <c r="D578" t="inlineStr">
        <is>
          <t>VÄRMLANDS LÄN</t>
        </is>
      </c>
      <c r="E578" t="inlineStr">
        <is>
          <t>KARLSTAD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26079-2026</t>
        </is>
      </c>
      <c r="B579" s="1" t="n">
        <v>46181</v>
      </c>
      <c r="C579" s="1" t="n">
        <v>46193</v>
      </c>
      <c r="D579" t="inlineStr">
        <is>
          <t>VÄRMLANDS LÄN</t>
        </is>
      </c>
      <c r="E579" t="inlineStr">
        <is>
          <t>KARLSTAD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26078-2026</t>
        </is>
      </c>
      <c r="B580" s="1" t="n">
        <v>46181</v>
      </c>
      <c r="C580" s="1" t="n">
        <v>46193</v>
      </c>
      <c r="D580" t="inlineStr">
        <is>
          <t>VÄRMLANDS LÄN</t>
        </is>
      </c>
      <c r="E580" t="inlineStr">
        <is>
          <t>KARLSTAD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45265-2023</t>
        </is>
      </c>
      <c r="B581" s="1" t="n">
        <v>45187</v>
      </c>
      <c r="C581" s="1" t="n">
        <v>46193</v>
      </c>
      <c r="D581" t="inlineStr">
        <is>
          <t>VÄRMLANDS LÄN</t>
        </is>
      </c>
      <c r="E581" t="inlineStr">
        <is>
          <t>KARLSTAD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45265-2023</t>
        </is>
      </c>
      <c r="B582" s="1" t="n">
        <v>45187</v>
      </c>
      <c r="C582" s="1" t="n">
        <v>46193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24772-2025</t>
        </is>
      </c>
      <c r="B583" s="1" t="n">
        <v>45799</v>
      </c>
      <c r="C583" s="1" t="n">
        <v>46193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24104-2025</t>
        </is>
      </c>
      <c r="B584" s="1" t="n">
        <v>45796</v>
      </c>
      <c r="C584" s="1" t="n">
        <v>46193</v>
      </c>
      <c r="D584" t="inlineStr">
        <is>
          <t>VÄRMLANDS LÄN</t>
        </is>
      </c>
      <c r="E584" t="inlineStr">
        <is>
          <t>KARLSTAD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24656-2025</t>
        </is>
      </c>
      <c r="B585" s="1" t="n">
        <v>45798</v>
      </c>
      <c r="C585" s="1" t="n">
        <v>46193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37627-2025</t>
        </is>
      </c>
      <c r="B586" s="1" t="n">
        <v>45880</v>
      </c>
      <c r="C586" s="1" t="n">
        <v>46193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8664-2026</t>
        </is>
      </c>
      <c r="B587" s="1" t="n">
        <v>46066</v>
      </c>
      <c r="C587" s="1" t="n">
        <v>46193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2026-06-20T00:46:26Z</dcterms:created>
  <dcterms:modified xmlns:dcterms="http://purl.org/dc/terms/" xmlns:xsi="http://www.w3.org/2001/XMLSchema-instance" xsi:type="dcterms:W3CDTF">2026-06-20T00:46:27Z</dcterms:modified>
</cp:coreProperties>
</file>