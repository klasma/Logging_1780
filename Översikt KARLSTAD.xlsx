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45844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45844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45844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45844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45844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45844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45844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45844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45844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45844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45844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45844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45844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45844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45844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45844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45844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45844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45844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45844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45844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45844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45844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45844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45844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45844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22914-2019</t>
        </is>
      </c>
      <c r="B28" s="1" t="n">
        <v>43591</v>
      </c>
      <c r="C28" s="1" t="n">
        <v>45844</v>
      </c>
      <c r="D28" t="inlineStr">
        <is>
          <t>VÄRMLANDS LÄN</t>
        </is>
      </c>
      <c r="E28" t="inlineStr">
        <is>
          <t>KARLSTAD</t>
        </is>
      </c>
      <c r="F28" t="inlineStr">
        <is>
          <t>Bergvik skog väst AB</t>
        </is>
      </c>
      <c r="G28" t="n">
        <v>6.3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Törnskata
Fläcknycklar</t>
        </is>
      </c>
      <c r="S28">
        <f>HYPERLINK("https://klasma.github.io/Logging_1780/artfynd/A 22914-2019 artfynd.xlsx", "A 22914-2019")</f>
        <v/>
      </c>
      <c r="T28">
        <f>HYPERLINK("https://klasma.github.io/Logging_1780/kartor/A 22914-2019 karta.png", "A 22914-2019")</f>
        <v/>
      </c>
      <c r="V28">
        <f>HYPERLINK("https://klasma.github.io/Logging_1780/klagomål/A 22914-2019 FSC-klagomål.docx", "A 22914-2019")</f>
        <v/>
      </c>
      <c r="W28">
        <f>HYPERLINK("https://klasma.github.io/Logging_1780/klagomålsmail/A 22914-2019 FSC-klagomål mail.docx", "A 22914-2019")</f>
        <v/>
      </c>
      <c r="X28">
        <f>HYPERLINK("https://klasma.github.io/Logging_1780/tillsyn/A 22914-2019 tillsynsbegäran.docx", "A 22914-2019")</f>
        <v/>
      </c>
      <c r="Y28">
        <f>HYPERLINK("https://klasma.github.io/Logging_1780/tillsynsmail/A 22914-2019 tillsynsbegäran mail.docx", "A 22914-2019")</f>
        <v/>
      </c>
      <c r="Z28">
        <f>HYPERLINK("https://klasma.github.io/Logging_1780/fåglar/A 22914-2019 prioriterade fågelarter.docx", "A 22914-2019")</f>
        <v/>
      </c>
    </row>
    <row r="29" ht="15" customHeight="1">
      <c r="A29" t="inlineStr">
        <is>
          <t>A 18231-2020</t>
        </is>
      </c>
      <c r="B29" s="1" t="n">
        <v>43928</v>
      </c>
      <c r="C29" s="1" t="n">
        <v>45844</v>
      </c>
      <c r="D29" t="inlineStr">
        <is>
          <t>VÄRMLANDS LÄN</t>
        </is>
      </c>
      <c r="E29" t="inlineStr">
        <is>
          <t>KARLSTAD</t>
        </is>
      </c>
      <c r="G29" t="n">
        <v>0.5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HYPERLINK("https://klasma.github.io/Logging_1780/artfynd/A 18231-2020 artfynd.xlsx", "A 18231-2020")</f>
        <v/>
      </c>
      <c r="T29">
        <f>HYPERLINK("https://klasma.github.io/Logging_1780/kartor/A 18231-2020 karta.png", "A 18231-2020")</f>
        <v/>
      </c>
      <c r="U29">
        <f>HYPERLINK("https://klasma.github.io/Logging_1780/knärot/A 18231-2020 karta knärot.png", "A 18231-2020")</f>
        <v/>
      </c>
      <c r="V29">
        <f>HYPERLINK("https://klasma.github.io/Logging_1780/klagomål/A 18231-2020 FSC-klagomål.docx", "A 18231-2020")</f>
        <v/>
      </c>
      <c r="W29">
        <f>HYPERLINK("https://klasma.github.io/Logging_1780/klagomålsmail/A 18231-2020 FSC-klagomål mail.docx", "A 18231-2020")</f>
        <v/>
      </c>
      <c r="X29">
        <f>HYPERLINK("https://klasma.github.io/Logging_1780/tillsyn/A 18231-2020 tillsynsbegäran.docx", "A 18231-2020")</f>
        <v/>
      </c>
      <c r="Y29">
        <f>HYPERLINK("https://klasma.github.io/Logging_1780/tillsynsmail/A 18231-2020 tillsynsbegäran mail.docx", "A 18231-2020")</f>
        <v/>
      </c>
    </row>
    <row r="30" ht="15" customHeight="1">
      <c r="A30" t="inlineStr">
        <is>
          <t>A 11581-2021</t>
        </is>
      </c>
      <c r="B30" s="1" t="n">
        <v>44264</v>
      </c>
      <c r="C30" s="1" t="n">
        <v>45844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Vågbandad barkbock</t>
        </is>
      </c>
      <c r="S30">
        <f>HYPERLINK("https://klasma.github.io/Logging_1780/artfynd/A 11581-2021 artfynd.xlsx", "A 11581-2021")</f>
        <v/>
      </c>
      <c r="T30">
        <f>HYPERLINK("https://klasma.github.io/Logging_1780/kartor/A 11581-2021 karta.png", "A 11581-2021")</f>
        <v/>
      </c>
      <c r="V30">
        <f>HYPERLINK("https://klasma.github.io/Logging_1780/klagomål/A 11581-2021 FSC-klagomål.docx", "A 11581-2021")</f>
        <v/>
      </c>
      <c r="W30">
        <f>HYPERLINK("https://klasma.github.io/Logging_1780/klagomålsmail/A 11581-2021 FSC-klagomål mail.docx", "A 11581-2021")</f>
        <v/>
      </c>
      <c r="X30">
        <f>HYPERLINK("https://klasma.github.io/Logging_1780/tillsyn/A 11581-2021 tillsynsbegäran.docx", "A 11581-2021")</f>
        <v/>
      </c>
      <c r="Y30">
        <f>HYPERLINK("https://klasma.github.io/Logging_1780/tillsynsmail/A 11581-2021 tillsynsbegäran mail.docx", "A 11581-2021")</f>
        <v/>
      </c>
    </row>
    <row r="31" ht="15" customHeight="1">
      <c r="A31" t="inlineStr">
        <is>
          <t>A 33866-2021</t>
        </is>
      </c>
      <c r="B31" s="1" t="n">
        <v>44378</v>
      </c>
      <c r="C31" s="1" t="n">
        <v>45844</v>
      </c>
      <c r="D31" t="inlineStr">
        <is>
          <t>VÄRMLANDS LÄN</t>
        </is>
      </c>
      <c r="E31" t="inlineStr">
        <is>
          <t>KARLSTAD</t>
        </is>
      </c>
      <c r="F31" t="inlineStr">
        <is>
          <t>Kyrkan</t>
        </is>
      </c>
      <c r="G31" t="n">
        <v>5.8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HYPERLINK("https://klasma.github.io/Logging_1780/artfynd/A 33866-2021 artfynd.xlsx", "A 33866-2021")</f>
        <v/>
      </c>
      <c r="T31">
        <f>HYPERLINK("https://klasma.github.io/Logging_1780/kartor/A 33866-2021 karta.png", "A 33866-2021")</f>
        <v/>
      </c>
      <c r="V31">
        <f>HYPERLINK("https://klasma.github.io/Logging_1780/klagomål/A 33866-2021 FSC-klagomål.docx", "A 33866-2021")</f>
        <v/>
      </c>
      <c r="W31">
        <f>HYPERLINK("https://klasma.github.io/Logging_1780/klagomålsmail/A 33866-2021 FSC-klagomål mail.docx", "A 33866-2021")</f>
        <v/>
      </c>
      <c r="X31">
        <f>HYPERLINK("https://klasma.github.io/Logging_1780/tillsyn/A 33866-2021 tillsynsbegäran.docx", "A 33866-2021")</f>
        <v/>
      </c>
      <c r="Y31">
        <f>HYPERLINK("https://klasma.github.io/Logging_1780/tillsynsmail/A 33866-2021 tillsynsbegäran mail.docx", "A 33866-2021")</f>
        <v/>
      </c>
    </row>
    <row r="32" ht="15" customHeight="1">
      <c r="A32" t="inlineStr">
        <is>
          <t>A 50826-2021</t>
        </is>
      </c>
      <c r="B32" s="1" t="n">
        <v>44460</v>
      </c>
      <c r="C32" s="1" t="n">
        <v>45844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Flagellkvastmossa</t>
        </is>
      </c>
      <c r="S32">
        <f>HYPERLINK("https://klasma.github.io/Logging_1780/artfynd/A 50826-2021 artfynd.xlsx", "A 50826-2021")</f>
        <v/>
      </c>
      <c r="T32">
        <f>HYPERLINK("https://klasma.github.io/Logging_1780/kartor/A 50826-2021 karta.png", "A 50826-2021")</f>
        <v/>
      </c>
      <c r="V32">
        <f>HYPERLINK("https://klasma.github.io/Logging_1780/klagomål/A 50826-2021 FSC-klagomål.docx", "A 50826-2021")</f>
        <v/>
      </c>
      <c r="W32">
        <f>HYPERLINK("https://klasma.github.io/Logging_1780/klagomålsmail/A 50826-2021 FSC-klagomål mail.docx", "A 50826-2021")</f>
        <v/>
      </c>
      <c r="X32">
        <f>HYPERLINK("https://klasma.github.io/Logging_1780/tillsyn/A 50826-2021 tillsynsbegäran.docx", "A 50826-2021")</f>
        <v/>
      </c>
      <c r="Y32">
        <f>HYPERLINK("https://klasma.github.io/Logging_1780/tillsynsmail/A 50826-2021 tillsynsbegäran mail.docx", "A 50826-2021")</f>
        <v/>
      </c>
      <c r="Z32">
        <f>HYPERLINK("https://klasma.github.io/Logging_1780/fåglar/A 50826-2021 prioriterade fågelarter.docx", "A 50826-2021")</f>
        <v/>
      </c>
    </row>
    <row r="33" ht="15" customHeight="1">
      <c r="A33" t="inlineStr">
        <is>
          <t>A 55210-2021</t>
        </is>
      </c>
      <c r="B33" s="1" t="n">
        <v>44475</v>
      </c>
      <c r="C33" s="1" t="n">
        <v>45844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HYPERLINK("https://klasma.github.io/Logging_1780/artfynd/A 55210-2021 artfynd.xlsx", "A 55210-2021")</f>
        <v/>
      </c>
      <c r="T33">
        <f>HYPERLINK("https://klasma.github.io/Logging_1780/kartor/A 55210-2021 karta.png", "A 55210-2021")</f>
        <v/>
      </c>
      <c r="V33">
        <f>HYPERLINK("https://klasma.github.io/Logging_1780/klagomål/A 55210-2021 FSC-klagomål.docx", "A 55210-2021")</f>
        <v/>
      </c>
      <c r="W33">
        <f>HYPERLINK("https://klasma.github.io/Logging_1780/klagomålsmail/A 55210-2021 FSC-klagomål mail.docx", "A 55210-2021")</f>
        <v/>
      </c>
      <c r="X33">
        <f>HYPERLINK("https://klasma.github.io/Logging_1780/tillsyn/A 55210-2021 tillsynsbegäran.docx", "A 55210-2021")</f>
        <v/>
      </c>
      <c r="Y33">
        <f>HYPERLINK("https://klasma.github.io/Logging_1780/tillsynsmail/A 55210-2021 tillsynsbegäran mail.docx", "A 55210-2021")</f>
        <v/>
      </c>
      <c r="Z33">
        <f>HYPERLINK("https://klasma.github.io/Logging_1780/fåglar/A 55210-2021 prioriterade fågelarter.docx", "A 55210-2021")</f>
        <v/>
      </c>
    </row>
    <row r="34" ht="15" customHeight="1">
      <c r="A34" t="inlineStr">
        <is>
          <t>A 13548-2022</t>
        </is>
      </c>
      <c r="B34" s="1" t="n">
        <v>44648</v>
      </c>
      <c r="C34" s="1" t="n">
        <v>45844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15.9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Tjäder</t>
        </is>
      </c>
      <c r="S34">
        <f>HYPERLINK("https://klasma.github.io/Logging_1780/artfynd/A 13548-2022 artfynd.xlsx", "A 13548-2022")</f>
        <v/>
      </c>
      <c r="T34">
        <f>HYPERLINK("https://klasma.github.io/Logging_1780/kartor/A 13548-2022 karta.png", "A 13548-2022")</f>
        <v/>
      </c>
      <c r="V34">
        <f>HYPERLINK("https://klasma.github.io/Logging_1780/klagomål/A 13548-2022 FSC-klagomål.docx", "A 13548-2022")</f>
        <v/>
      </c>
      <c r="W34">
        <f>HYPERLINK("https://klasma.github.io/Logging_1780/klagomålsmail/A 13548-2022 FSC-klagomål mail.docx", "A 13548-2022")</f>
        <v/>
      </c>
      <c r="X34">
        <f>HYPERLINK("https://klasma.github.io/Logging_1780/tillsyn/A 13548-2022 tillsynsbegäran.docx", "A 13548-2022")</f>
        <v/>
      </c>
      <c r="Y34">
        <f>HYPERLINK("https://klasma.github.io/Logging_1780/tillsynsmail/A 13548-2022 tillsynsbegäran mail.docx", "A 13548-2022")</f>
        <v/>
      </c>
      <c r="Z34">
        <f>HYPERLINK("https://klasma.github.io/Logging_1780/fåglar/A 13548-2022 prioriterade fågelarter.docx", "A 13548-2022")</f>
        <v/>
      </c>
    </row>
    <row r="35" ht="15" customHeight="1">
      <c r="A35" t="inlineStr">
        <is>
          <t>A 20765-2022</t>
        </is>
      </c>
      <c r="B35" s="1" t="n">
        <v>44701</v>
      </c>
      <c r="C35" s="1" t="n">
        <v>45844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Mattlummer</t>
        </is>
      </c>
      <c r="S35">
        <f>HYPERLINK("https://klasma.github.io/Logging_1780/artfynd/A 20765-2022 artfynd.xlsx", "A 20765-2022")</f>
        <v/>
      </c>
      <c r="T35">
        <f>HYPERLINK("https://klasma.github.io/Logging_1780/kartor/A 20765-2022 karta.png", "A 20765-2022")</f>
        <v/>
      </c>
      <c r="V35">
        <f>HYPERLINK("https://klasma.github.io/Logging_1780/klagomål/A 20765-2022 FSC-klagomål.docx", "A 20765-2022")</f>
        <v/>
      </c>
      <c r="W35">
        <f>HYPERLINK("https://klasma.github.io/Logging_1780/klagomålsmail/A 20765-2022 FSC-klagomål mail.docx", "A 20765-2022")</f>
        <v/>
      </c>
      <c r="X35">
        <f>HYPERLINK("https://klasma.github.io/Logging_1780/tillsyn/A 20765-2022 tillsynsbegäran.docx", "A 20765-2022")</f>
        <v/>
      </c>
      <c r="Y35">
        <f>HYPERLINK("https://klasma.github.io/Logging_1780/tillsynsmail/A 20765-2022 tillsynsbegäran mail.docx", "A 20765-2022")</f>
        <v/>
      </c>
    </row>
    <row r="36" ht="15" customHeight="1">
      <c r="A36" t="inlineStr">
        <is>
          <t>A 53155-2022</t>
        </is>
      </c>
      <c r="B36" s="1" t="n">
        <v>44876</v>
      </c>
      <c r="C36" s="1" t="n">
        <v>45844</v>
      </c>
      <c r="D36" t="inlineStr">
        <is>
          <t>VÄRMLANDS LÄN</t>
        </is>
      </c>
      <c r="E36" t="inlineStr">
        <is>
          <t>KARLSTAD</t>
        </is>
      </c>
      <c r="G36" t="n">
        <v>32.8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Trana</t>
        </is>
      </c>
      <c r="S36">
        <f>HYPERLINK("https://klasma.github.io/Logging_1780/artfynd/A 53155-2022 artfynd.xlsx", "A 53155-2022")</f>
        <v/>
      </c>
      <c r="T36">
        <f>HYPERLINK("https://klasma.github.io/Logging_1780/kartor/A 53155-2022 karta.png", "A 53155-2022")</f>
        <v/>
      </c>
      <c r="V36">
        <f>HYPERLINK("https://klasma.github.io/Logging_1780/klagomål/A 53155-2022 FSC-klagomål.docx", "A 53155-2022")</f>
        <v/>
      </c>
      <c r="W36">
        <f>HYPERLINK("https://klasma.github.io/Logging_1780/klagomålsmail/A 53155-2022 FSC-klagomål mail.docx", "A 53155-2022")</f>
        <v/>
      </c>
      <c r="X36">
        <f>HYPERLINK("https://klasma.github.io/Logging_1780/tillsyn/A 53155-2022 tillsynsbegäran.docx", "A 53155-2022")</f>
        <v/>
      </c>
      <c r="Y36">
        <f>HYPERLINK("https://klasma.github.io/Logging_1780/tillsynsmail/A 53155-2022 tillsynsbegäran mail.docx", "A 53155-2022")</f>
        <v/>
      </c>
      <c r="Z36">
        <f>HYPERLINK("https://klasma.github.io/Logging_1780/fåglar/A 53155-2022 prioriterade fågelarter.docx", "A 53155-2022")</f>
        <v/>
      </c>
    </row>
    <row r="37" ht="15" customHeight="1">
      <c r="A37" t="inlineStr">
        <is>
          <t>A 41507-2023</t>
        </is>
      </c>
      <c r="B37" s="1" t="n">
        <v>45175</v>
      </c>
      <c r="C37" s="1" t="n">
        <v>45844</v>
      </c>
      <c r="D37" t="inlineStr">
        <is>
          <t>VÄRMLANDS LÄN</t>
        </is>
      </c>
      <c r="E37" t="inlineStr">
        <is>
          <t>KARLSTAD</t>
        </is>
      </c>
      <c r="G37" t="n">
        <v>11.4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Thomsons trägnagare</t>
        </is>
      </c>
      <c r="S37">
        <f>HYPERLINK("https://klasma.github.io/Logging_1780/artfynd/A 41507-2023 artfynd.xlsx", "A 41507-2023")</f>
        <v/>
      </c>
      <c r="T37">
        <f>HYPERLINK("https://klasma.github.io/Logging_1780/kartor/A 41507-2023 karta.png", "A 41507-2023")</f>
        <v/>
      </c>
      <c r="V37">
        <f>HYPERLINK("https://klasma.github.io/Logging_1780/klagomål/A 41507-2023 FSC-klagomål.docx", "A 41507-2023")</f>
        <v/>
      </c>
      <c r="W37">
        <f>HYPERLINK("https://klasma.github.io/Logging_1780/klagomålsmail/A 41507-2023 FSC-klagomål mail.docx", "A 41507-2023")</f>
        <v/>
      </c>
      <c r="X37">
        <f>HYPERLINK("https://klasma.github.io/Logging_1780/tillsyn/A 41507-2023 tillsynsbegäran.docx", "A 41507-2023")</f>
        <v/>
      </c>
      <c r="Y37">
        <f>HYPERLINK("https://klasma.github.io/Logging_1780/tillsynsmail/A 41507-2023 tillsynsbegäran mail.docx", "A 41507-2023")</f>
        <v/>
      </c>
    </row>
    <row r="38" ht="15" customHeight="1">
      <c r="A38" t="inlineStr">
        <is>
          <t>A 47561-2023</t>
        </is>
      </c>
      <c r="B38" s="1" t="n">
        <v>45197</v>
      </c>
      <c r="C38" s="1" t="n">
        <v>45844</v>
      </c>
      <c r="D38" t="inlineStr">
        <is>
          <t>VÄRMLANDS LÄN</t>
        </is>
      </c>
      <c r="E38" t="inlineStr">
        <is>
          <t>KARLSTAD</t>
        </is>
      </c>
      <c r="G38" t="n">
        <v>3.2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Fläcknycklar</t>
        </is>
      </c>
      <c r="S38">
        <f>HYPERLINK("https://klasma.github.io/Logging_1780/artfynd/A 47561-2023 artfynd.xlsx", "A 47561-2023")</f>
        <v/>
      </c>
      <c r="T38">
        <f>HYPERLINK("https://klasma.github.io/Logging_1780/kartor/A 47561-2023 karta.png", "A 47561-2023")</f>
        <v/>
      </c>
      <c r="V38">
        <f>HYPERLINK("https://klasma.github.io/Logging_1780/klagomål/A 47561-2023 FSC-klagomål.docx", "A 47561-2023")</f>
        <v/>
      </c>
      <c r="W38">
        <f>HYPERLINK("https://klasma.github.io/Logging_1780/klagomålsmail/A 47561-2023 FSC-klagomål mail.docx", "A 47561-2023")</f>
        <v/>
      </c>
      <c r="X38">
        <f>HYPERLINK("https://klasma.github.io/Logging_1780/tillsyn/A 47561-2023 tillsynsbegäran.docx", "A 47561-2023")</f>
        <v/>
      </c>
      <c r="Y38">
        <f>HYPERLINK("https://klasma.github.io/Logging_1780/tillsynsmail/A 47561-2023 tillsynsbegäran mail.docx", "A 47561-2023")</f>
        <v/>
      </c>
      <c r="Z38">
        <f>HYPERLINK("https://klasma.github.io/Logging_1780/fåglar/A 47561-2023 prioriterade fågelarter.docx", "A 47561-2023")</f>
        <v/>
      </c>
    </row>
    <row r="39" ht="15" customHeight="1">
      <c r="A39" t="inlineStr">
        <is>
          <t>A 4296-2024</t>
        </is>
      </c>
      <c r="B39" s="1" t="n">
        <v>45324</v>
      </c>
      <c r="C39" s="1" t="n">
        <v>45844</v>
      </c>
      <c r="D39" t="inlineStr">
        <is>
          <t>VÄRMLANDS LÄN</t>
        </is>
      </c>
      <c r="E39" t="inlineStr">
        <is>
          <t>KARLSTAD</t>
        </is>
      </c>
      <c r="G39" t="n">
        <v>7.1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Spillkråka</t>
        </is>
      </c>
      <c r="S39">
        <f>HYPERLINK("https://klasma.github.io/Logging_1780/artfynd/A 4296-2024 artfynd.xlsx", "A 4296-2024")</f>
        <v/>
      </c>
      <c r="T39">
        <f>HYPERLINK("https://klasma.github.io/Logging_1780/kartor/A 4296-2024 karta.png", "A 4296-2024")</f>
        <v/>
      </c>
      <c r="V39">
        <f>HYPERLINK("https://klasma.github.io/Logging_1780/klagomål/A 4296-2024 FSC-klagomål.docx", "A 4296-2024")</f>
        <v/>
      </c>
      <c r="W39">
        <f>HYPERLINK("https://klasma.github.io/Logging_1780/klagomålsmail/A 4296-2024 FSC-klagomål mail.docx", "A 4296-2024")</f>
        <v/>
      </c>
      <c r="X39">
        <f>HYPERLINK("https://klasma.github.io/Logging_1780/tillsyn/A 4296-2024 tillsynsbegäran.docx", "A 4296-2024")</f>
        <v/>
      </c>
      <c r="Y39">
        <f>HYPERLINK("https://klasma.github.io/Logging_1780/tillsynsmail/A 4296-2024 tillsynsbegäran mail.docx", "A 4296-2024")</f>
        <v/>
      </c>
      <c r="Z39">
        <f>HYPERLINK("https://klasma.github.io/Logging_1780/fåglar/A 4296-2024 prioriterade fågelarter.docx", "A 4296-2024")</f>
        <v/>
      </c>
    </row>
    <row r="40" ht="15" customHeight="1">
      <c r="A40" t="inlineStr">
        <is>
          <t>A 19133-2024</t>
        </is>
      </c>
      <c r="B40" s="1" t="n">
        <v>45428</v>
      </c>
      <c r="C40" s="1" t="n">
        <v>45844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2.8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Blåmossa</t>
        </is>
      </c>
      <c r="S40">
        <f>HYPERLINK("https://klasma.github.io/Logging_1780/artfynd/A 19133-2024 artfynd.xlsx", "A 19133-2024")</f>
        <v/>
      </c>
      <c r="T40">
        <f>HYPERLINK("https://klasma.github.io/Logging_1780/kartor/A 19133-2024 karta.png", "A 19133-2024")</f>
        <v/>
      </c>
      <c r="U40">
        <f>HYPERLINK("https://klasma.github.io/Logging_1780/knärot/A 19133-2024 karta knärot.png", "A 19133-2024")</f>
        <v/>
      </c>
      <c r="V40">
        <f>HYPERLINK("https://klasma.github.io/Logging_1780/klagomål/A 19133-2024 FSC-klagomål.docx", "A 19133-2024")</f>
        <v/>
      </c>
      <c r="W40">
        <f>HYPERLINK("https://klasma.github.io/Logging_1780/klagomålsmail/A 19133-2024 FSC-klagomål mail.docx", "A 19133-2024")</f>
        <v/>
      </c>
      <c r="X40">
        <f>HYPERLINK("https://klasma.github.io/Logging_1780/tillsyn/A 19133-2024 tillsynsbegäran.docx", "A 19133-2024")</f>
        <v/>
      </c>
      <c r="Y40">
        <f>HYPERLINK("https://klasma.github.io/Logging_1780/tillsynsmail/A 19133-2024 tillsynsbegäran mail.docx", "A 19133-2024")</f>
        <v/>
      </c>
    </row>
    <row r="41" ht="15" customHeight="1">
      <c r="A41" t="inlineStr">
        <is>
          <t>A 3410-2025</t>
        </is>
      </c>
      <c r="B41" s="1" t="n">
        <v>45679</v>
      </c>
      <c r="C41" s="1" t="n">
        <v>45844</v>
      </c>
      <c r="D41" t="inlineStr">
        <is>
          <t>VÄRMLANDS LÄN</t>
        </is>
      </c>
      <c r="E41" t="inlineStr">
        <is>
          <t>KARLSTAD</t>
        </is>
      </c>
      <c r="G41" t="n">
        <v>14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Svartvit taggsvamp
Svart trolldruva</t>
        </is>
      </c>
      <c r="S41">
        <f>HYPERLINK("https://klasma.github.io/Logging_1780/artfynd/A 3410-2025 artfynd.xlsx", "A 3410-2025")</f>
        <v/>
      </c>
      <c r="T41">
        <f>HYPERLINK("https://klasma.github.io/Logging_1780/kartor/A 3410-2025 karta.png", "A 3410-2025")</f>
        <v/>
      </c>
      <c r="V41">
        <f>HYPERLINK("https://klasma.github.io/Logging_1780/klagomål/A 3410-2025 FSC-klagomål.docx", "A 3410-2025")</f>
        <v/>
      </c>
      <c r="W41">
        <f>HYPERLINK("https://klasma.github.io/Logging_1780/klagomålsmail/A 3410-2025 FSC-klagomål mail.docx", "A 3410-2025")</f>
        <v/>
      </c>
      <c r="X41">
        <f>HYPERLINK("https://klasma.github.io/Logging_1780/tillsyn/A 3410-2025 tillsynsbegäran.docx", "A 3410-2025")</f>
        <v/>
      </c>
      <c r="Y41">
        <f>HYPERLINK("https://klasma.github.io/Logging_1780/tillsynsmail/A 3410-2025 tillsynsbegäran mail.docx", "A 3410-2025")</f>
        <v/>
      </c>
    </row>
    <row r="42" ht="15" customHeight="1">
      <c r="A42" t="inlineStr">
        <is>
          <t>A 6542-2025</t>
        </is>
      </c>
      <c r="B42" s="1" t="n">
        <v>45699</v>
      </c>
      <c r="C42" s="1" t="n">
        <v>45844</v>
      </c>
      <c r="D42" t="inlineStr">
        <is>
          <t>VÄRMLANDS LÄN</t>
        </is>
      </c>
      <c r="E42" t="inlineStr">
        <is>
          <t>KARLSTAD</t>
        </is>
      </c>
      <c r="G42" t="n">
        <v>13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Gropig brunbagge
Mindre märgborre</t>
        </is>
      </c>
      <c r="S42">
        <f>HYPERLINK("https://klasma.github.io/Logging_1780/artfynd/A 6542-2025 artfynd.xlsx", "A 6542-2025")</f>
        <v/>
      </c>
      <c r="T42">
        <f>HYPERLINK("https://klasma.github.io/Logging_1780/kartor/A 6542-2025 karta.png", "A 6542-2025")</f>
        <v/>
      </c>
      <c r="V42">
        <f>HYPERLINK("https://klasma.github.io/Logging_1780/klagomål/A 6542-2025 FSC-klagomål.docx", "A 6542-2025")</f>
        <v/>
      </c>
      <c r="W42">
        <f>HYPERLINK("https://klasma.github.io/Logging_1780/klagomålsmail/A 6542-2025 FSC-klagomål mail.docx", "A 6542-2025")</f>
        <v/>
      </c>
      <c r="X42">
        <f>HYPERLINK("https://klasma.github.io/Logging_1780/tillsyn/A 6542-2025 tillsynsbegäran.docx", "A 6542-2025")</f>
        <v/>
      </c>
      <c r="Y42">
        <f>HYPERLINK("https://klasma.github.io/Logging_1780/tillsynsmail/A 6542-2025 tillsynsbegäran mail.docx", "A 6542-2025")</f>
        <v/>
      </c>
    </row>
    <row r="43" ht="15" customHeight="1">
      <c r="A43" t="inlineStr">
        <is>
          <t>A 18838-2019</t>
        </is>
      </c>
      <c r="B43" s="1" t="n">
        <v>43563</v>
      </c>
      <c r="C43" s="1" t="n">
        <v>45844</v>
      </c>
      <c r="D43" t="inlineStr">
        <is>
          <t>VÄRMLANDS LÄN</t>
        </is>
      </c>
      <c r="E43" t="inlineStr">
        <is>
          <t>KARLSTAD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HYPERLINK("https://klasma.github.io/Logging_1780/artfynd/A 18838-2019 artfynd.xlsx", "A 18838-2019")</f>
        <v/>
      </c>
      <c r="T43">
        <f>HYPERLINK("https://klasma.github.io/Logging_1780/kartor/A 18838-2019 karta.png", "A 18838-2019")</f>
        <v/>
      </c>
      <c r="V43">
        <f>HYPERLINK("https://klasma.github.io/Logging_1780/klagomål/A 18838-2019 FSC-klagomål.docx", "A 18838-2019")</f>
        <v/>
      </c>
      <c r="W43">
        <f>HYPERLINK("https://klasma.github.io/Logging_1780/klagomålsmail/A 18838-2019 FSC-klagomål mail.docx", "A 18838-2019")</f>
        <v/>
      </c>
      <c r="X43">
        <f>HYPERLINK("https://klasma.github.io/Logging_1780/tillsyn/A 18838-2019 tillsynsbegäran.docx", "A 18838-2019")</f>
        <v/>
      </c>
      <c r="Y43">
        <f>HYPERLINK("https://klasma.github.io/Logging_1780/tillsynsmail/A 18838-2019 tillsynsbegäran mail.docx", "A 18838-2019")</f>
        <v/>
      </c>
    </row>
    <row r="44" ht="15" customHeight="1">
      <c r="A44" t="inlineStr">
        <is>
          <t>A 22869-2019</t>
        </is>
      </c>
      <c r="B44" s="1" t="n">
        <v>43591</v>
      </c>
      <c r="C44" s="1" t="n">
        <v>45844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HYPERLINK("https://klasma.github.io/Logging_1780/artfynd/A 22869-2019 artfynd.xlsx", "A 22869-2019")</f>
        <v/>
      </c>
      <c r="T44">
        <f>HYPERLINK("https://klasma.github.io/Logging_1780/kartor/A 22869-2019 karta.png", "A 22869-2019")</f>
        <v/>
      </c>
      <c r="U44">
        <f>HYPERLINK("https://klasma.github.io/Logging_1780/knärot/A 22869-2019 karta knärot.png", "A 22869-2019")</f>
        <v/>
      </c>
      <c r="V44">
        <f>HYPERLINK("https://klasma.github.io/Logging_1780/klagomål/A 22869-2019 FSC-klagomål.docx", "A 22869-2019")</f>
        <v/>
      </c>
      <c r="W44">
        <f>HYPERLINK("https://klasma.github.io/Logging_1780/klagomålsmail/A 22869-2019 FSC-klagomål mail.docx", "A 22869-2019")</f>
        <v/>
      </c>
      <c r="X44">
        <f>HYPERLINK("https://klasma.github.io/Logging_1780/tillsyn/A 22869-2019 tillsynsbegäran.docx", "A 22869-2019")</f>
        <v/>
      </c>
      <c r="Y44">
        <f>HYPERLINK("https://klasma.github.io/Logging_1780/tillsynsmail/A 22869-2019 tillsynsbegäran mail.docx", "A 22869-2019")</f>
        <v/>
      </c>
      <c r="Z44">
        <f>HYPERLINK("https://klasma.github.io/Logging_1780/fåglar/A 22869-2019 prioriterade fågelarter.docx", "A 22869-2019")</f>
        <v/>
      </c>
    </row>
    <row r="45" ht="15" customHeight="1">
      <c r="A45" t="inlineStr">
        <is>
          <t>A 22841-2019</t>
        </is>
      </c>
      <c r="B45" s="1" t="n">
        <v>43591</v>
      </c>
      <c r="C45" s="1" t="n">
        <v>45844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HYPERLINK("https://klasma.github.io/Logging_1780/artfynd/A 22841-2019 artfynd.xlsx", "A 22841-2019")</f>
        <v/>
      </c>
      <c r="T45">
        <f>HYPERLINK("https://klasma.github.io/Logging_1780/kartor/A 22841-2019 karta.png", "A 22841-2019")</f>
        <v/>
      </c>
      <c r="V45">
        <f>HYPERLINK("https://klasma.github.io/Logging_1780/klagomål/A 22841-2019 FSC-klagomål.docx", "A 22841-2019")</f>
        <v/>
      </c>
      <c r="W45">
        <f>HYPERLINK("https://klasma.github.io/Logging_1780/klagomålsmail/A 22841-2019 FSC-klagomål mail.docx", "A 22841-2019")</f>
        <v/>
      </c>
      <c r="X45">
        <f>HYPERLINK("https://klasma.github.io/Logging_1780/tillsyn/A 22841-2019 tillsynsbegäran.docx", "A 22841-2019")</f>
        <v/>
      </c>
      <c r="Y45">
        <f>HYPERLINK("https://klasma.github.io/Logging_1780/tillsynsmail/A 22841-2019 tillsynsbegäran mail.docx", "A 22841-2019")</f>
        <v/>
      </c>
    </row>
    <row r="46" ht="15" customHeight="1">
      <c r="A46" t="inlineStr">
        <is>
          <t>A 25652-2019</t>
        </is>
      </c>
      <c r="B46" s="1" t="n">
        <v>43607</v>
      </c>
      <c r="C46" s="1" t="n">
        <v>45844</v>
      </c>
      <c r="D46" t="inlineStr">
        <is>
          <t>VÄRMLANDS LÄN</t>
        </is>
      </c>
      <c r="E46" t="inlineStr">
        <is>
          <t>KARLSTAD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25652-2019 artfynd.xlsx", "A 25652-2019")</f>
        <v/>
      </c>
      <c r="T46">
        <f>HYPERLINK("https://klasma.github.io/Logging_1780/kartor/A 25652-2019 karta.png", "A 25652-2019")</f>
        <v/>
      </c>
      <c r="V46">
        <f>HYPERLINK("https://klasma.github.io/Logging_1780/klagomål/A 25652-2019 FSC-klagomål.docx", "A 25652-2019")</f>
        <v/>
      </c>
      <c r="W46">
        <f>HYPERLINK("https://klasma.github.io/Logging_1780/klagomålsmail/A 25652-2019 FSC-klagomål mail.docx", "A 25652-2019")</f>
        <v/>
      </c>
      <c r="X46">
        <f>HYPERLINK("https://klasma.github.io/Logging_1780/tillsyn/A 25652-2019 tillsynsbegäran.docx", "A 25652-2019")</f>
        <v/>
      </c>
      <c r="Y46">
        <f>HYPERLINK("https://klasma.github.io/Logging_1780/tillsynsmail/A 25652-2019 tillsynsbegäran mail.docx", "A 25652-2019")</f>
        <v/>
      </c>
    </row>
    <row r="47" ht="15" customHeight="1">
      <c r="A47" t="inlineStr">
        <is>
          <t>A 27311-2019</t>
        </is>
      </c>
      <c r="B47" s="1" t="n">
        <v>43616</v>
      </c>
      <c r="C47" s="1" t="n">
        <v>45844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Ängsmetallvinge</t>
        </is>
      </c>
      <c r="S47">
        <f>HYPERLINK("https://klasma.github.io/Logging_1780/artfynd/A 27311-2019 artfynd.xlsx", "A 27311-2019")</f>
        <v/>
      </c>
      <c r="T47">
        <f>HYPERLINK("https://klasma.github.io/Logging_1780/kartor/A 27311-2019 karta.png", "A 27311-2019")</f>
        <v/>
      </c>
      <c r="V47">
        <f>HYPERLINK("https://klasma.github.io/Logging_1780/klagomål/A 27311-2019 FSC-klagomål.docx", "A 27311-2019")</f>
        <v/>
      </c>
      <c r="W47">
        <f>HYPERLINK("https://klasma.github.io/Logging_1780/klagomålsmail/A 27311-2019 FSC-klagomål mail.docx", "A 27311-2019")</f>
        <v/>
      </c>
      <c r="X47">
        <f>HYPERLINK("https://klasma.github.io/Logging_1780/tillsyn/A 27311-2019 tillsynsbegäran.docx", "A 27311-2019")</f>
        <v/>
      </c>
      <c r="Y47">
        <f>HYPERLINK("https://klasma.github.io/Logging_1780/tillsynsmail/A 27311-2019 tillsynsbegäran mail.docx", "A 27311-2019")</f>
        <v/>
      </c>
    </row>
    <row r="48" ht="15" customHeight="1">
      <c r="A48" t="inlineStr">
        <is>
          <t>A 6299-2020</t>
        </is>
      </c>
      <c r="B48" s="1" t="n">
        <v>43866</v>
      </c>
      <c r="C48" s="1" t="n">
        <v>45844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HYPERLINK("https://klasma.github.io/Logging_1780/artfynd/A 6299-2020 artfynd.xlsx", "A 6299-2020")</f>
        <v/>
      </c>
      <c r="T48">
        <f>HYPERLINK("https://klasma.github.io/Logging_1780/kartor/A 6299-2020 karta.png", "A 6299-2020")</f>
        <v/>
      </c>
      <c r="V48">
        <f>HYPERLINK("https://klasma.github.io/Logging_1780/klagomål/A 6299-2020 FSC-klagomål.docx", "A 6299-2020")</f>
        <v/>
      </c>
      <c r="W48">
        <f>HYPERLINK("https://klasma.github.io/Logging_1780/klagomålsmail/A 6299-2020 FSC-klagomål mail.docx", "A 6299-2020")</f>
        <v/>
      </c>
      <c r="X48">
        <f>HYPERLINK("https://klasma.github.io/Logging_1780/tillsyn/A 6299-2020 tillsynsbegäran.docx", "A 6299-2020")</f>
        <v/>
      </c>
      <c r="Y48">
        <f>HYPERLINK("https://klasma.github.io/Logging_1780/tillsynsmail/A 6299-2020 tillsynsbegäran mail.docx", "A 6299-2020")</f>
        <v/>
      </c>
    </row>
    <row r="49" ht="15" customHeight="1">
      <c r="A49" t="inlineStr">
        <is>
          <t>A 18075-2020</t>
        </is>
      </c>
      <c r="B49" s="1" t="n">
        <v>43927</v>
      </c>
      <c r="C49" s="1" t="n">
        <v>45844</v>
      </c>
      <c r="D49" t="inlineStr">
        <is>
          <t>VÄRMLANDS LÄN</t>
        </is>
      </c>
      <c r="E49" t="inlineStr">
        <is>
          <t>KARLSTAD</t>
        </is>
      </c>
      <c r="G49" t="n">
        <v>1.3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18075-2020 artfynd.xlsx", "A 18075-2020")</f>
        <v/>
      </c>
      <c r="T49">
        <f>HYPERLINK("https://klasma.github.io/Logging_1780/kartor/A 18075-2020 karta.png", "A 18075-2020")</f>
        <v/>
      </c>
      <c r="V49">
        <f>HYPERLINK("https://klasma.github.io/Logging_1780/klagomål/A 18075-2020 FSC-klagomål.docx", "A 18075-2020")</f>
        <v/>
      </c>
      <c r="W49">
        <f>HYPERLINK("https://klasma.github.io/Logging_1780/klagomålsmail/A 18075-2020 FSC-klagomål mail.docx", "A 18075-2020")</f>
        <v/>
      </c>
      <c r="X49">
        <f>HYPERLINK("https://klasma.github.io/Logging_1780/tillsyn/A 18075-2020 tillsynsbegäran.docx", "A 18075-2020")</f>
        <v/>
      </c>
      <c r="Y49">
        <f>HYPERLINK("https://klasma.github.io/Logging_1780/tillsynsmail/A 18075-2020 tillsynsbegäran mail.docx", "A 18075-2020")</f>
        <v/>
      </c>
    </row>
    <row r="50" ht="15" customHeight="1">
      <c r="A50" t="inlineStr">
        <is>
          <t>A 28368-2020</t>
        </is>
      </c>
      <c r="B50" s="1" t="n">
        <v>43998</v>
      </c>
      <c r="C50" s="1" t="n">
        <v>45844</v>
      </c>
      <c r="D50" t="inlineStr">
        <is>
          <t>VÄRMLANDS LÄN</t>
        </is>
      </c>
      <c r="E50" t="inlineStr">
        <is>
          <t>KARLSTAD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28368-2020 artfynd.xlsx", "A 28368-2020")</f>
        <v/>
      </c>
      <c r="T50">
        <f>HYPERLINK("https://klasma.github.io/Logging_1780/kartor/A 28368-2020 karta.png", "A 28368-2020")</f>
        <v/>
      </c>
      <c r="V50">
        <f>HYPERLINK("https://klasma.github.io/Logging_1780/klagomål/A 28368-2020 FSC-klagomål.docx", "A 28368-2020")</f>
        <v/>
      </c>
      <c r="W50">
        <f>HYPERLINK("https://klasma.github.io/Logging_1780/klagomålsmail/A 28368-2020 FSC-klagomål mail.docx", "A 28368-2020")</f>
        <v/>
      </c>
      <c r="X50">
        <f>HYPERLINK("https://klasma.github.io/Logging_1780/tillsyn/A 28368-2020 tillsynsbegäran.docx", "A 28368-2020")</f>
        <v/>
      </c>
      <c r="Y50">
        <f>HYPERLINK("https://klasma.github.io/Logging_1780/tillsynsmail/A 28368-2020 tillsynsbegäran mail.docx", "A 28368-2020")</f>
        <v/>
      </c>
    </row>
    <row r="51" ht="15" customHeight="1">
      <c r="A51" t="inlineStr">
        <is>
          <t>A 65851-2020</t>
        </is>
      </c>
      <c r="B51" s="1" t="n">
        <v>44174</v>
      </c>
      <c r="C51" s="1" t="n">
        <v>45844</v>
      </c>
      <c r="D51" t="inlineStr">
        <is>
          <t>VÄRMLANDS LÄN</t>
        </is>
      </c>
      <c r="E51" t="inlineStr">
        <is>
          <t>KARLSTAD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HYPERLINK("https://klasma.github.io/Logging_1780/artfynd/A 65851-2020 artfynd.xlsx", "A 65851-2020")</f>
        <v/>
      </c>
      <c r="T51">
        <f>HYPERLINK("https://klasma.github.io/Logging_1780/kartor/A 65851-2020 karta.png", "A 65851-2020")</f>
        <v/>
      </c>
      <c r="V51">
        <f>HYPERLINK("https://klasma.github.io/Logging_1780/klagomål/A 65851-2020 FSC-klagomål.docx", "A 65851-2020")</f>
        <v/>
      </c>
      <c r="W51">
        <f>HYPERLINK("https://klasma.github.io/Logging_1780/klagomålsmail/A 65851-2020 FSC-klagomål mail.docx", "A 65851-2020")</f>
        <v/>
      </c>
      <c r="X51">
        <f>HYPERLINK("https://klasma.github.io/Logging_1780/tillsyn/A 65851-2020 tillsynsbegäran.docx", "A 65851-2020")</f>
        <v/>
      </c>
      <c r="Y51">
        <f>HYPERLINK("https://klasma.github.io/Logging_1780/tillsynsmail/A 65851-2020 tillsynsbegäran mail.docx", "A 65851-2020")</f>
        <v/>
      </c>
    </row>
    <row r="52" ht="15" customHeight="1">
      <c r="A52" t="inlineStr">
        <is>
          <t>A 67928-2020</t>
        </is>
      </c>
      <c r="B52" s="1" t="n">
        <v>44182</v>
      </c>
      <c r="C52" s="1" t="n">
        <v>45844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HYPERLINK("https://klasma.github.io/Logging_1780/artfynd/A 67928-2020 artfynd.xlsx", "A 67928-2020")</f>
        <v/>
      </c>
      <c r="T52">
        <f>HYPERLINK("https://klasma.github.io/Logging_1780/kartor/A 67928-2020 karta.png", "A 67928-2020")</f>
        <v/>
      </c>
      <c r="V52">
        <f>HYPERLINK("https://klasma.github.io/Logging_1780/klagomål/A 67928-2020 FSC-klagomål.docx", "A 67928-2020")</f>
        <v/>
      </c>
      <c r="W52">
        <f>HYPERLINK("https://klasma.github.io/Logging_1780/klagomålsmail/A 67928-2020 FSC-klagomål mail.docx", "A 67928-2020")</f>
        <v/>
      </c>
      <c r="X52">
        <f>HYPERLINK("https://klasma.github.io/Logging_1780/tillsyn/A 67928-2020 tillsynsbegäran.docx", "A 67928-2020")</f>
        <v/>
      </c>
      <c r="Y52">
        <f>HYPERLINK("https://klasma.github.io/Logging_1780/tillsynsmail/A 67928-2020 tillsynsbegäran mail.docx", "A 67928-2020")</f>
        <v/>
      </c>
    </row>
    <row r="53" ht="15" customHeight="1">
      <c r="A53" t="inlineStr">
        <is>
          <t>A 2194-2021</t>
        </is>
      </c>
      <c r="B53" s="1" t="n">
        <v>44211</v>
      </c>
      <c r="C53" s="1" t="n">
        <v>45844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2194-2021 artfynd.xlsx", "A 2194-2021")</f>
        <v/>
      </c>
      <c r="T53">
        <f>HYPERLINK("https://klasma.github.io/Logging_1780/kartor/A 2194-2021 karta.png", "A 2194-2021")</f>
        <v/>
      </c>
      <c r="U53">
        <f>HYPERLINK("https://klasma.github.io/Logging_1780/knärot/A 2194-2021 karta knärot.png", "A 2194-2021")</f>
        <v/>
      </c>
      <c r="V53">
        <f>HYPERLINK("https://klasma.github.io/Logging_1780/klagomål/A 2194-2021 FSC-klagomål.docx", "A 2194-2021")</f>
        <v/>
      </c>
      <c r="W53">
        <f>HYPERLINK("https://klasma.github.io/Logging_1780/klagomålsmail/A 2194-2021 FSC-klagomål mail.docx", "A 2194-2021")</f>
        <v/>
      </c>
      <c r="X53">
        <f>HYPERLINK("https://klasma.github.io/Logging_1780/tillsyn/A 2194-2021 tillsynsbegäran.docx", "A 2194-2021")</f>
        <v/>
      </c>
      <c r="Y53">
        <f>HYPERLINK("https://klasma.github.io/Logging_1780/tillsynsmail/A 2194-2021 tillsynsbegäran mail.docx", "A 2194-2021")</f>
        <v/>
      </c>
    </row>
    <row r="54" ht="15" customHeight="1">
      <c r="A54" t="inlineStr">
        <is>
          <t>A 4799-2021</t>
        </is>
      </c>
      <c r="B54" s="1" t="n">
        <v>44225</v>
      </c>
      <c r="C54" s="1" t="n">
        <v>45844</v>
      </c>
      <c r="D54" t="inlineStr">
        <is>
          <t>VÄRMLANDS LÄN</t>
        </is>
      </c>
      <c r="E54" t="inlineStr">
        <is>
          <t>KARLSTAD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HYPERLINK("https://klasma.github.io/Logging_1780/artfynd/A 4799-2021 artfynd.xlsx", "A 4799-2021")</f>
        <v/>
      </c>
      <c r="T54">
        <f>HYPERLINK("https://klasma.github.io/Logging_1780/kartor/A 4799-2021 karta.png", "A 4799-2021")</f>
        <v/>
      </c>
      <c r="V54">
        <f>HYPERLINK("https://klasma.github.io/Logging_1780/klagomål/A 4799-2021 FSC-klagomål.docx", "A 4799-2021")</f>
        <v/>
      </c>
      <c r="W54">
        <f>HYPERLINK("https://klasma.github.io/Logging_1780/klagomålsmail/A 4799-2021 FSC-klagomål mail.docx", "A 4799-2021")</f>
        <v/>
      </c>
      <c r="X54">
        <f>HYPERLINK("https://klasma.github.io/Logging_1780/tillsyn/A 4799-2021 tillsynsbegäran.docx", "A 4799-2021")</f>
        <v/>
      </c>
      <c r="Y54">
        <f>HYPERLINK("https://klasma.github.io/Logging_1780/tillsynsmail/A 4799-2021 tillsynsbegäran mail.docx", "A 4799-2021")</f>
        <v/>
      </c>
    </row>
    <row r="55" ht="15" customHeight="1">
      <c r="A55" t="inlineStr">
        <is>
          <t>A 50825-2021</t>
        </is>
      </c>
      <c r="B55" s="1" t="n">
        <v>44460</v>
      </c>
      <c r="C55" s="1" t="n">
        <v>45844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HYPERLINK("https://klasma.github.io/Logging_1780/artfynd/A 50825-2021 artfynd.xlsx", "A 50825-2021")</f>
        <v/>
      </c>
      <c r="T55">
        <f>HYPERLINK("https://klasma.github.io/Logging_1780/kartor/A 50825-2021 karta.png", "A 50825-2021")</f>
        <v/>
      </c>
      <c r="V55">
        <f>HYPERLINK("https://klasma.github.io/Logging_1780/klagomål/A 50825-2021 FSC-klagomål.docx", "A 50825-2021")</f>
        <v/>
      </c>
      <c r="W55">
        <f>HYPERLINK("https://klasma.github.io/Logging_1780/klagomålsmail/A 50825-2021 FSC-klagomål mail.docx", "A 50825-2021")</f>
        <v/>
      </c>
      <c r="X55">
        <f>HYPERLINK("https://klasma.github.io/Logging_1780/tillsyn/A 50825-2021 tillsynsbegäran.docx", "A 50825-2021")</f>
        <v/>
      </c>
      <c r="Y55">
        <f>HYPERLINK("https://klasma.github.io/Logging_1780/tillsynsmail/A 50825-2021 tillsynsbegäran mail.docx", "A 50825-2021")</f>
        <v/>
      </c>
    </row>
    <row r="56" ht="15" customHeight="1">
      <c r="A56" t="inlineStr">
        <is>
          <t>A 55264-2021</t>
        </is>
      </c>
      <c r="B56" s="1" t="n">
        <v>44475</v>
      </c>
      <c r="C56" s="1" t="n">
        <v>45844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HYPERLINK("https://klasma.github.io/Logging_1780/artfynd/A 55264-2021 artfynd.xlsx", "A 55264-2021")</f>
        <v/>
      </c>
      <c r="T56">
        <f>HYPERLINK("https://klasma.github.io/Logging_1780/kartor/A 55264-2021 karta.png", "A 55264-2021")</f>
        <v/>
      </c>
      <c r="V56">
        <f>HYPERLINK("https://klasma.github.io/Logging_1780/klagomål/A 55264-2021 FSC-klagomål.docx", "A 55264-2021")</f>
        <v/>
      </c>
      <c r="W56">
        <f>HYPERLINK("https://klasma.github.io/Logging_1780/klagomålsmail/A 55264-2021 FSC-klagomål mail.docx", "A 55264-2021")</f>
        <v/>
      </c>
      <c r="X56">
        <f>HYPERLINK("https://klasma.github.io/Logging_1780/tillsyn/A 55264-2021 tillsynsbegäran.docx", "A 55264-2021")</f>
        <v/>
      </c>
      <c r="Y56">
        <f>HYPERLINK("https://klasma.github.io/Logging_1780/tillsynsmail/A 55264-2021 tillsynsbegäran mail.docx", "A 55264-2021")</f>
        <v/>
      </c>
    </row>
    <row r="57" ht="15" customHeight="1">
      <c r="A57" t="inlineStr">
        <is>
          <t>A 66274-2021</t>
        </is>
      </c>
      <c r="B57" s="1" t="n">
        <v>44518</v>
      </c>
      <c r="C57" s="1" t="n">
        <v>45844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66274-2021 artfynd.xlsx", "A 66274-2021")</f>
        <v/>
      </c>
      <c r="T57">
        <f>HYPERLINK("https://klasma.github.io/Logging_1780/kartor/A 66274-2021 karta.png", "A 66274-2021")</f>
        <v/>
      </c>
      <c r="V57">
        <f>HYPERLINK("https://klasma.github.io/Logging_1780/klagomål/A 66274-2021 FSC-klagomål.docx", "A 66274-2021")</f>
        <v/>
      </c>
      <c r="W57">
        <f>HYPERLINK("https://klasma.github.io/Logging_1780/klagomålsmail/A 66274-2021 FSC-klagomål mail.docx", "A 66274-2021")</f>
        <v/>
      </c>
      <c r="X57">
        <f>HYPERLINK("https://klasma.github.io/Logging_1780/tillsyn/A 66274-2021 tillsynsbegäran.docx", "A 66274-2021")</f>
        <v/>
      </c>
      <c r="Y57">
        <f>HYPERLINK("https://klasma.github.io/Logging_1780/tillsynsmail/A 66274-2021 tillsynsbegäran mail.docx", "A 66274-2021")</f>
        <v/>
      </c>
    </row>
    <row r="58" ht="15" customHeight="1">
      <c r="A58" t="inlineStr">
        <is>
          <t>A 72045-2021</t>
        </is>
      </c>
      <c r="B58" s="1" t="n">
        <v>44544</v>
      </c>
      <c r="C58" s="1" t="n">
        <v>45844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Åkergroda</t>
        </is>
      </c>
      <c r="S58">
        <f>HYPERLINK("https://klasma.github.io/Logging_1780/artfynd/A 72045-2021 artfynd.xlsx", "A 72045-2021")</f>
        <v/>
      </c>
      <c r="T58">
        <f>HYPERLINK("https://klasma.github.io/Logging_1780/kartor/A 72045-2021 karta.png", "A 72045-2021")</f>
        <v/>
      </c>
      <c r="V58">
        <f>HYPERLINK("https://klasma.github.io/Logging_1780/klagomål/A 72045-2021 FSC-klagomål.docx", "A 72045-2021")</f>
        <v/>
      </c>
      <c r="W58">
        <f>HYPERLINK("https://klasma.github.io/Logging_1780/klagomålsmail/A 72045-2021 FSC-klagomål mail.docx", "A 72045-2021")</f>
        <v/>
      </c>
      <c r="X58">
        <f>HYPERLINK("https://klasma.github.io/Logging_1780/tillsyn/A 72045-2021 tillsynsbegäran.docx", "A 72045-2021")</f>
        <v/>
      </c>
      <c r="Y58">
        <f>HYPERLINK("https://klasma.github.io/Logging_1780/tillsynsmail/A 72045-2021 tillsynsbegäran mail.docx", "A 72045-2021")</f>
        <v/>
      </c>
    </row>
    <row r="59" ht="15" customHeight="1">
      <c r="A59" t="inlineStr">
        <is>
          <t>A 4664-2022</t>
        </is>
      </c>
      <c r="B59" s="1" t="n">
        <v>44592</v>
      </c>
      <c r="C59" s="1" t="n">
        <v>45844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HYPERLINK("https://klasma.github.io/Logging_1780/artfynd/A 4664-2022 artfynd.xlsx", "A 4664-2022")</f>
        <v/>
      </c>
      <c r="T59">
        <f>HYPERLINK("https://klasma.github.io/Logging_1780/kartor/A 4664-2022 karta.png", "A 4664-2022")</f>
        <v/>
      </c>
      <c r="V59">
        <f>HYPERLINK("https://klasma.github.io/Logging_1780/klagomål/A 4664-2022 FSC-klagomål.docx", "A 4664-2022")</f>
        <v/>
      </c>
      <c r="W59">
        <f>HYPERLINK("https://klasma.github.io/Logging_1780/klagomålsmail/A 4664-2022 FSC-klagomål mail.docx", "A 4664-2022")</f>
        <v/>
      </c>
      <c r="X59">
        <f>HYPERLINK("https://klasma.github.io/Logging_1780/tillsyn/A 4664-2022 tillsynsbegäran.docx", "A 4664-2022")</f>
        <v/>
      </c>
      <c r="Y59">
        <f>HYPERLINK("https://klasma.github.io/Logging_1780/tillsynsmail/A 4664-2022 tillsynsbegäran mail.docx", "A 4664-2022")</f>
        <v/>
      </c>
    </row>
    <row r="60" ht="15" customHeight="1">
      <c r="A60" t="inlineStr">
        <is>
          <t>A 14002-2022</t>
        </is>
      </c>
      <c r="B60" s="1" t="n">
        <v>44650</v>
      </c>
      <c r="C60" s="1" t="n">
        <v>45844</v>
      </c>
      <c r="D60" t="inlineStr">
        <is>
          <t>VÄRMLANDS LÄN</t>
        </is>
      </c>
      <c r="E60" t="inlineStr">
        <is>
          <t>KARLSTAD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HYPERLINK("https://klasma.github.io/Logging_1780/artfynd/A 14002-2022 artfynd.xlsx", "A 14002-2022")</f>
        <v/>
      </c>
      <c r="T60">
        <f>HYPERLINK("https://klasma.github.io/Logging_1780/kartor/A 14002-2022 karta.png", "A 14002-2022")</f>
        <v/>
      </c>
      <c r="U60">
        <f>HYPERLINK("https://klasma.github.io/Logging_1780/knärot/A 14002-2022 karta knärot.png", "A 14002-2022")</f>
        <v/>
      </c>
      <c r="V60">
        <f>HYPERLINK("https://klasma.github.io/Logging_1780/klagomål/A 14002-2022 FSC-klagomål.docx", "A 14002-2022")</f>
        <v/>
      </c>
      <c r="W60">
        <f>HYPERLINK("https://klasma.github.io/Logging_1780/klagomålsmail/A 14002-2022 FSC-klagomål mail.docx", "A 14002-2022")</f>
        <v/>
      </c>
      <c r="X60">
        <f>HYPERLINK("https://klasma.github.io/Logging_1780/tillsyn/A 14002-2022 tillsynsbegäran.docx", "A 14002-2022")</f>
        <v/>
      </c>
      <c r="Y60">
        <f>HYPERLINK("https://klasma.github.io/Logging_1780/tillsynsmail/A 14002-2022 tillsynsbegäran mail.docx", "A 14002-2022")</f>
        <v/>
      </c>
    </row>
    <row r="61" ht="15" customHeight="1">
      <c r="A61" t="inlineStr">
        <is>
          <t>A 14594-2022</t>
        </is>
      </c>
      <c r="B61" s="1" t="n">
        <v>44655</v>
      </c>
      <c r="C61" s="1" t="n">
        <v>45844</v>
      </c>
      <c r="D61" t="inlineStr">
        <is>
          <t>VÄRMLANDS LÄN</t>
        </is>
      </c>
      <c r="E61" t="inlineStr">
        <is>
          <t>KARLSTAD</t>
        </is>
      </c>
      <c r="F61" t="inlineStr">
        <is>
          <t>Kommuner</t>
        </is>
      </c>
      <c r="G61" t="n">
        <v>11.2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HYPERLINK("https://klasma.github.io/Logging_1780/artfynd/A 14594-2022 artfynd.xlsx", "A 14594-2022")</f>
        <v/>
      </c>
      <c r="T61">
        <f>HYPERLINK("https://klasma.github.io/Logging_1780/kartor/A 14594-2022 karta.png", "A 14594-2022")</f>
        <v/>
      </c>
      <c r="V61">
        <f>HYPERLINK("https://klasma.github.io/Logging_1780/klagomål/A 14594-2022 FSC-klagomål.docx", "A 14594-2022")</f>
        <v/>
      </c>
      <c r="W61">
        <f>HYPERLINK("https://klasma.github.io/Logging_1780/klagomålsmail/A 14594-2022 FSC-klagomål mail.docx", "A 14594-2022")</f>
        <v/>
      </c>
      <c r="X61">
        <f>HYPERLINK("https://klasma.github.io/Logging_1780/tillsyn/A 14594-2022 tillsynsbegäran.docx", "A 14594-2022")</f>
        <v/>
      </c>
      <c r="Y61">
        <f>HYPERLINK("https://klasma.github.io/Logging_1780/tillsynsmail/A 14594-2022 tillsynsbegäran mail.docx", "A 14594-2022")</f>
        <v/>
      </c>
      <c r="Z61">
        <f>HYPERLINK("https://klasma.github.io/Logging_1780/fåglar/A 14594-2022 prioriterade fågelarter.docx", "A 14594-2022")</f>
        <v/>
      </c>
    </row>
    <row r="62" ht="15" customHeight="1">
      <c r="A62" t="inlineStr">
        <is>
          <t>A 37299-2022</t>
        </is>
      </c>
      <c r="B62" s="1" t="n">
        <v>44808</v>
      </c>
      <c r="C62" s="1" t="n">
        <v>45844</v>
      </c>
      <c r="D62" t="inlineStr">
        <is>
          <t>VÄRMLANDS LÄN</t>
        </is>
      </c>
      <c r="E62" t="inlineStr">
        <is>
          <t>KARLSTAD</t>
        </is>
      </c>
      <c r="G62" t="n">
        <v>14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HYPERLINK("https://klasma.github.io/Logging_1780/artfynd/A 37299-2022 artfynd.xlsx", "A 37299-2022")</f>
        <v/>
      </c>
      <c r="T62">
        <f>HYPERLINK("https://klasma.github.io/Logging_1780/kartor/A 37299-2022 karta.png", "A 37299-2022")</f>
        <v/>
      </c>
      <c r="V62">
        <f>HYPERLINK("https://klasma.github.io/Logging_1780/klagomål/A 37299-2022 FSC-klagomål.docx", "A 37299-2022")</f>
        <v/>
      </c>
      <c r="W62">
        <f>HYPERLINK("https://klasma.github.io/Logging_1780/klagomålsmail/A 37299-2022 FSC-klagomål mail.docx", "A 37299-2022")</f>
        <v/>
      </c>
      <c r="X62">
        <f>HYPERLINK("https://klasma.github.io/Logging_1780/tillsyn/A 37299-2022 tillsynsbegäran.docx", "A 37299-2022")</f>
        <v/>
      </c>
      <c r="Y62">
        <f>HYPERLINK("https://klasma.github.io/Logging_1780/tillsynsmail/A 37299-2022 tillsynsbegäran mail.docx", "A 37299-2022")</f>
        <v/>
      </c>
      <c r="Z62">
        <f>HYPERLINK("https://klasma.github.io/Logging_1780/fåglar/A 37299-2022 prioriterade fågelarter.docx", "A 37299-2022")</f>
        <v/>
      </c>
    </row>
    <row r="63" ht="15" customHeight="1">
      <c r="A63" t="inlineStr">
        <is>
          <t>A 9737-2023</t>
        </is>
      </c>
      <c r="B63" s="1" t="n">
        <v>44984</v>
      </c>
      <c r="C63" s="1" t="n">
        <v>45844</v>
      </c>
      <c r="D63" t="inlineStr">
        <is>
          <t>VÄRMLANDS LÄN</t>
        </is>
      </c>
      <c r="E63" t="inlineStr">
        <is>
          <t>KARLSTAD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HYPERLINK("https://klasma.github.io/Logging_1780/artfynd/A 9737-2023 artfynd.xlsx", "A 9737-2023")</f>
        <v/>
      </c>
      <c r="T63">
        <f>HYPERLINK("https://klasma.github.io/Logging_1780/kartor/A 9737-2023 karta.png", "A 9737-2023")</f>
        <v/>
      </c>
      <c r="V63">
        <f>HYPERLINK("https://klasma.github.io/Logging_1780/klagomål/A 9737-2023 FSC-klagomål.docx", "A 9737-2023")</f>
        <v/>
      </c>
      <c r="W63">
        <f>HYPERLINK("https://klasma.github.io/Logging_1780/klagomålsmail/A 9737-2023 FSC-klagomål mail.docx", "A 9737-2023")</f>
        <v/>
      </c>
      <c r="X63">
        <f>HYPERLINK("https://klasma.github.io/Logging_1780/tillsyn/A 9737-2023 tillsynsbegäran.docx", "A 9737-2023")</f>
        <v/>
      </c>
      <c r="Y63">
        <f>HYPERLINK("https://klasma.github.io/Logging_1780/tillsynsmail/A 9737-2023 tillsynsbegäran mail.docx", "A 9737-2023")</f>
        <v/>
      </c>
    </row>
    <row r="64" ht="15" customHeight="1">
      <c r="A64" t="inlineStr">
        <is>
          <t>A 21934-2023</t>
        </is>
      </c>
      <c r="B64" s="1" t="n">
        <v>45068</v>
      </c>
      <c r="C64" s="1" t="n">
        <v>45844</v>
      </c>
      <c r="D64" t="inlineStr">
        <is>
          <t>VÄRMLANDS LÄN</t>
        </is>
      </c>
      <c r="E64" t="inlineStr">
        <is>
          <t>KARLSTAD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21934-2023 artfynd.xlsx", "A 21934-2023")</f>
        <v/>
      </c>
      <c r="T64">
        <f>HYPERLINK("https://klasma.github.io/Logging_1780/kartor/A 21934-2023 karta.png", "A 21934-2023")</f>
        <v/>
      </c>
      <c r="V64">
        <f>HYPERLINK("https://klasma.github.io/Logging_1780/klagomål/A 21934-2023 FSC-klagomål.docx", "A 21934-2023")</f>
        <v/>
      </c>
      <c r="W64">
        <f>HYPERLINK("https://klasma.github.io/Logging_1780/klagomålsmail/A 21934-2023 FSC-klagomål mail.docx", "A 21934-2023")</f>
        <v/>
      </c>
      <c r="X64">
        <f>HYPERLINK("https://klasma.github.io/Logging_1780/tillsyn/A 21934-2023 tillsynsbegäran.docx", "A 21934-2023")</f>
        <v/>
      </c>
      <c r="Y64">
        <f>HYPERLINK("https://klasma.github.io/Logging_1780/tillsynsmail/A 21934-2023 tillsynsbegäran mail.docx", "A 21934-2023")</f>
        <v/>
      </c>
    </row>
    <row r="65" ht="15" customHeight="1">
      <c r="A65" t="inlineStr">
        <is>
          <t>A 21919-2023</t>
        </is>
      </c>
      <c r="B65" s="1" t="n">
        <v>45068</v>
      </c>
      <c r="C65" s="1" t="n">
        <v>45844</v>
      </c>
      <c r="D65" t="inlineStr">
        <is>
          <t>VÄRMLANDS LÄN</t>
        </is>
      </c>
      <c r="E65" t="inlineStr">
        <is>
          <t>KARLSTAD</t>
        </is>
      </c>
      <c r="G65" t="n">
        <v>2.5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HYPERLINK("https://klasma.github.io/Logging_1780/artfynd/A 21919-2023 artfynd.xlsx", "A 21919-2023")</f>
        <v/>
      </c>
      <c r="T65">
        <f>HYPERLINK("https://klasma.github.io/Logging_1780/kartor/A 21919-2023 karta.png", "A 21919-2023")</f>
        <v/>
      </c>
      <c r="V65">
        <f>HYPERLINK("https://klasma.github.io/Logging_1780/klagomål/A 21919-2023 FSC-klagomål.docx", "A 21919-2023")</f>
        <v/>
      </c>
      <c r="W65">
        <f>HYPERLINK("https://klasma.github.io/Logging_1780/klagomålsmail/A 21919-2023 FSC-klagomål mail.docx", "A 21919-2023")</f>
        <v/>
      </c>
      <c r="X65">
        <f>HYPERLINK("https://klasma.github.io/Logging_1780/tillsyn/A 21919-2023 tillsynsbegäran.docx", "A 21919-2023")</f>
        <v/>
      </c>
      <c r="Y65">
        <f>HYPERLINK("https://klasma.github.io/Logging_1780/tillsynsmail/A 21919-2023 tillsynsbegäran mail.docx", "A 21919-2023")</f>
        <v/>
      </c>
    </row>
    <row r="66" ht="15" customHeight="1">
      <c r="A66" t="inlineStr">
        <is>
          <t>A 25144-2023</t>
        </is>
      </c>
      <c r="B66" s="1" t="n">
        <v>45086</v>
      </c>
      <c r="C66" s="1" t="n">
        <v>45844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HYPERLINK("https://klasma.github.io/Logging_1780/artfynd/A 25144-2023 artfynd.xlsx", "A 25144-2023")</f>
        <v/>
      </c>
      <c r="T66">
        <f>HYPERLINK("https://klasma.github.io/Logging_1780/kartor/A 25144-2023 karta.png", "A 25144-2023")</f>
        <v/>
      </c>
      <c r="V66">
        <f>HYPERLINK("https://klasma.github.io/Logging_1780/klagomål/A 25144-2023 FSC-klagomål.docx", "A 25144-2023")</f>
        <v/>
      </c>
      <c r="W66">
        <f>HYPERLINK("https://klasma.github.io/Logging_1780/klagomålsmail/A 25144-2023 FSC-klagomål mail.docx", "A 25144-2023")</f>
        <v/>
      </c>
      <c r="X66">
        <f>HYPERLINK("https://klasma.github.io/Logging_1780/tillsyn/A 25144-2023 tillsynsbegäran.docx", "A 25144-2023")</f>
        <v/>
      </c>
      <c r="Y66">
        <f>HYPERLINK("https://klasma.github.io/Logging_1780/tillsynsmail/A 25144-2023 tillsynsbegäran mail.docx", "A 25144-2023")</f>
        <v/>
      </c>
    </row>
    <row r="67" ht="15" customHeight="1">
      <c r="A67" t="inlineStr">
        <is>
          <t>A 41484-2023</t>
        </is>
      </c>
      <c r="B67" s="1" t="n">
        <v>45175</v>
      </c>
      <c r="C67" s="1" t="n">
        <v>45844</v>
      </c>
      <c r="D67" t="inlineStr">
        <is>
          <t>VÄRMLANDS LÄN</t>
        </is>
      </c>
      <c r="E67" t="inlineStr">
        <is>
          <t>KARLSTAD</t>
        </is>
      </c>
      <c r="G67" t="n">
        <v>8.699999999999999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41484-2023 artfynd.xlsx", "A 41484-2023")</f>
        <v/>
      </c>
      <c r="T67">
        <f>HYPERLINK("https://klasma.github.io/Logging_1780/kartor/A 41484-2023 karta.png", "A 41484-2023")</f>
        <v/>
      </c>
      <c r="V67">
        <f>HYPERLINK("https://klasma.github.io/Logging_1780/klagomål/A 41484-2023 FSC-klagomål.docx", "A 41484-2023")</f>
        <v/>
      </c>
      <c r="W67">
        <f>HYPERLINK("https://klasma.github.io/Logging_1780/klagomålsmail/A 41484-2023 FSC-klagomål mail.docx", "A 41484-2023")</f>
        <v/>
      </c>
      <c r="X67">
        <f>HYPERLINK("https://klasma.github.io/Logging_1780/tillsyn/A 41484-2023 tillsynsbegäran.docx", "A 41484-2023")</f>
        <v/>
      </c>
      <c r="Y67">
        <f>HYPERLINK("https://klasma.github.io/Logging_1780/tillsynsmail/A 41484-2023 tillsynsbegäran mail.docx", "A 41484-2023")</f>
        <v/>
      </c>
      <c r="Z67">
        <f>HYPERLINK("https://klasma.github.io/Logging_1780/fåglar/A 41484-2023 prioriterade fågelarter.docx", "A 41484-2023")</f>
        <v/>
      </c>
    </row>
    <row r="68" ht="15" customHeight="1">
      <c r="A68" t="inlineStr">
        <is>
          <t>A 59055-2023</t>
        </is>
      </c>
      <c r="B68" s="1" t="n">
        <v>45252</v>
      </c>
      <c r="C68" s="1" t="n">
        <v>45844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HYPERLINK("https://klasma.github.io/Logging_1780/artfynd/A 59055-2023 artfynd.xlsx", "A 59055-2023")</f>
        <v/>
      </c>
      <c r="T68">
        <f>HYPERLINK("https://klasma.github.io/Logging_1780/kartor/A 59055-2023 karta.png", "A 59055-2023")</f>
        <v/>
      </c>
      <c r="V68">
        <f>HYPERLINK("https://klasma.github.io/Logging_1780/klagomål/A 59055-2023 FSC-klagomål.docx", "A 59055-2023")</f>
        <v/>
      </c>
      <c r="W68">
        <f>HYPERLINK("https://klasma.github.io/Logging_1780/klagomålsmail/A 59055-2023 FSC-klagomål mail.docx", "A 59055-2023")</f>
        <v/>
      </c>
      <c r="X68">
        <f>HYPERLINK("https://klasma.github.io/Logging_1780/tillsyn/A 59055-2023 tillsynsbegäran.docx", "A 59055-2023")</f>
        <v/>
      </c>
      <c r="Y68">
        <f>HYPERLINK("https://klasma.github.io/Logging_1780/tillsynsmail/A 59055-2023 tillsynsbegäran mail.docx", "A 59055-2023")</f>
        <v/>
      </c>
      <c r="Z68">
        <f>HYPERLINK("https://klasma.github.io/Logging_1780/fåglar/A 59055-2023 prioriterade fågelarter.docx", "A 59055-2023")</f>
        <v/>
      </c>
    </row>
    <row r="69" ht="15" customHeight="1">
      <c r="A69" t="inlineStr">
        <is>
          <t>A 61650-2023</t>
        </is>
      </c>
      <c r="B69" s="1" t="n">
        <v>45265</v>
      </c>
      <c r="C69" s="1" t="n">
        <v>45844</v>
      </c>
      <c r="D69" t="inlineStr">
        <is>
          <t>VÄRMLANDS LÄN</t>
        </is>
      </c>
      <c r="E69" t="inlineStr">
        <is>
          <t>KARLSTAD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HYPERLINK("https://klasma.github.io/Logging_1780/artfynd/A 61650-2023 artfynd.xlsx", "A 61650-2023")</f>
        <v/>
      </c>
      <c r="T69">
        <f>HYPERLINK("https://klasma.github.io/Logging_1780/kartor/A 61650-2023 karta.png", "A 61650-2023")</f>
        <v/>
      </c>
      <c r="V69">
        <f>HYPERLINK("https://klasma.github.io/Logging_1780/klagomål/A 61650-2023 FSC-klagomål.docx", "A 61650-2023")</f>
        <v/>
      </c>
      <c r="W69">
        <f>HYPERLINK("https://klasma.github.io/Logging_1780/klagomålsmail/A 61650-2023 FSC-klagomål mail.docx", "A 61650-2023")</f>
        <v/>
      </c>
      <c r="X69">
        <f>HYPERLINK("https://klasma.github.io/Logging_1780/tillsyn/A 61650-2023 tillsynsbegäran.docx", "A 61650-2023")</f>
        <v/>
      </c>
      <c r="Y69">
        <f>HYPERLINK("https://klasma.github.io/Logging_1780/tillsynsmail/A 61650-2023 tillsynsbegäran mail.docx", "A 61650-2023")</f>
        <v/>
      </c>
      <c r="Z69">
        <f>HYPERLINK("https://klasma.github.io/Logging_1780/fåglar/A 61650-2023 prioriterade fågelarter.docx", "A 61650-2023")</f>
        <v/>
      </c>
    </row>
    <row r="70" ht="15" customHeight="1">
      <c r="A70" t="inlineStr">
        <is>
          <t>A 61654-2023</t>
        </is>
      </c>
      <c r="B70" s="1" t="n">
        <v>45265</v>
      </c>
      <c r="C70" s="1" t="n">
        <v>45844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Gråkråka</t>
        </is>
      </c>
      <c r="S70">
        <f>HYPERLINK("https://klasma.github.io/Logging_1780/artfynd/A 61654-2023 artfynd.xlsx", "A 61654-2023")</f>
        <v/>
      </c>
      <c r="T70">
        <f>HYPERLINK("https://klasma.github.io/Logging_1780/kartor/A 61654-2023 karta.png", "A 61654-2023")</f>
        <v/>
      </c>
      <c r="V70">
        <f>HYPERLINK("https://klasma.github.io/Logging_1780/klagomål/A 61654-2023 FSC-klagomål.docx", "A 61654-2023")</f>
        <v/>
      </c>
      <c r="W70">
        <f>HYPERLINK("https://klasma.github.io/Logging_1780/klagomålsmail/A 61654-2023 FSC-klagomål mail.docx", "A 61654-2023")</f>
        <v/>
      </c>
      <c r="X70">
        <f>HYPERLINK("https://klasma.github.io/Logging_1780/tillsyn/A 61654-2023 tillsynsbegäran.docx", "A 61654-2023")</f>
        <v/>
      </c>
      <c r="Y70">
        <f>HYPERLINK("https://klasma.github.io/Logging_1780/tillsynsmail/A 61654-2023 tillsynsbegäran mail.docx", "A 61654-2023")</f>
        <v/>
      </c>
    </row>
    <row r="71" ht="15" customHeight="1">
      <c r="A71" t="inlineStr">
        <is>
          <t>A 8674-2024</t>
        </is>
      </c>
      <c r="B71" s="1" t="n">
        <v>45354</v>
      </c>
      <c r="C71" s="1" t="n">
        <v>45844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HYPERLINK("https://klasma.github.io/Logging_1780/artfynd/A 8674-2024 artfynd.xlsx", "A 8674-2024")</f>
        <v/>
      </c>
      <c r="T71">
        <f>HYPERLINK("https://klasma.github.io/Logging_1780/kartor/A 8674-2024 karta.png", "A 8674-2024")</f>
        <v/>
      </c>
      <c r="V71">
        <f>HYPERLINK("https://klasma.github.io/Logging_1780/klagomål/A 8674-2024 FSC-klagomål.docx", "A 8674-2024")</f>
        <v/>
      </c>
      <c r="W71">
        <f>HYPERLINK("https://klasma.github.io/Logging_1780/klagomålsmail/A 8674-2024 FSC-klagomål mail.docx", "A 8674-2024")</f>
        <v/>
      </c>
      <c r="X71">
        <f>HYPERLINK("https://klasma.github.io/Logging_1780/tillsyn/A 8674-2024 tillsynsbegäran.docx", "A 8674-2024")</f>
        <v/>
      </c>
      <c r="Y71">
        <f>HYPERLINK("https://klasma.github.io/Logging_1780/tillsynsmail/A 8674-2024 tillsynsbegäran mail.docx", "A 8674-2024")</f>
        <v/>
      </c>
    </row>
    <row r="72" ht="15" customHeight="1">
      <c r="A72" t="inlineStr">
        <is>
          <t>A 23338-2024</t>
        </is>
      </c>
      <c r="B72" s="1" t="n">
        <v>45453</v>
      </c>
      <c r="C72" s="1" t="n">
        <v>45844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HYPERLINK("https://klasma.github.io/Logging_1780/artfynd/A 23338-2024 artfynd.xlsx", "A 23338-2024")</f>
        <v/>
      </c>
      <c r="T72">
        <f>HYPERLINK("https://klasma.github.io/Logging_1780/kartor/A 23338-2024 karta.png", "A 23338-2024")</f>
        <v/>
      </c>
      <c r="V72">
        <f>HYPERLINK("https://klasma.github.io/Logging_1780/klagomål/A 23338-2024 FSC-klagomål.docx", "A 23338-2024")</f>
        <v/>
      </c>
      <c r="W72">
        <f>HYPERLINK("https://klasma.github.io/Logging_1780/klagomålsmail/A 23338-2024 FSC-klagomål mail.docx", "A 23338-2024")</f>
        <v/>
      </c>
      <c r="X72">
        <f>HYPERLINK("https://klasma.github.io/Logging_1780/tillsyn/A 23338-2024 tillsynsbegäran.docx", "A 23338-2024")</f>
        <v/>
      </c>
      <c r="Y72">
        <f>HYPERLINK("https://klasma.github.io/Logging_1780/tillsynsmail/A 23338-2024 tillsynsbegäran mail.docx", "A 23338-2024")</f>
        <v/>
      </c>
    </row>
    <row r="73" ht="15" customHeight="1">
      <c r="A73" t="inlineStr">
        <is>
          <t>A 46668-2024</t>
        </is>
      </c>
      <c r="B73" s="1" t="n">
        <v>45583</v>
      </c>
      <c r="C73" s="1" t="n">
        <v>45844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HYPERLINK("https://klasma.github.io/Logging_1780/artfynd/A 46668-2024 artfynd.xlsx", "A 46668-2024")</f>
        <v/>
      </c>
      <c r="T73">
        <f>HYPERLINK("https://klasma.github.io/Logging_1780/kartor/A 46668-2024 karta.png", "A 46668-2024")</f>
        <v/>
      </c>
      <c r="V73">
        <f>HYPERLINK("https://klasma.github.io/Logging_1780/klagomål/A 46668-2024 FSC-klagomål.docx", "A 46668-2024")</f>
        <v/>
      </c>
      <c r="W73">
        <f>HYPERLINK("https://klasma.github.io/Logging_1780/klagomålsmail/A 46668-2024 FSC-klagomål mail.docx", "A 46668-2024")</f>
        <v/>
      </c>
      <c r="X73">
        <f>HYPERLINK("https://klasma.github.io/Logging_1780/tillsyn/A 46668-2024 tillsynsbegäran.docx", "A 46668-2024")</f>
        <v/>
      </c>
      <c r="Y73">
        <f>HYPERLINK("https://klasma.github.io/Logging_1780/tillsynsmail/A 46668-2024 tillsynsbegäran mail.docx", "A 46668-2024")</f>
        <v/>
      </c>
    </row>
    <row r="74" ht="15" customHeight="1">
      <c r="A74" t="inlineStr">
        <is>
          <t>A 57145-2024</t>
        </is>
      </c>
      <c r="B74" s="1" t="n">
        <v>45629</v>
      </c>
      <c r="C74" s="1" t="n">
        <v>45844</v>
      </c>
      <c r="D74" t="inlineStr">
        <is>
          <t>VÄRMLANDS LÄN</t>
        </is>
      </c>
      <c r="E74" t="inlineStr">
        <is>
          <t>KARLSTAD</t>
        </is>
      </c>
      <c r="G74" t="n">
        <v>16.5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HYPERLINK("https://klasma.github.io/Logging_1780/artfynd/A 57145-2024 artfynd.xlsx", "A 57145-2024")</f>
        <v/>
      </c>
      <c r="T74">
        <f>HYPERLINK("https://klasma.github.io/Logging_1780/kartor/A 57145-2024 karta.png", "A 57145-2024")</f>
        <v/>
      </c>
      <c r="V74">
        <f>HYPERLINK("https://klasma.github.io/Logging_1780/klagomål/A 57145-2024 FSC-klagomål.docx", "A 57145-2024")</f>
        <v/>
      </c>
      <c r="W74">
        <f>HYPERLINK("https://klasma.github.io/Logging_1780/klagomålsmail/A 57145-2024 FSC-klagomål mail.docx", "A 57145-2024")</f>
        <v/>
      </c>
      <c r="X74">
        <f>HYPERLINK("https://klasma.github.io/Logging_1780/tillsyn/A 57145-2024 tillsynsbegäran.docx", "A 57145-2024")</f>
        <v/>
      </c>
      <c r="Y74">
        <f>HYPERLINK("https://klasma.github.io/Logging_1780/tillsynsmail/A 57145-2024 tillsynsbegäran mail.docx", "A 57145-2024")</f>
        <v/>
      </c>
    </row>
    <row r="75" ht="15" customHeight="1">
      <c r="A75" t="inlineStr">
        <is>
          <t>A 57349-2024</t>
        </is>
      </c>
      <c r="B75" s="1" t="n">
        <v>45629</v>
      </c>
      <c r="C75" s="1" t="n">
        <v>45844</v>
      </c>
      <c r="D75" t="inlineStr">
        <is>
          <t>VÄRMLANDS LÄN</t>
        </is>
      </c>
      <c r="E75" t="inlineStr">
        <is>
          <t>KARLSTAD</t>
        </is>
      </c>
      <c r="G75" t="n">
        <v>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HYPERLINK("https://klasma.github.io/Logging_1780/artfynd/A 57349-2024 artfynd.xlsx", "A 57349-2024")</f>
        <v/>
      </c>
      <c r="T75">
        <f>HYPERLINK("https://klasma.github.io/Logging_1780/kartor/A 57349-2024 karta.png", "A 57349-2024")</f>
        <v/>
      </c>
      <c r="V75">
        <f>HYPERLINK("https://klasma.github.io/Logging_1780/klagomål/A 57349-2024 FSC-klagomål.docx", "A 57349-2024")</f>
        <v/>
      </c>
      <c r="W75">
        <f>HYPERLINK("https://klasma.github.io/Logging_1780/klagomålsmail/A 57349-2024 FSC-klagomål mail.docx", "A 57349-2024")</f>
        <v/>
      </c>
      <c r="X75">
        <f>HYPERLINK("https://klasma.github.io/Logging_1780/tillsyn/A 57349-2024 tillsynsbegäran.docx", "A 57349-2024")</f>
        <v/>
      </c>
      <c r="Y75">
        <f>HYPERLINK("https://klasma.github.io/Logging_1780/tillsynsmail/A 57349-2024 tillsynsbegäran mail.docx", "A 57349-2024")</f>
        <v/>
      </c>
    </row>
    <row r="76" ht="15" customHeight="1">
      <c r="A76" t="inlineStr">
        <is>
          <t>A 60280-2024</t>
        </is>
      </c>
      <c r="B76" s="1" t="n">
        <v>45642</v>
      </c>
      <c r="C76" s="1" t="n">
        <v>45844</v>
      </c>
      <c r="D76" t="inlineStr">
        <is>
          <t>VÄRMLANDS LÄN</t>
        </is>
      </c>
      <c r="E76" t="inlineStr">
        <is>
          <t>KARLSTAD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Grönfink</t>
        </is>
      </c>
      <c r="S76">
        <f>HYPERLINK("https://klasma.github.io/Logging_1780/artfynd/A 60280-2024 artfynd.xlsx", "A 60280-2024")</f>
        <v/>
      </c>
      <c r="T76">
        <f>HYPERLINK("https://klasma.github.io/Logging_1780/kartor/A 60280-2024 karta.png", "A 60280-2024")</f>
        <v/>
      </c>
      <c r="V76">
        <f>HYPERLINK("https://klasma.github.io/Logging_1780/klagomål/A 60280-2024 FSC-klagomål.docx", "A 60280-2024")</f>
        <v/>
      </c>
      <c r="W76">
        <f>HYPERLINK("https://klasma.github.io/Logging_1780/klagomålsmail/A 60280-2024 FSC-klagomål mail.docx", "A 60280-2024")</f>
        <v/>
      </c>
      <c r="X76">
        <f>HYPERLINK("https://klasma.github.io/Logging_1780/tillsyn/A 60280-2024 tillsynsbegäran.docx", "A 60280-2024")</f>
        <v/>
      </c>
      <c r="Y76">
        <f>HYPERLINK("https://klasma.github.io/Logging_1780/tillsynsmail/A 60280-2024 tillsynsbegäran mail.docx", "A 60280-2024")</f>
        <v/>
      </c>
      <c r="Z76">
        <f>HYPERLINK("https://klasma.github.io/Logging_1780/fåglar/A 60280-2024 prioriterade fågelarter.docx", "A 60280-2024")</f>
        <v/>
      </c>
    </row>
    <row r="77" ht="15" customHeight="1">
      <c r="A77" t="inlineStr">
        <is>
          <t>A 5055-2025</t>
        </is>
      </c>
      <c r="B77" s="1" t="n">
        <v>45691</v>
      </c>
      <c r="C77" s="1" t="n">
        <v>45844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HYPERLINK("https://klasma.github.io/Logging_1780/artfynd/A 5055-2025 artfynd.xlsx", "A 5055-2025")</f>
        <v/>
      </c>
      <c r="T77">
        <f>HYPERLINK("https://klasma.github.io/Logging_1780/kartor/A 5055-2025 karta.png", "A 5055-2025")</f>
        <v/>
      </c>
      <c r="U77">
        <f>HYPERLINK("https://klasma.github.io/Logging_1780/knärot/A 5055-2025 karta knärot.png", "A 5055-2025")</f>
        <v/>
      </c>
      <c r="V77">
        <f>HYPERLINK("https://klasma.github.io/Logging_1780/klagomål/A 5055-2025 FSC-klagomål.docx", "A 5055-2025")</f>
        <v/>
      </c>
      <c r="W77">
        <f>HYPERLINK("https://klasma.github.io/Logging_1780/klagomålsmail/A 5055-2025 FSC-klagomål mail.docx", "A 5055-2025")</f>
        <v/>
      </c>
      <c r="X77">
        <f>HYPERLINK("https://klasma.github.io/Logging_1780/tillsyn/A 5055-2025 tillsynsbegäran.docx", "A 5055-2025")</f>
        <v/>
      </c>
      <c r="Y77">
        <f>HYPERLINK("https://klasma.github.io/Logging_1780/tillsynsmail/A 5055-2025 tillsynsbegäran mail.docx", "A 5055-2025")</f>
        <v/>
      </c>
    </row>
    <row r="78" ht="15" customHeight="1">
      <c r="A78" t="inlineStr">
        <is>
          <t>A 18033-2019</t>
        </is>
      </c>
      <c r="B78" s="1" t="n">
        <v>43556</v>
      </c>
      <c r="C78" s="1" t="n">
        <v>45844</v>
      </c>
      <c r="D78" t="inlineStr">
        <is>
          <t>VÄRMLANDS LÄN</t>
        </is>
      </c>
      <c r="E78" t="inlineStr">
        <is>
          <t>KARLSTAD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18104-2019</t>
        </is>
      </c>
      <c r="B79" s="1" t="n">
        <v>43556</v>
      </c>
      <c r="C79" s="1" t="n">
        <v>45844</v>
      </c>
      <c r="D79" t="inlineStr">
        <is>
          <t>VÄRMLANDS LÄN</t>
        </is>
      </c>
      <c r="E79" t="inlineStr">
        <is>
          <t>KARLSTAD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17923-2019</t>
        </is>
      </c>
      <c r="B80" s="1" t="n">
        <v>43557</v>
      </c>
      <c r="C80" s="1" t="n">
        <v>45844</v>
      </c>
      <c r="D80" t="inlineStr">
        <is>
          <t>VÄRMLANDS LÄN</t>
        </is>
      </c>
      <c r="E80" t="inlineStr">
        <is>
          <t>KARLSTAD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18257-2019</t>
        </is>
      </c>
      <c r="B81" s="1" t="n">
        <v>43557</v>
      </c>
      <c r="C81" s="1" t="n">
        <v>45844</v>
      </c>
      <c r="D81" t="inlineStr">
        <is>
          <t>VÄRMLANDS LÄN</t>
        </is>
      </c>
      <c r="E81" t="inlineStr">
        <is>
          <t>KARLSTAD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18120-2019</t>
        </is>
      </c>
      <c r="B82" s="1" t="n">
        <v>43558</v>
      </c>
      <c r="C82" s="1" t="n">
        <v>45844</v>
      </c>
      <c r="D82" t="inlineStr">
        <is>
          <t>VÄRMLANDS LÄN</t>
        </is>
      </c>
      <c r="E82" t="inlineStr">
        <is>
          <t>KARLSTAD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18126-2019</t>
        </is>
      </c>
      <c r="B83" s="1" t="n">
        <v>43558</v>
      </c>
      <c r="C83" s="1" t="n">
        <v>45844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18285-2019</t>
        </is>
      </c>
      <c r="B84" s="1" t="n">
        <v>43558</v>
      </c>
      <c r="C84" s="1" t="n">
        <v>45844</v>
      </c>
      <c r="D84" t="inlineStr">
        <is>
          <t>VÄRMLANDS LÄN</t>
        </is>
      </c>
      <c r="E84" t="inlineStr">
        <is>
          <t>KARLSTAD</t>
        </is>
      </c>
      <c r="F84" t="inlineStr">
        <is>
          <t>Övriga statliga verk och myndigheter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18525-2019</t>
        </is>
      </c>
      <c r="B85" s="1" t="n">
        <v>43559</v>
      </c>
      <c r="C85" s="1" t="n">
        <v>45844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18938-2019</t>
        </is>
      </c>
      <c r="B86" s="1" t="n">
        <v>43563</v>
      </c>
      <c r="C86" s="1" t="n">
        <v>45844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19120-2019</t>
        </is>
      </c>
      <c r="B87" s="1" t="n">
        <v>43564</v>
      </c>
      <c r="C87" s="1" t="n">
        <v>45844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19226-2019</t>
        </is>
      </c>
      <c r="B88" s="1" t="n">
        <v>43564</v>
      </c>
      <c r="C88" s="1" t="n">
        <v>45844</v>
      </c>
      <c r="D88" t="inlineStr">
        <is>
          <t>VÄRMLANDS LÄN</t>
        </is>
      </c>
      <c r="E88" t="inlineStr">
        <is>
          <t>KARLSTAD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19133-2019</t>
        </is>
      </c>
      <c r="B89" s="1" t="n">
        <v>43564</v>
      </c>
      <c r="C89" s="1" t="n">
        <v>45844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20301-2019</t>
        </is>
      </c>
      <c r="B90" s="1" t="n">
        <v>43570</v>
      </c>
      <c r="C90" s="1" t="n">
        <v>45844</v>
      </c>
      <c r="D90" t="inlineStr">
        <is>
          <t>VÄRMLANDS LÄN</t>
        </is>
      </c>
      <c r="E90" t="inlineStr">
        <is>
          <t>KARLSTAD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20339-2019</t>
        </is>
      </c>
      <c r="B91" s="1" t="n">
        <v>43570</v>
      </c>
      <c r="C91" s="1" t="n">
        <v>45844</v>
      </c>
      <c r="D91" t="inlineStr">
        <is>
          <t>VÄRMLANDS LÄN</t>
        </is>
      </c>
      <c r="E91" t="inlineStr">
        <is>
          <t>KARLSTAD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20461-2019</t>
        </is>
      </c>
      <c r="B92" s="1" t="n">
        <v>43572</v>
      </c>
      <c r="C92" s="1" t="n">
        <v>45844</v>
      </c>
      <c r="D92" t="inlineStr">
        <is>
          <t>VÄRMLANDS LÄN</t>
        </is>
      </c>
      <c r="E92" t="inlineStr">
        <is>
          <t>KARLSTAD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20610-2019</t>
        </is>
      </c>
      <c r="B93" s="1" t="n">
        <v>43572</v>
      </c>
      <c r="C93" s="1" t="n">
        <v>45844</v>
      </c>
      <c r="D93" t="inlineStr">
        <is>
          <t>VÄRMLANDS LÄN</t>
        </is>
      </c>
      <c r="E93" t="inlineStr">
        <is>
          <t>KARLSTAD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20785-2019</t>
        </is>
      </c>
      <c r="B94" s="1" t="n">
        <v>43573</v>
      </c>
      <c r="C94" s="1" t="n">
        <v>45844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20852-2019</t>
        </is>
      </c>
      <c r="B95" s="1" t="n">
        <v>43577</v>
      </c>
      <c r="C95" s="1" t="n">
        <v>45844</v>
      </c>
      <c r="D95" t="inlineStr">
        <is>
          <t>VÄRMLANDS LÄN</t>
        </is>
      </c>
      <c r="E95" t="inlineStr">
        <is>
          <t>KARLSTAD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21350-2019</t>
        </is>
      </c>
      <c r="B96" s="1" t="n">
        <v>43579</v>
      </c>
      <c r="C96" s="1" t="n">
        <v>45844</v>
      </c>
      <c r="D96" t="inlineStr">
        <is>
          <t>VÄRMLANDS LÄN</t>
        </is>
      </c>
      <c r="E96" t="inlineStr">
        <is>
          <t>KARLSTAD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21573-2019</t>
        </is>
      </c>
      <c r="B97" s="1" t="n">
        <v>43580</v>
      </c>
      <c r="C97" s="1" t="n">
        <v>45844</v>
      </c>
      <c r="D97" t="inlineStr">
        <is>
          <t>VÄRMLANDS LÄN</t>
        </is>
      </c>
      <c r="E97" t="inlineStr">
        <is>
          <t>KARLSTAD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21899-2019</t>
        </is>
      </c>
      <c r="B98" s="1" t="n">
        <v>43584</v>
      </c>
      <c r="C98" s="1" t="n">
        <v>45844</v>
      </c>
      <c r="D98" t="inlineStr">
        <is>
          <t>VÄRMLANDS LÄN</t>
        </is>
      </c>
      <c r="E98" t="inlineStr">
        <is>
          <t>KARLSTAD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22386-2019</t>
        </is>
      </c>
      <c r="B99" s="1" t="n">
        <v>43587</v>
      </c>
      <c r="C99" s="1" t="n">
        <v>45844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22700-2019</t>
        </is>
      </c>
      <c r="B100" s="1" t="n">
        <v>43588</v>
      </c>
      <c r="C100" s="1" t="n">
        <v>45844</v>
      </c>
      <c r="D100" t="inlineStr">
        <is>
          <t>VÄRMLANDS LÄN</t>
        </is>
      </c>
      <c r="E100" t="inlineStr">
        <is>
          <t>KARLSTAD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23045-2019</t>
        </is>
      </c>
      <c r="B101" s="1" t="n">
        <v>43591</v>
      </c>
      <c r="C101" s="1" t="n">
        <v>45844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45844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45844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45844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45844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45844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45844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45844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45844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45844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45844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45844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45844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45844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45844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45844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45844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45844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45844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45844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45844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45844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45844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45844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45844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45844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45844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45844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45844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45844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45844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45844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45844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45844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45844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45844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45844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45844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45844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45844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45844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45844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45844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45844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45844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45844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45844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45844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45844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45844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45844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45844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45844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45844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45844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45844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45844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45844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45844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45844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45844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45844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45844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45844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45844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45844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45844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45844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45844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45844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45844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45844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45844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45844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45844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45844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45844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45844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45844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45844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45844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45844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45844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45844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45844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45844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45844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45844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45844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45844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45844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45844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45844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45844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45844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45844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45844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45844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45844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45844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45844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45844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45844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45844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45844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45844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45844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45844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45844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45844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45844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45844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45844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45844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45844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45844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45844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45844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45844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45844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45844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45844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45844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45844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45844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45844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45844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45844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45844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45844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45844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45844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45844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45844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45844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45844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45844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45844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45844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45844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45844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45844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45844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45844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45844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45844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45844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45844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45844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45844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45844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45844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45844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45844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45844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45844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45844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45844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45844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45844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45844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45844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45844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45844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45844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45844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45844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45844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45844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45844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45844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45844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45844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45844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45844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45844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45844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45844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45844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45844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45844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45844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45844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45844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45844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45844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45844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45844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45844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45844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45844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45844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45844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45844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45844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45844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45844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45844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45844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45844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45844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45844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45844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45844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45844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45844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45844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45844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45844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45844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45844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45844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45844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45844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45844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45844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45844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45844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45844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45844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45844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45844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45844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45844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45844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45844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45844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45844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45844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45844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45844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45844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45844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45844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45844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45844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45844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45844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45844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45844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45844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45844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45844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45844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45844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45844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45844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45844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45844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45844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45844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45844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45844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45844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45844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45844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45844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45844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45844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45844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45844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45844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45844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45844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45844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45844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45844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45844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45844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45844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45844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45844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45844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45844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45844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45844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45844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45844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45844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45844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45844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45844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45844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45844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45844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45844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45844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45844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45844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45844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45844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45844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45844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45844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45844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45844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45844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45844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45844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45844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45844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45844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45844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45844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45844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45844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45844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45844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45844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45844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45844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45844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45844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45844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45844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45844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45844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45844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45844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45844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45844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45844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45844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45844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45844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45844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45844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45844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45844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45844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45844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45844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45844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45844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45844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45844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45844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45844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45844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45844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45844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45844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45844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45844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45844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45844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45844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45844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45844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45844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45844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45844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45844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45844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45844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45844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45844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45844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45844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45844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45844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45844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45844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45844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45844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45844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45844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45844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45844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45844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45844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45844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45844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45844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45844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45844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45844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45844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45844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45844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45844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45844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45844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45844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45844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45844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45844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45844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45844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45844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45844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45844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45844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45844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45844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45844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45844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45844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45844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45844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45844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45844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45844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45844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45844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45844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45844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45844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45844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45844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45844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45844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45844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45844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45844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45844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45844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45844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45844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45844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45844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45844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45844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45844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45844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45844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45844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45844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45844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45844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45844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45844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45844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45844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45844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45844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45844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45844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45844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45844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45844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45844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45844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45844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45844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45844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45844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45844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45844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45844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45844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45844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45844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45844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45844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45844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45844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45844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45844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45844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45844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45844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45844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45844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45844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45844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45844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45844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45844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45844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45844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45844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45844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45844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45844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45844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45844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45844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45844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45844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45844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45844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45844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45844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45844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45844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45844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45844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45844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45844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45844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45844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45844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45844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45844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45844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45844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45844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45844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45844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45844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45844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45844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45844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45844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45844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45844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45844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45844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45844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45844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45844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45844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45844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45844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45844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45844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45844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45844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45844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45844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45844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45844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45844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45844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45844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45844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45844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45844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45844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45844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45844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45844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45844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45844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45844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45844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45844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45844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45844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45844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45844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45844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45844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45844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45844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45844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45844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45844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45844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45844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45844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45844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45844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45844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45844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45844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45844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45844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45844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45844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45844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45844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45844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45844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45844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45844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45844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45844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45844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45844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45844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45844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45844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45844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45844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45844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45844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45844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45844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45844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45844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45844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45844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45844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45844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45844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45844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45844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45844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45844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45844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45844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45844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45844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45844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45844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45844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45844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45844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45844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45844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45844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45844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45844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45844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45844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45844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45844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45844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45844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45844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45844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45844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45844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45844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45844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45844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45844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45844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45844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45844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45844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45844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45844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45844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45844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45844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45844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45844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45844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45844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45844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45844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45844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45844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45844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45844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45844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45844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45844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45844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45844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45844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45844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45844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45844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45844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45844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45844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45844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45844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45844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45844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45844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45844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45844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45844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45844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45844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45844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45844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45844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45844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45844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45844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45844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45844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45844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45844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45844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45844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45844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45844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45844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45844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45844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45844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45844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45844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45844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45844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45844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45844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45844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45844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45844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45844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45844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45844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45844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45844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45844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45844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45844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45844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45844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45844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45844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45844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45844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45844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45844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45844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45844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45844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45844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45844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45844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45844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45844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45844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45844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45844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45844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45844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45844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45844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45844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45844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45844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45844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45844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45844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45844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45844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45844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45844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45844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45844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45844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45844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45844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45844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45844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45844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45844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45844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45844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45844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45844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45844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45844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45844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45844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45844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45844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45844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45844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45844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45844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45844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45844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45844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45844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45844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45844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45844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45844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45844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45844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45844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45844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45844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45844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45844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45844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45844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45844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45844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45844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45844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45844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45844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45844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45844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45844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45844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45844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45844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45844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45844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45844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45844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45844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45844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45844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45844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45844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45844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45844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45844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45844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45844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45844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45844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45844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45844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45844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45844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45844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45844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45844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45844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45844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45844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45844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45844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45844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45844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45844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45844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45844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45844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45844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45844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45844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45844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45844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45844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45844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45844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45844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45844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45844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45844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45844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45844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45844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45844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45844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45844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45844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45844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45844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45844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45844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45844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45844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45844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45844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45844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45844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45844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45844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45844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45844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45844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45844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45844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45844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45844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45844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45844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45844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45844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45844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45844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45844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45844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45844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45844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45844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45844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45844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45844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45844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45844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45844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45844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45844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45844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45844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45844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45844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45844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45844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45844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45844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45844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45844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45844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45844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45844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45844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45844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45844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45844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45844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45844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45844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45844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45844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45844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45844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45844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45844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45844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45844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45844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45844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45844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45844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45844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45844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45844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45844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45844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45844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45844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45844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45844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45844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45844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45844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45844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45844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45844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45844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45844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45844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45844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45844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45844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45844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45844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45844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45844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45844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45844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45844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45844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45844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45844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45844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45844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45844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45844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45844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45844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45844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45844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45844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45844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45844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45844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45844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45844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45844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45844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45844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45844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45844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45844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45844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45844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45844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45844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45844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45844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45844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45844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45844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45844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45844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45844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45844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45844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45844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45844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45844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45844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45844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45844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45844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45844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45844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45844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45844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45844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45844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45844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45844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45844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45844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45844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45844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45844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45844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45844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45844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45844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45844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45844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45844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45844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45844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45844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45844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45844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45844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45844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45844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45844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45844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45844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45844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45844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45844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45844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45844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45844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45844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45844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45844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45844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45844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45844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45844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45844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45844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45844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45844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45844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45844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45844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45844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45844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45844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45844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45844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45844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45844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45844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45844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45844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45844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45844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45844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45844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45844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45844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45844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45844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45844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45844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45844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45844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45844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45844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45844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45844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45844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45844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45844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45844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45844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45844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45844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45844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45844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45844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45844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45844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45844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45844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45844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45844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45844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45844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45844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45844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45844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45844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45844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45844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45844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45844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45844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45844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45844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45844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45844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45844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45844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45844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45844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45844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45844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45844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45844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45844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45844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45844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45844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45844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45844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45844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45844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45844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45844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45844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45844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45844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45844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45844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45844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45844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45844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45844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45844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45844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45844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45844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45844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45844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45844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45844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45844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45844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45844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45844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45844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45844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45844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45844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45844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45844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45844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45844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45844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45844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45844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45844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45844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45844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45844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45844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45844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45844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45844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45844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45844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45844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45844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45844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45844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45844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45844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45844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45844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45844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45844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45844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45844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45844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45844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45844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45844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45844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45844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45844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45844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45844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45844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45844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45844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45844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45844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45844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45844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27495-2025</t>
        </is>
      </c>
      <c r="B1272" s="1" t="n">
        <v>45813</v>
      </c>
      <c r="C1272" s="1" t="n">
        <v>45844</v>
      </c>
      <c r="D1272" t="inlineStr">
        <is>
          <t>VÄRMLANDS LÄN</t>
        </is>
      </c>
      <c r="E1272" t="inlineStr">
        <is>
          <t>KARLSTAD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45844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45844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45844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45844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45844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45844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45844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45844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31412-2025</t>
        </is>
      </c>
      <c r="B1281" s="1" t="n">
        <v>45833</v>
      </c>
      <c r="C1281" s="1" t="n">
        <v>45844</v>
      </c>
      <c r="D1281" t="inlineStr">
        <is>
          <t>VÄRMLANDS LÄN</t>
        </is>
      </c>
      <c r="E1281" t="inlineStr">
        <is>
          <t>KARLSTAD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31586-2025</t>
        </is>
      </c>
      <c r="B1282" s="1" t="n">
        <v>45833</v>
      </c>
      <c r="C1282" s="1" t="n">
        <v>45844</v>
      </c>
      <c r="D1282" t="inlineStr">
        <is>
          <t>VÄRMLANDS LÄN</t>
        </is>
      </c>
      <c r="E1282" t="inlineStr">
        <is>
          <t>KARLSTAD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31417-2025</t>
        </is>
      </c>
      <c r="B1283" s="1" t="n">
        <v>45833</v>
      </c>
      <c r="C1283" s="1" t="n">
        <v>45844</v>
      </c>
      <c r="D1283" t="inlineStr">
        <is>
          <t>VÄRMLANDS LÄN</t>
        </is>
      </c>
      <c r="E1283" t="inlineStr">
        <is>
          <t>KARLSTAD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31420-2025</t>
        </is>
      </c>
      <c r="B1284" s="1" t="n">
        <v>45833</v>
      </c>
      <c r="C1284" s="1" t="n">
        <v>45844</v>
      </c>
      <c r="D1284" t="inlineStr">
        <is>
          <t>VÄRMLANDS LÄN</t>
        </is>
      </c>
      <c r="E1284" t="inlineStr">
        <is>
          <t>KARLSTAD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31833-2025</t>
        </is>
      </c>
      <c r="B1285" s="1" t="n">
        <v>45834</v>
      </c>
      <c r="C1285" s="1" t="n">
        <v>45844</v>
      </c>
      <c r="D1285" t="inlineStr">
        <is>
          <t>VÄRMLANDS LÄN</t>
        </is>
      </c>
      <c r="E1285" t="inlineStr">
        <is>
          <t>KARLSTAD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31848-2025</t>
        </is>
      </c>
      <c r="B1286" s="1" t="n">
        <v>45834</v>
      </c>
      <c r="C1286" s="1" t="n">
        <v>45844</v>
      </c>
      <c r="D1286" t="inlineStr">
        <is>
          <t>VÄRMLANDS LÄN</t>
        </is>
      </c>
      <c r="E1286" t="inlineStr">
        <is>
          <t>KARLSTAD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45844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45844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45844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45844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32591-2025</t>
        </is>
      </c>
      <c r="B1291" s="1" t="n">
        <v>45838</v>
      </c>
      <c r="C1291" s="1" t="n">
        <v>45844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33705-2025</t>
        </is>
      </c>
      <c r="B1292" s="1" t="n">
        <v>45841</v>
      </c>
      <c r="C1292" s="1" t="n">
        <v>45844</v>
      </c>
      <c r="D1292" t="inlineStr">
        <is>
          <t>VÄRMLANDS LÄN</t>
        </is>
      </c>
      <c r="E1292" t="inlineStr">
        <is>
          <t>KARLSTAD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33704-2025</t>
        </is>
      </c>
      <c r="B1293" s="1" t="n">
        <v>45841</v>
      </c>
      <c r="C1293" s="1" t="n">
        <v>45844</v>
      </c>
      <c r="D1293" t="inlineStr">
        <is>
          <t>VÄRMLANDS LÄN</t>
        </is>
      </c>
      <c r="E1293" t="inlineStr">
        <is>
          <t>KARLSTAD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2025-07-06T19:31:49Z</dcterms:created>
  <dcterms:modified xmlns:dcterms="http://purl.org/dc/terms/" xmlns:xsi="http://www.w3.org/2001/XMLSchema-instance" xsi:type="dcterms:W3CDTF">2025-07-06T19:31:50Z</dcterms:modified>
</cp:coreProperties>
</file>