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57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S 2893-2022</t>
        </is>
      </c>
      <c r="B2" t="inlineStr">
        <is>
          <t>samrådsanmälan</t>
        </is>
      </c>
      <c r="C2" t="inlineStr">
        <is>
          <t>Askåterföring</t>
        </is>
      </c>
      <c r="D2" s="1" t="n">
        <v>44708</v>
      </c>
      <c r="E2" s="1" t="n">
        <v>46298</v>
      </c>
      <c r="F2" t="inlineStr">
        <is>
          <t>VÄRMLANDS LÄN</t>
        </is>
      </c>
      <c r="G2" t="inlineStr">
        <is>
          <t>KARLSTAD</t>
        </is>
      </c>
      <c r="H2" t="inlineStr">
        <is>
          <t>Kommuner</t>
        </is>
      </c>
      <c r="I2" t="n">
        <v>108.5</v>
      </c>
      <c r="J2" t="n">
        <v>15</v>
      </c>
      <c r="K2" t="n">
        <v>6</v>
      </c>
      <c r="L2" t="n">
        <v>4</v>
      </c>
      <c r="M2" t="n">
        <v>4</v>
      </c>
      <c r="N2" t="n">
        <v>0</v>
      </c>
      <c r="O2" t="n">
        <v>0</v>
      </c>
      <c r="P2" t="n">
        <v>0</v>
      </c>
      <c r="Q2" t="n">
        <v>8</v>
      </c>
      <c r="R2" t="n">
        <v>4</v>
      </c>
      <c r="S2" t="n">
        <v>23</v>
      </c>
      <c r="T2" t="n">
        <v>37</v>
      </c>
      <c r="U2" t="n">
        <v>30</v>
      </c>
      <c r="V2" s="2" t="inlineStr">
        <is>
          <t>Grönfink
Igelkott
Knärot
Silverblåvinge
Duvhök
Gulsparv
Talltita
Tretåig hackspett
Björksplintborre
Blåmossa
Bronshjon
Dolkstekelsglasvinge
Thomsons trägnagare
Vågbandad barkbock
Spillkråka
Gröngöling
Grönsiska
Kråka
Kungsfågel
Kopparödla
Vanlig groda
Vanlig snok
Fläcknycklar</t>
        </is>
      </c>
      <c r="W2">
        <f>HYPERLINK("https://klasma.github.io/Logging_1780/artfynd/S 2893-2022 artfynd.xlsx", "S 2893-2022")</f>
        <v/>
      </c>
      <c r="X2">
        <f>HYPERLINK("https://klasma.github.io/Logging_1780/kartor/S 2893-2022 karta.png", "S 2893-2022")</f>
        <v/>
      </c>
      <c r="Y2">
        <f>HYPERLINK("https://klasma.github.io/Logging_1780/kartor_geotiff/S 2893-2022 georefererad karta.tif", "S 2893-2022")</f>
        <v/>
      </c>
      <c r="Z2">
        <f>HYPERLINK("https://klasma.github.io/Logging_1780/knärot/S 2893-2022 karta knärot.png", "S 2893-2022")</f>
        <v/>
      </c>
      <c r="AA2">
        <f>HYPERLINK("https://klasma.github.io/Logging_1780/klagomål/S 2893-2022 FSC-klagomål.docx", "S 2893-2022")</f>
        <v/>
      </c>
      <c r="AB2">
        <f>HYPERLINK("https://klasma.github.io/Logging_1780/klagomålsmail/S 2893-2022 FSC-klagomål mail.docx", "S 2893-2022")</f>
        <v/>
      </c>
      <c r="AC2">
        <f>HYPERLINK("https://klasma.github.io/Logging_1780/tillsyn/S 2893-2022 tillsynsbegäran.docx", "S 2893-2022")</f>
        <v/>
      </c>
      <c r="AD2">
        <f>HYPERLINK("https://klasma.github.io/Logging_1780/tillsynsmail/S 2893-2022 tillsynsbegäran mail.docx", "S 2893-2022")</f>
        <v/>
      </c>
      <c r="AE2">
        <f>HYPERLINK("https://klasma.github.io/Logging_1780/fåglar/S 2893-2022 prioriterade fågelarter.docx", "S 2893-2022")</f>
        <v/>
      </c>
    </row>
    <row r="3" ht="15" customHeight="1">
      <c r="A3" t="inlineStr">
        <is>
          <t>A 14594-2022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44655</v>
      </c>
      <c r="E3" s="1" t="n">
        <v>46298</v>
      </c>
      <c r="F3" t="inlineStr">
        <is>
          <t>VÄRMLANDS LÄN</t>
        </is>
      </c>
      <c r="G3" t="inlineStr">
        <is>
          <t>KARLSTAD</t>
        </is>
      </c>
      <c r="H3" t="inlineStr">
        <is>
          <t>Kommuner</t>
        </is>
      </c>
      <c r="I3" t="n">
        <v>11.2</v>
      </c>
      <c r="J3" t="n">
        <v>15</v>
      </c>
      <c r="K3" t="n">
        <v>1</v>
      </c>
      <c r="L3" t="n">
        <v>7</v>
      </c>
      <c r="M3" t="n">
        <v>1</v>
      </c>
      <c r="N3" t="n">
        <v>0</v>
      </c>
      <c r="O3" t="n">
        <v>0</v>
      </c>
      <c r="P3" t="n">
        <v>0</v>
      </c>
      <c r="Q3" t="n">
        <v>8</v>
      </c>
      <c r="R3" t="n">
        <v>1</v>
      </c>
      <c r="S3" t="n">
        <v>17</v>
      </c>
      <c r="T3" t="n">
        <v>19</v>
      </c>
      <c r="U3" t="n">
        <v>18</v>
      </c>
      <c r="V3" s="2" t="inlineStr">
        <is>
          <t>Igelkott
Enkelbeckasin
Grönsångare
Gulsparv
Mindre hackspett
Nordfladdermus
Rödvingetrast
Rördrom
Jättesvampmal
Spillkråka
Dvärgpipistrell
Havsörn
Kungsfågel
Sävsparv
Törnskata
Vattenfladdermus
Ärtsångare</t>
        </is>
      </c>
      <c r="W3">
        <f>HYPERLINK("https://klasma.github.io/Logging_1780/artfynd/A 14594-2022 artfynd.xlsx", "A 14594-2022")</f>
        <v/>
      </c>
      <c r="X3">
        <f>HYPERLINK("https://klasma.github.io/Logging_1780/kartor/A 14594-2022 karta.png", "A 14594-2022")</f>
        <v/>
      </c>
      <c r="Y3">
        <f>HYPERLINK("https://klasma.github.io/Logging_1780/kartor_geotiff/A 14594-2022 georefererad karta.tif", "A 14594-2022")</f>
        <v/>
      </c>
      <c r="AA3">
        <f>HYPERLINK("https://klasma.github.io/Logging_1780/klagomål/A 14594-2022 FSC-klagomål.docx", "A 14594-2022")</f>
        <v/>
      </c>
      <c r="AB3">
        <f>HYPERLINK("https://klasma.github.io/Logging_1780/klagomålsmail/A 14594-2022 FSC-klagomål mail.docx", "A 14594-2022")</f>
        <v/>
      </c>
      <c r="AC3">
        <f>HYPERLINK("https://klasma.github.io/Logging_1780/tillsyn/A 14594-2022 tillsynsbegäran.docx", "A 14594-2022")</f>
        <v/>
      </c>
      <c r="AD3">
        <f>HYPERLINK("https://klasma.github.io/Logging_1780/tillsynsmail/A 14594-2022 tillsynsbegäran mail.docx", "A 14594-2022")</f>
        <v/>
      </c>
      <c r="AE3">
        <f>HYPERLINK("https://klasma.github.io/Logging_1780/fåglar/A 14594-2022 prioriterade fågelarter.docx", "A 14594-2022")</f>
        <v/>
      </c>
    </row>
    <row r="4" ht="15" customHeight="1">
      <c r="A4" t="inlineStr">
        <is>
          <t>S 3036-2022</t>
        </is>
      </c>
      <c r="B4" t="inlineStr">
        <is>
          <t>samrådsanmälan</t>
        </is>
      </c>
      <c r="C4" t="inlineStr">
        <is>
          <t>Askåterföring</t>
        </is>
      </c>
      <c r="D4" s="1" t="n">
        <v>44715</v>
      </c>
      <c r="E4" s="1" t="n">
        <v>46298</v>
      </c>
      <c r="F4" t="inlineStr">
        <is>
          <t>VÄRMLANDS LÄN</t>
        </is>
      </c>
      <c r="G4" t="inlineStr">
        <is>
          <t>KARLSTAD</t>
        </is>
      </c>
      <c r="H4" t="inlineStr">
        <is>
          <t>Kommuner</t>
        </is>
      </c>
      <c r="I4" t="n">
        <v>41.3</v>
      </c>
      <c r="J4" t="n">
        <v>10</v>
      </c>
      <c r="K4" t="n">
        <v>1</v>
      </c>
      <c r="L4" t="n">
        <v>3</v>
      </c>
      <c r="M4" t="n">
        <v>0</v>
      </c>
      <c r="N4" t="n">
        <v>0</v>
      </c>
      <c r="O4" t="n">
        <v>0</v>
      </c>
      <c r="P4" t="n">
        <v>0</v>
      </c>
      <c r="Q4" t="n">
        <v>3</v>
      </c>
      <c r="R4" t="n">
        <v>0</v>
      </c>
      <c r="S4" t="n">
        <v>11</v>
      </c>
      <c r="T4" t="n">
        <v>12</v>
      </c>
      <c r="U4" t="n">
        <v>8</v>
      </c>
      <c r="V4" s="2" t="inlineStr">
        <is>
          <t>Björktrast
Duvhök
Gulsparv
Scharlakansvårskål agg.
Spillkråka
Tjäder
Kråka
Kungsfågel
Huggorm
Vanlig snok
Äkta lopplummer</t>
        </is>
      </c>
      <c r="W4">
        <f>HYPERLINK("https://klasma.github.io/Logging_1780/artfynd/S 3036-2022 artfynd.xlsx", "S 3036-2022")</f>
        <v/>
      </c>
      <c r="X4">
        <f>HYPERLINK("https://klasma.github.io/Logging_1780/kartor/S 3036-2022 karta.png", "S 3036-2022")</f>
        <v/>
      </c>
      <c r="Y4">
        <f>HYPERLINK("https://klasma.github.io/Logging_1780/kartor_geotiff/S 3036-2022 georefererad karta.tif", "S 3036-2022")</f>
        <v/>
      </c>
      <c r="AA4">
        <f>HYPERLINK("https://klasma.github.io/Logging_1780/klagomål/S 3036-2022 FSC-klagomål.docx", "S 3036-2022")</f>
        <v/>
      </c>
      <c r="AB4">
        <f>HYPERLINK("https://klasma.github.io/Logging_1780/klagomålsmail/S 3036-2022 FSC-klagomål mail.docx", "S 3036-2022")</f>
        <v/>
      </c>
      <c r="AC4">
        <f>HYPERLINK("https://klasma.github.io/Logging_1780/tillsyn/S 3036-2022 tillsynsbegäran.docx", "S 3036-2022")</f>
        <v/>
      </c>
      <c r="AD4">
        <f>HYPERLINK("https://klasma.github.io/Logging_1780/tillsynsmail/S 3036-2022 tillsynsbegäran mail.docx", "S 3036-2022")</f>
        <v/>
      </c>
      <c r="AE4">
        <f>HYPERLINK("https://klasma.github.io/Logging_1780/fåglar/S 3036-2022 prioriterade fågelarter.docx", "S 3036-2022")</f>
        <v/>
      </c>
    </row>
    <row r="5" ht="15" customHeight="1">
      <c r="A5" t="inlineStr">
        <is>
          <t>A 69506-2021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44531</v>
      </c>
      <c r="E5" s="1" t="n">
        <v>46298</v>
      </c>
      <c r="F5" t="inlineStr">
        <is>
          <t>VÄRMLANDS LÄN</t>
        </is>
      </c>
      <c r="G5" t="inlineStr">
        <is>
          <t>KARLSTAD</t>
        </is>
      </c>
      <c r="I5" t="n">
        <v>5.2</v>
      </c>
      <c r="J5" t="n">
        <v>9</v>
      </c>
      <c r="K5" t="n">
        <v>0</v>
      </c>
      <c r="L5" t="n">
        <v>3</v>
      </c>
      <c r="M5" t="n">
        <v>1</v>
      </c>
      <c r="N5" t="n">
        <v>0</v>
      </c>
      <c r="O5" t="n">
        <v>0</v>
      </c>
      <c r="P5" t="n">
        <v>0</v>
      </c>
      <c r="Q5" t="n">
        <v>4</v>
      </c>
      <c r="R5" t="n">
        <v>1</v>
      </c>
      <c r="S5" t="n">
        <v>9</v>
      </c>
      <c r="T5" t="n">
        <v>9</v>
      </c>
      <c r="U5" t="n">
        <v>9</v>
      </c>
      <c r="V5" s="2" t="inlineStr">
        <is>
          <t>Tornseglare
Gulsparv
Sparvuggla
Talltita
Spillkråka
Svartvit flugsnappare
Trana
Trädlärka
Ärtsångare</t>
        </is>
      </c>
      <c r="W5">
        <f>HYPERLINK("https://klasma.github.io/Logging_1780/artfynd/A 69506-2021 artfynd.xlsx", "A 69506-2021")</f>
        <v/>
      </c>
      <c r="X5">
        <f>HYPERLINK("https://klasma.github.io/Logging_1780/kartor/A 69506-2021 karta.png", "A 69506-2021")</f>
        <v/>
      </c>
      <c r="Y5">
        <f>HYPERLINK("https://klasma.github.io/Logging_1780/kartor_geotiff/A 69506-2021 georefererad karta.tif", "A 69506-2021")</f>
        <v/>
      </c>
      <c r="AA5">
        <f>HYPERLINK("https://klasma.github.io/Logging_1780/klagomål/A 69506-2021 FSC-klagomål.docx", "A 69506-2021")</f>
        <v/>
      </c>
      <c r="AB5">
        <f>HYPERLINK("https://klasma.github.io/Logging_1780/klagomålsmail/A 69506-2021 FSC-klagomål mail.docx", "A 69506-2021")</f>
        <v/>
      </c>
      <c r="AC5">
        <f>HYPERLINK("https://klasma.github.io/Logging_1780/tillsyn/A 69506-2021 tillsynsbegäran.docx", "A 69506-2021")</f>
        <v/>
      </c>
      <c r="AD5">
        <f>HYPERLINK("https://klasma.github.io/Logging_1780/tillsynsmail/A 69506-2021 tillsynsbegäran mail.docx", "A 69506-2021")</f>
        <v/>
      </c>
      <c r="AE5">
        <f>HYPERLINK("https://klasma.github.io/Logging_1780/fåglar/A 69506-2021 prioriterade fågelarter.docx", "A 69506-2021")</f>
        <v/>
      </c>
    </row>
    <row r="6" ht="15" customHeight="1">
      <c r="A6" t="inlineStr">
        <is>
          <t>A 44469-2022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44838</v>
      </c>
      <c r="E6" s="1" t="n">
        <v>46298</v>
      </c>
      <c r="F6" t="inlineStr">
        <is>
          <t>VÄRMLANDS LÄN</t>
        </is>
      </c>
      <c r="G6" t="inlineStr">
        <is>
          <t>KARLSTAD</t>
        </is>
      </c>
      <c r="I6" t="n">
        <v>9.300000000000001</v>
      </c>
      <c r="J6" t="n">
        <v>1</v>
      </c>
      <c r="K6" t="n">
        <v>2</v>
      </c>
      <c r="L6" t="n">
        <v>3</v>
      </c>
      <c r="M6" t="n">
        <v>2</v>
      </c>
      <c r="N6" t="n">
        <v>0</v>
      </c>
      <c r="O6" t="n">
        <v>0</v>
      </c>
      <c r="P6" t="n">
        <v>0</v>
      </c>
      <c r="Q6" t="n">
        <v>5</v>
      </c>
      <c r="R6" t="n">
        <v>2</v>
      </c>
      <c r="S6" t="n">
        <v>8</v>
      </c>
      <c r="T6" t="n">
        <v>9</v>
      </c>
      <c r="U6" t="n">
        <v>2</v>
      </c>
      <c r="V6" s="2" t="inlineStr">
        <is>
          <t>Grangråticka
Taggfingersvamp
Dofttaggsvamp
Fjällig taggsvamp s.str.
Skarp dropptaggsvamp
Rödgul trumpetsvamp
Zontaggsvamp
Äkta lopplummer</t>
        </is>
      </c>
      <c r="W6">
        <f>HYPERLINK("https://klasma.github.io/Logging_1780/artfynd/A 44469-2022 artfynd.xlsx", "A 44469-2022")</f>
        <v/>
      </c>
      <c r="X6">
        <f>HYPERLINK("https://klasma.github.io/Logging_1780/kartor/A 44469-2022 karta.png", "A 44469-2022")</f>
        <v/>
      </c>
      <c r="Y6">
        <f>HYPERLINK("https://klasma.github.io/Logging_1780/kartor_geotiff/A 44469-2022 georefererad karta.tif", "A 44469-2022")</f>
        <v/>
      </c>
      <c r="AA6">
        <f>HYPERLINK("https://klasma.github.io/Logging_1780/klagomål/A 44469-2022 FSC-klagomål.docx", "A 44469-2022")</f>
        <v/>
      </c>
      <c r="AB6">
        <f>HYPERLINK("https://klasma.github.io/Logging_1780/klagomålsmail/A 44469-2022 FSC-klagomål mail.docx", "A 44469-2022")</f>
        <v/>
      </c>
      <c r="AC6">
        <f>HYPERLINK("https://klasma.github.io/Logging_1780/tillsyn/A 44469-2022 tillsynsbegäran.docx", "A 44469-2022")</f>
        <v/>
      </c>
      <c r="AD6">
        <f>HYPERLINK("https://klasma.github.io/Logging_1780/tillsynsmail/A 44469-2022 tillsynsbegäran mail.docx", "A 44469-2022")</f>
        <v/>
      </c>
    </row>
    <row r="7" ht="15" customHeight="1">
      <c r="A7" t="inlineStr">
        <is>
          <t>A 51885-2024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45607</v>
      </c>
      <c r="E7" s="1" t="n">
        <v>46298</v>
      </c>
      <c r="F7" t="inlineStr">
        <is>
          <t>VÄRMLANDS LÄN</t>
        </is>
      </c>
      <c r="G7" t="inlineStr">
        <is>
          <t>KARLSTAD</t>
        </is>
      </c>
      <c r="I7" t="n">
        <v>3.4</v>
      </c>
      <c r="J7" t="n">
        <v>1</v>
      </c>
      <c r="K7" t="n">
        <v>5</v>
      </c>
      <c r="L7" t="n">
        <v>2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t="n">
        <v>0</v>
      </c>
      <c r="S7" t="n">
        <v>8</v>
      </c>
      <c r="T7" t="n">
        <v>12</v>
      </c>
      <c r="U7" t="n">
        <v>0</v>
      </c>
      <c r="V7" s="2" t="inlineStr">
        <is>
          <t>Gullpudra
Storgröe
Bågpraktmossa
Hasselticka
Skogshakmossa
Strutbräken
Trubbfjädermossa
Blåsippa</t>
        </is>
      </c>
      <c r="W7">
        <f>HYPERLINK("https://klasma.github.io/Logging_1780/artfynd/A 51885-2024 artfynd.xlsx", "A 51885-2024")</f>
        <v/>
      </c>
      <c r="X7">
        <f>HYPERLINK("https://klasma.github.io/Logging_1780/kartor/A 51885-2024 karta.png", "A 51885-2024")</f>
        <v/>
      </c>
      <c r="Y7">
        <f>HYPERLINK("https://klasma.github.io/Logging_1780/kartor_geotiff/A 51885-2024 georefererad karta.tif", "A 51885-2024")</f>
        <v/>
      </c>
      <c r="AA7">
        <f>HYPERLINK("https://klasma.github.io/Logging_1780/klagomål/A 51885-2024 FSC-klagomål.docx", "A 51885-2024")</f>
        <v/>
      </c>
      <c r="AB7">
        <f>HYPERLINK("https://klasma.github.io/Logging_1780/klagomålsmail/A 51885-2024 FSC-klagomål mail.docx", "A 51885-2024")</f>
        <v/>
      </c>
      <c r="AC7">
        <f>HYPERLINK("https://klasma.github.io/Logging_1780/tillsyn/A 51885-2024 tillsynsbegäran.docx", "A 51885-2024")</f>
        <v/>
      </c>
      <c r="AD7">
        <f>HYPERLINK("https://klasma.github.io/Logging_1780/tillsynsmail/A 51885-2024 tillsynsbegäran mail.docx", "A 51885-2024")</f>
        <v/>
      </c>
    </row>
    <row r="8" ht="15" customHeight="1">
      <c r="A8" t="inlineStr">
        <is>
          <t>A 46895-2024</t>
        </is>
      </c>
      <c r="B8" t="inlineStr">
        <is>
          <t>avverkningsanmälan</t>
        </is>
      </c>
      <c r="C8" t="inlineStr">
        <is>
          <t>Avverkning för att bevara och utveckla /försöksver</t>
        </is>
      </c>
      <c r="D8" s="1" t="n">
        <v>45583</v>
      </c>
      <c r="E8" s="1" t="n">
        <v>46298</v>
      </c>
      <c r="F8" t="inlineStr">
        <is>
          <t>VÄRMLANDS LÄN</t>
        </is>
      </c>
      <c r="G8" t="inlineStr">
        <is>
          <t>KARLSTAD</t>
        </is>
      </c>
      <c r="H8" t="inlineStr">
        <is>
          <t>Kommuner</t>
        </is>
      </c>
      <c r="I8" t="n">
        <v>3.6</v>
      </c>
      <c r="J8" t="n">
        <v>1</v>
      </c>
      <c r="K8" t="n">
        <v>0</v>
      </c>
      <c r="L8" t="n">
        <v>1</v>
      </c>
      <c r="M8" t="n">
        <v>5</v>
      </c>
      <c r="N8" t="n">
        <v>0</v>
      </c>
      <c r="O8" t="n">
        <v>0</v>
      </c>
      <c r="P8" t="n">
        <v>0</v>
      </c>
      <c r="Q8" t="n">
        <v>6</v>
      </c>
      <c r="R8" t="n">
        <v>5</v>
      </c>
      <c r="S8" t="n">
        <v>6</v>
      </c>
      <c r="T8" t="n">
        <v>10</v>
      </c>
      <c r="U8" t="n">
        <v>4</v>
      </c>
      <c r="V8" s="2" t="inlineStr">
        <is>
          <t>Brun gräsfjäril
Brunfläckig pärlemorfjäril
Silverblåvinge
Violettkantad guldvinge
Ängsblåvinge
Sotnätfjäril</t>
        </is>
      </c>
      <c r="W8">
        <f>HYPERLINK("https://klasma.github.io/Logging_1780/artfynd/A 46895-2024 artfynd.xlsx", "A 46895-2024")</f>
        <v/>
      </c>
      <c r="X8">
        <f>HYPERLINK("https://klasma.github.io/Logging_1780/kartor/A 46895-2024 karta.png", "A 46895-2024")</f>
        <v/>
      </c>
      <c r="Y8">
        <f>HYPERLINK("https://klasma.github.io/Logging_1780/kartor_geotiff/A 46895-2024 georefererad karta.tif", "A 46895-2024")</f>
        <v/>
      </c>
      <c r="AA8">
        <f>HYPERLINK("https://klasma.github.io/Logging_1780/klagomål/A 46895-2024 FSC-klagomål.docx", "A 46895-2024")</f>
        <v/>
      </c>
      <c r="AB8">
        <f>HYPERLINK("https://klasma.github.io/Logging_1780/klagomålsmail/A 46895-2024 FSC-klagomål mail.docx", "A 46895-2024")</f>
        <v/>
      </c>
      <c r="AC8">
        <f>HYPERLINK("https://klasma.github.io/Logging_1780/tillsyn/A 46895-2024 tillsynsbegäran.docx", "A 46895-2024")</f>
        <v/>
      </c>
      <c r="AD8">
        <f>HYPERLINK("https://klasma.github.io/Logging_1780/tillsynsmail/A 46895-2024 tillsynsbegäran mail.docx", "A 46895-2024")</f>
        <v/>
      </c>
    </row>
    <row r="9" ht="15" customHeight="1">
      <c r="A9" t="inlineStr">
        <is>
          <t>A 49127-2022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44858</v>
      </c>
      <c r="E9" s="1" t="n">
        <v>46298</v>
      </c>
      <c r="F9" t="inlineStr">
        <is>
          <t>VÄRMLANDS LÄN</t>
        </is>
      </c>
      <c r="G9" t="inlineStr">
        <is>
          <t>KARLSTAD</t>
        </is>
      </c>
      <c r="I9" t="n">
        <v>10.9</v>
      </c>
      <c r="J9" t="n">
        <v>0</v>
      </c>
      <c r="K9" t="n">
        <v>5</v>
      </c>
      <c r="L9" t="n">
        <v>1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t="n">
        <v>0</v>
      </c>
      <c r="S9" t="n">
        <v>6</v>
      </c>
      <c r="T9" t="n">
        <v>7</v>
      </c>
      <c r="U9" t="n">
        <v>0</v>
      </c>
      <c r="V9" s="2" t="inlineStr">
        <is>
          <t>Skrovellav
Bårdlav
Fällmossa
Guldlockmossa
Klippfrullania
Platt fjädermossa</t>
        </is>
      </c>
      <c r="W9">
        <f>HYPERLINK("https://klasma.github.io/Logging_1780/artfynd/A 49127-2022 artfynd.xlsx", "A 49127-2022")</f>
        <v/>
      </c>
      <c r="X9">
        <f>HYPERLINK("https://klasma.github.io/Logging_1780/kartor/A 49127-2022 karta.png", "A 49127-2022")</f>
        <v/>
      </c>
      <c r="Y9">
        <f>HYPERLINK("https://klasma.github.io/Logging_1780/kartor_geotiff/A 49127-2022 georefererad karta.tif", "A 49127-2022")</f>
        <v/>
      </c>
      <c r="AA9">
        <f>HYPERLINK("https://klasma.github.io/Logging_1780/klagomål/A 49127-2022 FSC-klagomål.docx", "A 49127-2022")</f>
        <v/>
      </c>
      <c r="AB9">
        <f>HYPERLINK("https://klasma.github.io/Logging_1780/klagomålsmail/A 49127-2022 FSC-klagomål mail.docx", "A 49127-2022")</f>
        <v/>
      </c>
      <c r="AC9">
        <f>HYPERLINK("https://klasma.github.io/Logging_1780/tillsyn/A 49127-2022 tillsynsbegäran.docx", "A 49127-2022")</f>
        <v/>
      </c>
      <c r="AD9">
        <f>HYPERLINK("https://klasma.github.io/Logging_1780/tillsynsmail/A 49127-2022 tillsynsbegäran mail.docx", "A 49127-2022")</f>
        <v/>
      </c>
    </row>
    <row r="10" ht="15" customHeight="1">
      <c r="A10" t="inlineStr">
        <is>
          <t>A 41565-2023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45175</v>
      </c>
      <c r="E10" s="1" t="n">
        <v>46298</v>
      </c>
      <c r="F10" t="inlineStr">
        <is>
          <t>VÄRMLANDS LÄN</t>
        </is>
      </c>
      <c r="G10" t="inlineStr">
        <is>
          <t>KARLSTAD</t>
        </is>
      </c>
      <c r="H10" t="inlineStr">
        <is>
          <t>Övriga Aktiebolag</t>
        </is>
      </c>
      <c r="I10" t="n">
        <v>1.7</v>
      </c>
      <c r="J10" t="n">
        <v>2</v>
      </c>
      <c r="K10" t="n">
        <v>2</v>
      </c>
      <c r="L10" t="n">
        <v>2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t="n">
        <v>0</v>
      </c>
      <c r="S10" t="n">
        <v>6</v>
      </c>
      <c r="T10" t="n">
        <v>7</v>
      </c>
      <c r="U10" t="n">
        <v>7</v>
      </c>
      <c r="V10" s="2" t="inlineStr">
        <is>
          <t>Motaggsvamp
Talltita
Mindre märgborre
Vågbandad barkbock
Kötticka
Tjäder</t>
        </is>
      </c>
      <c r="W10">
        <f>HYPERLINK("https://klasma.github.io/Logging_1780/artfynd/A 41565-2023 artfynd.xlsx", "A 41565-2023")</f>
        <v/>
      </c>
      <c r="X10">
        <f>HYPERLINK("https://klasma.github.io/Logging_1780/kartor/A 41565-2023 karta.png", "A 41565-2023")</f>
        <v/>
      </c>
      <c r="Y10">
        <f>HYPERLINK("https://klasma.github.io/Logging_1780/kartor_geotiff/A 41565-2023 georefererad karta.tif", "A 41565-2023")</f>
        <v/>
      </c>
      <c r="AA10">
        <f>HYPERLINK("https://klasma.github.io/Logging_1780/klagomål/A 41565-2023 FSC-klagomål.docx", "A 41565-2023")</f>
        <v/>
      </c>
      <c r="AB10">
        <f>HYPERLINK("https://klasma.github.io/Logging_1780/klagomålsmail/A 41565-2023 FSC-klagomål mail.docx", "A 41565-2023")</f>
        <v/>
      </c>
      <c r="AC10">
        <f>HYPERLINK("https://klasma.github.io/Logging_1780/tillsyn/A 41565-2023 tillsynsbegäran.docx", "A 41565-2023")</f>
        <v/>
      </c>
      <c r="AD10">
        <f>HYPERLINK("https://klasma.github.io/Logging_1780/tillsynsmail/A 41565-2023 tillsynsbegäran mail.docx", "A 41565-2023")</f>
        <v/>
      </c>
      <c r="AE10">
        <f>HYPERLINK("https://klasma.github.io/Logging_1780/fåglar/A 41565-2023 prioriterade fågelarter.docx", "A 41565-2023")</f>
        <v/>
      </c>
    </row>
    <row r="11" ht="15" customHeight="1">
      <c r="A11" t="inlineStr">
        <is>
          <t>A 5148-2026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46049</v>
      </c>
      <c r="E11" s="1" t="n">
        <v>46298</v>
      </c>
      <c r="F11" t="inlineStr">
        <is>
          <t>VÄRMLANDS LÄN</t>
        </is>
      </c>
      <c r="G11" t="inlineStr">
        <is>
          <t>KARLSTAD</t>
        </is>
      </c>
      <c r="I11" t="n">
        <v>2.4</v>
      </c>
      <c r="J11" t="n">
        <v>2</v>
      </c>
      <c r="K11" t="n">
        <v>2</v>
      </c>
      <c r="L11" t="n">
        <v>1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t="n">
        <v>0</v>
      </c>
      <c r="S11" t="n">
        <v>5</v>
      </c>
      <c r="T11" t="n">
        <v>5</v>
      </c>
      <c r="U11" t="n">
        <v>0</v>
      </c>
      <c r="V11" s="2" t="inlineStr">
        <is>
          <t>Gullpudra
Grönpyrola
Svart trolldruva
Blåsippa
Revlummer</t>
        </is>
      </c>
      <c r="W11">
        <f>HYPERLINK("https://klasma.github.io/Logging_1780/artfynd/A 5148-2026 artfynd.xlsx", "A 5148-2026")</f>
        <v/>
      </c>
      <c r="X11">
        <f>HYPERLINK("https://klasma.github.io/Logging_1780/kartor/A 5148-2026 karta.png", "A 5148-2026")</f>
        <v/>
      </c>
      <c r="Y11">
        <f>HYPERLINK("https://klasma.github.io/Logging_1780/kartor_geotiff/A 5148-2026 georefererad karta.tif", "A 5148-2026")</f>
        <v/>
      </c>
      <c r="AA11">
        <f>HYPERLINK("https://klasma.github.io/Logging_1780/klagomål/A 5148-2026 FSC-klagomål.docx", "A 5148-2026")</f>
        <v/>
      </c>
      <c r="AB11">
        <f>HYPERLINK("https://klasma.github.io/Logging_1780/klagomålsmail/A 5148-2026 FSC-klagomål mail.docx", "A 5148-2026")</f>
        <v/>
      </c>
      <c r="AC11">
        <f>HYPERLINK("https://klasma.github.io/Logging_1780/tillsyn/A 5148-2026 tillsynsbegäran.docx", "A 5148-2026")</f>
        <v/>
      </c>
      <c r="AD11">
        <f>HYPERLINK("https://klasma.github.io/Logging_1780/tillsynsmail/A 5148-2026 tillsynsbegäran mail.docx", "A 5148-2026")</f>
        <v/>
      </c>
    </row>
    <row r="12" ht="15" customHeight="1">
      <c r="A12" t="inlineStr">
        <is>
          <t>A 47561-2023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45197</v>
      </c>
      <c r="E12" s="1" t="n">
        <v>46298</v>
      </c>
      <c r="F12" t="inlineStr">
        <is>
          <t>VÄRMLANDS LÄN</t>
        </is>
      </c>
      <c r="G12" t="inlineStr">
        <is>
          <t>KARLSTAD</t>
        </is>
      </c>
      <c r="I12" t="n">
        <v>3.2</v>
      </c>
      <c r="J12" t="n">
        <v>3</v>
      </c>
      <c r="K12" t="n">
        <v>0</v>
      </c>
      <c r="L12" t="n">
        <v>2</v>
      </c>
      <c r="M12" t="n">
        <v>1</v>
      </c>
      <c r="N12" t="n">
        <v>0</v>
      </c>
      <c r="O12" t="n">
        <v>0</v>
      </c>
      <c r="P12" t="n">
        <v>0</v>
      </c>
      <c r="Q12" t="n">
        <v>3</v>
      </c>
      <c r="R12" t="n">
        <v>1</v>
      </c>
      <c r="S12" t="n">
        <v>5</v>
      </c>
      <c r="T12" t="n">
        <v>9</v>
      </c>
      <c r="U12" t="n">
        <v>9</v>
      </c>
      <c r="V12" s="2" t="inlineStr">
        <is>
          <t>Violettkantad guldvinge
Mindre hackspett
Ängsmetallvinge
Gröngöling
Fläcknycklar</t>
        </is>
      </c>
      <c r="W12">
        <f>HYPERLINK("https://klasma.github.io/Logging_1780/artfynd/A 47561-2023 artfynd.xlsx", "A 47561-2023")</f>
        <v/>
      </c>
      <c r="X12">
        <f>HYPERLINK("https://klasma.github.io/Logging_1780/kartor/A 47561-2023 karta.png", "A 47561-2023")</f>
        <v/>
      </c>
      <c r="Y12">
        <f>HYPERLINK("https://klasma.github.io/Logging_1780/kartor_geotiff/A 47561-2023 georefererad karta.tif", "A 47561-2023")</f>
        <v/>
      </c>
      <c r="AA12">
        <f>HYPERLINK("https://klasma.github.io/Logging_1780/klagomål/A 47561-2023 FSC-klagomål.docx", "A 47561-2023")</f>
        <v/>
      </c>
      <c r="AB12">
        <f>HYPERLINK("https://klasma.github.io/Logging_1780/klagomålsmail/A 47561-2023 FSC-klagomål mail.docx", "A 47561-2023")</f>
        <v/>
      </c>
      <c r="AC12">
        <f>HYPERLINK("https://klasma.github.io/Logging_1780/tillsyn/A 47561-2023 tillsynsbegäran.docx", "A 47561-2023")</f>
        <v/>
      </c>
      <c r="AD12">
        <f>HYPERLINK("https://klasma.github.io/Logging_1780/tillsynsmail/A 47561-2023 tillsynsbegäran mail.docx", "A 47561-2023")</f>
        <v/>
      </c>
      <c r="AE12">
        <f>HYPERLINK("https://klasma.github.io/Logging_1780/fåglar/A 47561-2023 prioriterade fågelarter.docx", "A 47561-2023")</f>
        <v/>
      </c>
    </row>
    <row r="13" ht="15" customHeight="1">
      <c r="A13" t="inlineStr">
        <is>
          <t>A 23629-2026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46163</v>
      </c>
      <c r="E13" s="1" t="n">
        <v>46298</v>
      </c>
      <c r="F13" t="inlineStr">
        <is>
          <t>VÄRMLANDS LÄN</t>
        </is>
      </c>
      <c r="G13" t="inlineStr">
        <is>
          <t>KARLSTAD</t>
        </is>
      </c>
      <c r="I13" t="n">
        <v>4.7</v>
      </c>
      <c r="J13" t="n">
        <v>1</v>
      </c>
      <c r="K13" t="n">
        <v>3</v>
      </c>
      <c r="L13" t="n">
        <v>0</v>
      </c>
      <c r="M13" t="n">
        <v>0</v>
      </c>
      <c r="N13" t="n">
        <v>1</v>
      </c>
      <c r="O13" t="n">
        <v>0</v>
      </c>
      <c r="P13" t="n">
        <v>0</v>
      </c>
      <c r="Q13" t="n">
        <v>1</v>
      </c>
      <c r="R13" t="n">
        <v>1</v>
      </c>
      <c r="S13" t="n">
        <v>5</v>
      </c>
      <c r="T13" t="n">
        <v>5</v>
      </c>
      <c r="U13" t="n">
        <v>0</v>
      </c>
      <c r="V13" s="2" t="inlineStr">
        <is>
          <t>Ask
Fällmossa
Trubbfjädermossa
Trädporella
Lopplummer (aggregat)</t>
        </is>
      </c>
      <c r="W13">
        <f>HYPERLINK("https://klasma.github.io/Logging_1780/artfynd/A 23629-2026 artfynd.xlsx", "A 23629-2026")</f>
        <v/>
      </c>
      <c r="X13">
        <f>HYPERLINK("https://klasma.github.io/Logging_1780/kartor/A 23629-2026 karta.png", "A 23629-2026")</f>
        <v/>
      </c>
      <c r="Y13">
        <f>HYPERLINK("https://klasma.github.io/Logging_1780/kartor_geotiff/A 23629-2026 georefererad karta.tif", "A 23629-2026")</f>
        <v/>
      </c>
      <c r="AA13">
        <f>HYPERLINK("https://klasma.github.io/Logging_1780/klagomål/A 23629-2026 FSC-klagomål.docx", "A 23629-2026")</f>
        <v/>
      </c>
      <c r="AB13">
        <f>HYPERLINK("https://klasma.github.io/Logging_1780/klagomålsmail/A 23629-2026 FSC-klagomål mail.docx", "A 23629-2026")</f>
        <v/>
      </c>
      <c r="AC13">
        <f>HYPERLINK("https://klasma.github.io/Logging_1780/tillsyn/A 23629-2026 tillsynsbegäran.docx", "A 23629-2026")</f>
        <v/>
      </c>
      <c r="AD13">
        <f>HYPERLINK("https://klasma.github.io/Logging_1780/tillsynsmail/A 23629-2026 tillsynsbegäran mail.docx", "A 23629-2026")</f>
        <v/>
      </c>
    </row>
    <row r="14" ht="15" customHeight="1">
      <c r="A14" t="inlineStr">
        <is>
          <t>A 11927-2022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44635</v>
      </c>
      <c r="E14" s="1" t="n">
        <v>46298</v>
      </c>
      <c r="F14" t="inlineStr">
        <is>
          <t>VÄRMLANDS LÄN</t>
        </is>
      </c>
      <c r="G14" t="inlineStr">
        <is>
          <t>KARLSTAD</t>
        </is>
      </c>
      <c r="H14" t="inlineStr">
        <is>
          <t>Kommuner</t>
        </is>
      </c>
      <c r="I14" t="n">
        <v>12</v>
      </c>
      <c r="J14" t="n">
        <v>2</v>
      </c>
      <c r="K14" t="n">
        <v>2</v>
      </c>
      <c r="L14" t="n">
        <v>1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t="n">
        <v>0</v>
      </c>
      <c r="S14" t="n">
        <v>5</v>
      </c>
      <c r="T14" t="n">
        <v>6</v>
      </c>
      <c r="U14" t="n">
        <v>0</v>
      </c>
      <c r="V14" s="2" t="inlineStr">
        <is>
          <t>Ullticka
Barkticka
Kornig nållav
Åkergroda
Vanlig groda</t>
        </is>
      </c>
      <c r="W14">
        <f>HYPERLINK("https://klasma.github.io/Logging_1780/artfynd/A 11927-2022 artfynd.xlsx", "A 11927-2022")</f>
        <v/>
      </c>
      <c r="X14">
        <f>HYPERLINK("https://klasma.github.io/Logging_1780/kartor/A 11927-2022 karta.png", "A 11927-2022")</f>
        <v/>
      </c>
      <c r="Y14">
        <f>HYPERLINK("https://klasma.github.io/Logging_1780/kartor_geotiff/A 11927-2022 georefererad karta.tif", "A 11927-2022")</f>
        <v/>
      </c>
      <c r="AA14">
        <f>HYPERLINK("https://klasma.github.io/Logging_1780/klagomål/A 11927-2022 FSC-klagomål.docx", "A 11927-2022")</f>
        <v/>
      </c>
      <c r="AB14">
        <f>HYPERLINK("https://klasma.github.io/Logging_1780/klagomålsmail/A 11927-2022 FSC-klagomål mail.docx", "A 11927-2022")</f>
        <v/>
      </c>
      <c r="AC14">
        <f>HYPERLINK("https://klasma.github.io/Logging_1780/tillsyn/A 11927-2022 tillsynsbegäran.docx", "A 11927-2022")</f>
        <v/>
      </c>
      <c r="AD14">
        <f>HYPERLINK("https://klasma.github.io/Logging_1780/tillsynsmail/A 11927-2022 tillsynsbegäran mail.docx", "A 11927-2022")</f>
        <v/>
      </c>
    </row>
    <row r="15" ht="15" customHeight="1">
      <c r="A15" t="inlineStr">
        <is>
          <t>A 28267-2026</t>
        </is>
      </c>
      <c r="B15" t="inlineStr">
        <is>
          <t>avverkningsanmälan</t>
        </is>
      </c>
      <c r="C15" t="inlineStr">
        <is>
          <t>Avverkning för annat ändamål</t>
        </is>
      </c>
      <c r="D15" s="1" t="n">
        <v>46190</v>
      </c>
      <c r="E15" s="1" t="n">
        <v>46298</v>
      </c>
      <c r="F15" t="inlineStr">
        <is>
          <t>VÄRMLANDS LÄN</t>
        </is>
      </c>
      <c r="G15" t="inlineStr">
        <is>
          <t>KARLSTAD</t>
        </is>
      </c>
      <c r="H15" t="inlineStr">
        <is>
          <t>Kommuner</t>
        </is>
      </c>
      <c r="I15" t="n">
        <v>5.1</v>
      </c>
      <c r="J15" t="n">
        <v>0</v>
      </c>
      <c r="K15" t="n">
        <v>1</v>
      </c>
      <c r="L15" t="n">
        <v>4</v>
      </c>
      <c r="M15" t="n">
        <v>0</v>
      </c>
      <c r="N15" t="n">
        <v>0</v>
      </c>
      <c r="O15" t="n">
        <v>0</v>
      </c>
      <c r="P15" t="n">
        <v>0</v>
      </c>
      <c r="Q15" t="n">
        <v>4</v>
      </c>
      <c r="R15" t="n">
        <v>0</v>
      </c>
      <c r="S15" t="n">
        <v>5</v>
      </c>
      <c r="T15" t="n">
        <v>21</v>
      </c>
      <c r="U15" t="n">
        <v>0</v>
      </c>
      <c r="V15" s="2" t="inlineStr">
        <is>
          <t>Dropptaggsvamp
Motaggsvamp
Vaddporing
Vedskivlav
Mindre märgborre</t>
        </is>
      </c>
      <c r="W15">
        <f>HYPERLINK("https://klasma.github.io/Logging_1780/artfynd/A 28267-2026 artfynd.xlsx", "A 28267-2026")</f>
        <v/>
      </c>
      <c r="X15">
        <f>HYPERLINK("https://klasma.github.io/Logging_1780/kartor/A 28267-2026 karta.png", "A 28267-2026")</f>
        <v/>
      </c>
      <c r="Y15">
        <f>HYPERLINK("https://klasma.github.io/Logging_1780/kartor_geotiff/A 28267-2026 georefererad karta.tif", "A 28267-2026")</f>
        <v/>
      </c>
      <c r="AA15">
        <f>HYPERLINK("https://klasma.github.io/Logging_1780/klagomål/A 28267-2026 FSC-klagomål.docx", "A 28267-2026")</f>
        <v/>
      </c>
      <c r="AB15">
        <f>HYPERLINK("https://klasma.github.io/Logging_1780/klagomålsmail/A 28267-2026 FSC-klagomål mail.docx", "A 28267-2026")</f>
        <v/>
      </c>
      <c r="AC15">
        <f>HYPERLINK("https://klasma.github.io/Logging_1780/tillsyn/A 28267-2026 tillsynsbegäran.docx", "A 28267-2026")</f>
        <v/>
      </c>
      <c r="AD15">
        <f>HYPERLINK("https://klasma.github.io/Logging_1780/tillsynsmail/A 28267-2026 tillsynsbegäran mail.docx", "A 28267-2026")</f>
        <v/>
      </c>
    </row>
    <row r="16" ht="15" customHeight="1">
      <c r="A16" t="inlineStr">
        <is>
          <t>A 55256-2021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44475</v>
      </c>
      <c r="E16" s="1" t="n">
        <v>46298</v>
      </c>
      <c r="F16" t="inlineStr">
        <is>
          <t>VÄRMLANDS LÄN</t>
        </is>
      </c>
      <c r="G16" t="inlineStr">
        <is>
          <t>KARLSTAD</t>
        </is>
      </c>
      <c r="H16" t="inlineStr">
        <is>
          <t>Kommuner</t>
        </is>
      </c>
      <c r="I16" t="n">
        <v>3.9</v>
      </c>
      <c r="J16" t="n">
        <v>4</v>
      </c>
      <c r="K16" t="n">
        <v>0</v>
      </c>
      <c r="L16" t="n">
        <v>1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t="n">
        <v>0</v>
      </c>
      <c r="S16" t="n">
        <v>4</v>
      </c>
      <c r="T16" t="n">
        <v>4</v>
      </c>
      <c r="U16" t="n">
        <v>4</v>
      </c>
      <c r="V16" s="2" t="inlineStr">
        <is>
          <t>Mindre hackspett
Tjäder
Gröngöling
Kungsfågel</t>
        </is>
      </c>
      <c r="W16">
        <f>HYPERLINK("https://klasma.github.io/Logging_1780/artfynd/A 55256-2021 artfynd.xlsx", "A 55256-2021")</f>
        <v/>
      </c>
      <c r="X16">
        <f>HYPERLINK("https://klasma.github.io/Logging_1780/kartor/A 55256-2021 karta.png", "A 55256-2021")</f>
        <v/>
      </c>
      <c r="Y16">
        <f>HYPERLINK("https://klasma.github.io/Logging_1780/kartor_geotiff/A 55256-2021 georefererad karta.tif", "A 55256-2021")</f>
        <v/>
      </c>
      <c r="AA16">
        <f>HYPERLINK("https://klasma.github.io/Logging_1780/klagomål/A 55256-2021 FSC-klagomål.docx", "A 55256-2021")</f>
        <v/>
      </c>
      <c r="AB16">
        <f>HYPERLINK("https://klasma.github.io/Logging_1780/klagomålsmail/A 55256-2021 FSC-klagomål mail.docx", "A 55256-2021")</f>
        <v/>
      </c>
      <c r="AC16">
        <f>HYPERLINK("https://klasma.github.io/Logging_1780/tillsyn/A 55256-2021 tillsynsbegäran.docx", "A 55256-2021")</f>
        <v/>
      </c>
      <c r="AD16">
        <f>HYPERLINK("https://klasma.github.io/Logging_1780/tillsynsmail/A 55256-2021 tillsynsbegäran mail.docx", "A 55256-2021")</f>
        <v/>
      </c>
      <c r="AE16">
        <f>HYPERLINK("https://klasma.github.io/Logging_1780/fåglar/A 55256-2021 prioriterade fågelarter.docx", "A 55256-2021")</f>
        <v/>
      </c>
    </row>
    <row r="17" ht="15" customHeight="1">
      <c r="A17" t="inlineStr">
        <is>
          <t>A 55210-2021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44475</v>
      </c>
      <c r="E17" s="1" t="n">
        <v>46298</v>
      </c>
      <c r="F17" t="inlineStr">
        <is>
          <t>VÄRMLANDS LÄN</t>
        </is>
      </c>
      <c r="G17" t="inlineStr">
        <is>
          <t>KARLSTAD</t>
        </is>
      </c>
      <c r="H17" t="inlineStr">
        <is>
          <t>Kommuner</t>
        </is>
      </c>
      <c r="I17" t="n">
        <v>3.9</v>
      </c>
      <c r="J17" t="n">
        <v>1</v>
      </c>
      <c r="K17" t="n">
        <v>1</v>
      </c>
      <c r="L17" t="n">
        <v>2</v>
      </c>
      <c r="M17" t="n">
        <v>0</v>
      </c>
      <c r="N17" t="n">
        <v>0</v>
      </c>
      <c r="O17" t="n">
        <v>0</v>
      </c>
      <c r="P17" t="n">
        <v>0</v>
      </c>
      <c r="Q17" t="n">
        <v>2</v>
      </c>
      <c r="R17" t="n">
        <v>0</v>
      </c>
      <c r="S17" t="n">
        <v>4</v>
      </c>
      <c r="T17" t="n">
        <v>5</v>
      </c>
      <c r="U17" t="n">
        <v>3</v>
      </c>
      <c r="V17" s="2" t="inlineStr">
        <is>
          <t>Tallticka
Vitfläckig guldvinge
Mindre märgborre
Spillkråka</t>
        </is>
      </c>
      <c r="W17">
        <f>HYPERLINK("https://klasma.github.io/Logging_1780/artfynd/A 55210-2021 artfynd.xlsx", "A 55210-2021")</f>
        <v/>
      </c>
      <c r="X17">
        <f>HYPERLINK("https://klasma.github.io/Logging_1780/kartor/A 55210-2021 karta.png", "A 55210-2021")</f>
        <v/>
      </c>
      <c r="Y17">
        <f>HYPERLINK("https://klasma.github.io/Logging_1780/kartor_geotiff/A 55210-2021 georefererad karta.tif", "A 55210-2021")</f>
        <v/>
      </c>
      <c r="AA17">
        <f>HYPERLINK("https://klasma.github.io/Logging_1780/klagomål/A 55210-2021 FSC-klagomål.docx", "A 55210-2021")</f>
        <v/>
      </c>
      <c r="AB17">
        <f>HYPERLINK("https://klasma.github.io/Logging_1780/klagomålsmail/A 55210-2021 FSC-klagomål mail.docx", "A 55210-2021")</f>
        <v/>
      </c>
      <c r="AC17">
        <f>HYPERLINK("https://klasma.github.io/Logging_1780/tillsyn/A 55210-2021 tillsynsbegäran.docx", "A 55210-2021")</f>
        <v/>
      </c>
      <c r="AD17">
        <f>HYPERLINK("https://klasma.github.io/Logging_1780/tillsynsmail/A 55210-2021 tillsynsbegäran mail.docx", "A 55210-2021")</f>
        <v/>
      </c>
      <c r="AE17">
        <f>HYPERLINK("https://klasma.github.io/Logging_1780/fåglar/A 55210-2021 prioriterade fågelarter.docx", "A 55210-2021")</f>
        <v/>
      </c>
    </row>
    <row r="18" ht="15" customHeight="1">
      <c r="A18" t="inlineStr">
        <is>
          <t>A 28090-2026</t>
        </is>
      </c>
      <c r="B18" t="inlineStr">
        <is>
          <t>avverkningsanmälan</t>
        </is>
      </c>
      <c r="C18" t="inlineStr">
        <is>
          <t>Avverkning för att bevara och utveckla /försöksver</t>
        </is>
      </c>
      <c r="D18" s="1" t="n">
        <v>46195</v>
      </c>
      <c r="E18" s="1" t="n">
        <v>46298</v>
      </c>
      <c r="F18" t="inlineStr">
        <is>
          <t>VÄRMLANDS LÄN</t>
        </is>
      </c>
      <c r="G18" t="inlineStr">
        <is>
          <t>KARLSTAD</t>
        </is>
      </c>
      <c r="H18" t="inlineStr">
        <is>
          <t>Övriga statliga verk och myndigheter</t>
        </is>
      </c>
      <c r="I18" t="n">
        <v>3</v>
      </c>
      <c r="J18" t="n">
        <v>2</v>
      </c>
      <c r="K18" t="n">
        <v>2</v>
      </c>
      <c r="L18" t="n">
        <v>1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t="n">
        <v>0</v>
      </c>
      <c r="S18" t="n">
        <v>4</v>
      </c>
      <c r="T18" t="n">
        <v>4</v>
      </c>
      <c r="U18" t="n">
        <v>0</v>
      </c>
      <c r="V18" s="2" t="inlineStr">
        <is>
          <t>Tretåig hackspett
Bronshjon
Thomsons trägnagare
Fiskgjuse</t>
        </is>
      </c>
      <c r="W18">
        <f>HYPERLINK("https://klasma.github.io/Logging_1780/artfynd/A 28090-2026 artfynd.xlsx", "A 28090-2026")</f>
        <v/>
      </c>
      <c r="X18">
        <f>HYPERLINK("https://klasma.github.io/Logging_1780/kartor/A 28090-2026 karta.png", "A 28090-2026")</f>
        <v/>
      </c>
      <c r="Y18">
        <f>HYPERLINK("https://klasma.github.io/Logging_1780/kartor_geotiff/A 28090-2026 georefererad karta.tif", "A 28090-2026")</f>
        <v/>
      </c>
      <c r="AA18">
        <f>HYPERLINK("https://klasma.github.io/Logging_1780/klagomål/A 28090-2026 FSC-klagomål.docx", "A 28090-2026")</f>
        <v/>
      </c>
      <c r="AB18">
        <f>HYPERLINK("https://klasma.github.io/Logging_1780/klagomålsmail/A 28090-2026 FSC-klagomål mail.docx", "A 28090-2026")</f>
        <v/>
      </c>
      <c r="AC18">
        <f>HYPERLINK("https://klasma.github.io/Logging_1780/tillsyn/A 28090-2026 tillsynsbegäran.docx", "A 28090-2026")</f>
        <v/>
      </c>
      <c r="AD18">
        <f>HYPERLINK("https://klasma.github.io/Logging_1780/tillsynsmail/A 28090-2026 tillsynsbegäran mail.docx", "A 28090-2026")</f>
        <v/>
      </c>
      <c r="AE18">
        <f>HYPERLINK("https://klasma.github.io/Logging_1780/fåglar/A 28090-2026 prioriterade fågelarter.docx", "A 28090-2026")</f>
        <v/>
      </c>
    </row>
    <row r="19" ht="15" customHeight="1">
      <c r="A19" t="inlineStr">
        <is>
          <t>A 12633-2025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45733</v>
      </c>
      <c r="E19" s="1" t="n">
        <v>46298</v>
      </c>
      <c r="F19" t="inlineStr">
        <is>
          <t>VÄRMLANDS LÄN</t>
        </is>
      </c>
      <c r="G19" t="inlineStr">
        <is>
          <t>KARLSTAD</t>
        </is>
      </c>
      <c r="H19" t="inlineStr">
        <is>
          <t>Bergvik skog väst AB</t>
        </is>
      </c>
      <c r="I19" t="n">
        <v>9.1</v>
      </c>
      <c r="J19" t="n">
        <v>3</v>
      </c>
      <c r="K19" t="n">
        <v>3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4</v>
      </c>
      <c r="T19" t="n">
        <v>4</v>
      </c>
      <c r="U19" t="n">
        <v>4</v>
      </c>
      <c r="V19" s="2" t="inlineStr">
        <is>
          <t>Grön sköldmossa
Plattlummer
Stubbspretmossa
Mattlummer</t>
        </is>
      </c>
      <c r="W19">
        <f>HYPERLINK("https://klasma.github.io/Logging_1780/artfynd/A 12633-2025 artfynd.xlsx", "A 12633-2025")</f>
        <v/>
      </c>
      <c r="X19">
        <f>HYPERLINK("https://klasma.github.io/Logging_1780/kartor/A 12633-2025 karta.png", "A 12633-2025")</f>
        <v/>
      </c>
      <c r="Y19">
        <f>HYPERLINK("https://klasma.github.io/Logging_1780/kartor_geotiff/A 12633-2025 georefererad karta.tif", "A 12633-2025")</f>
        <v/>
      </c>
      <c r="AA19">
        <f>HYPERLINK("https://klasma.github.io/Logging_1780/klagomål/A 12633-2025 FSC-klagomål.docx", "A 12633-2025")</f>
        <v/>
      </c>
      <c r="AB19">
        <f>HYPERLINK("https://klasma.github.io/Logging_1780/klagomålsmail/A 12633-2025 FSC-klagomål mail.docx", "A 12633-2025")</f>
        <v/>
      </c>
      <c r="AC19">
        <f>HYPERLINK("https://klasma.github.io/Logging_1780/tillsyn/A 12633-2025 tillsynsbegäran.docx", "A 12633-2025")</f>
        <v/>
      </c>
      <c r="AD19">
        <f>HYPERLINK("https://klasma.github.io/Logging_1780/tillsynsmail/A 12633-2025 tillsynsbegäran mail.docx", "A 12633-2025")</f>
        <v/>
      </c>
    </row>
    <row r="20" ht="15" customHeight="1">
      <c r="A20" t="inlineStr">
        <is>
          <t>A 31151-2022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44770</v>
      </c>
      <c r="E20" s="1" t="n">
        <v>46298</v>
      </c>
      <c r="F20" t="inlineStr">
        <is>
          <t>VÄRMLANDS LÄN</t>
        </is>
      </c>
      <c r="G20" t="inlineStr">
        <is>
          <t>KARLSTAD</t>
        </is>
      </c>
      <c r="H20" t="inlineStr">
        <is>
          <t>Kommuner</t>
        </is>
      </c>
      <c r="I20" t="n">
        <v>7.8</v>
      </c>
      <c r="J20" t="n">
        <v>4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4</v>
      </c>
      <c r="T20" t="n">
        <v>10</v>
      </c>
      <c r="U20" t="n">
        <v>5</v>
      </c>
      <c r="V20" s="2" t="inlineStr">
        <is>
          <t>Mattlummer
Spillkråka
Åkergroda
Revlummer</t>
        </is>
      </c>
      <c r="W20">
        <f>HYPERLINK("https://klasma.github.io/Logging_1780/artfynd/A 31151-2022 artfynd.xlsx", "A 31151-2022")</f>
        <v/>
      </c>
      <c r="X20">
        <f>HYPERLINK("https://klasma.github.io/Logging_1780/kartor/A 31151-2022 karta.png", "A 31151-2022")</f>
        <v/>
      </c>
      <c r="Y20">
        <f>HYPERLINK("https://klasma.github.io/Logging_1780/kartor_geotiff/A 31151-2022 georefererad karta.tif", "A 31151-2022")</f>
        <v/>
      </c>
      <c r="AA20">
        <f>HYPERLINK("https://klasma.github.io/Logging_1780/klagomål/A 31151-2022 FSC-klagomål.docx", "A 31151-2022")</f>
        <v/>
      </c>
      <c r="AB20">
        <f>HYPERLINK("https://klasma.github.io/Logging_1780/klagomålsmail/A 31151-2022 FSC-klagomål mail.docx", "A 31151-2022")</f>
        <v/>
      </c>
      <c r="AC20">
        <f>HYPERLINK("https://klasma.github.io/Logging_1780/tillsyn/A 31151-2022 tillsynsbegäran.docx", "A 31151-2022")</f>
        <v/>
      </c>
      <c r="AD20">
        <f>HYPERLINK("https://klasma.github.io/Logging_1780/tillsynsmail/A 31151-2022 tillsynsbegäran mail.docx", "A 31151-2022")</f>
        <v/>
      </c>
      <c r="AE20">
        <f>HYPERLINK("https://klasma.github.io/Logging_1780/fåglar/A 31151-2022 prioriterade fågelarter.docx", "A 31151-2022")</f>
        <v/>
      </c>
    </row>
    <row r="21" ht="15" customHeight="1">
      <c r="A21" t="inlineStr">
        <is>
          <t>A 63593-2025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46013</v>
      </c>
      <c r="E21" s="1" t="n">
        <v>46298</v>
      </c>
      <c r="F21" t="inlineStr">
        <is>
          <t>VÄRMLANDS LÄN</t>
        </is>
      </c>
      <c r="G21" t="inlineStr">
        <is>
          <t>KARLSTAD</t>
        </is>
      </c>
      <c r="I21" t="n">
        <v>0.6</v>
      </c>
      <c r="J21" t="n">
        <v>3</v>
      </c>
      <c r="K21" t="n">
        <v>0</v>
      </c>
      <c r="L21" t="n">
        <v>0</v>
      </c>
      <c r="M21" t="n">
        <v>2</v>
      </c>
      <c r="N21" t="n">
        <v>0</v>
      </c>
      <c r="O21" t="n">
        <v>0</v>
      </c>
      <c r="P21" t="n">
        <v>0</v>
      </c>
      <c r="Q21" t="n">
        <v>2</v>
      </c>
      <c r="R21" t="n">
        <v>2</v>
      </c>
      <c r="S21" t="n">
        <v>3</v>
      </c>
      <c r="T21" t="n">
        <v>3</v>
      </c>
      <c r="U21" t="n">
        <v>0</v>
      </c>
      <c r="V21" s="2" t="inlineStr">
        <is>
          <t>Pilgrimsfalk
Tofsvipa
Fjällvråk</t>
        </is>
      </c>
      <c r="W21">
        <f>HYPERLINK("https://klasma.github.io/Logging_1780/artfynd/A 63593-2025 artfynd.xlsx", "A 63593-2025")</f>
        <v/>
      </c>
      <c r="X21">
        <f>HYPERLINK("https://klasma.github.io/Logging_1780/kartor/A 63593-2025 karta.png", "A 63593-2025")</f>
        <v/>
      </c>
      <c r="Y21">
        <f>HYPERLINK("https://klasma.github.io/Logging_1780/kartor_geotiff/A 63593-2025 georefererad karta.tif", "A 63593-2025")</f>
        <v/>
      </c>
      <c r="AA21">
        <f>HYPERLINK("https://klasma.github.io/Logging_1780/klagomål/A 63593-2025 FSC-klagomål.docx", "A 63593-2025")</f>
        <v/>
      </c>
      <c r="AB21">
        <f>HYPERLINK("https://klasma.github.io/Logging_1780/klagomålsmail/A 63593-2025 FSC-klagomål mail.docx", "A 63593-2025")</f>
        <v/>
      </c>
      <c r="AC21">
        <f>HYPERLINK("https://klasma.github.io/Logging_1780/tillsyn/A 63593-2025 tillsynsbegäran.docx", "A 63593-2025")</f>
        <v/>
      </c>
      <c r="AD21">
        <f>HYPERLINK("https://klasma.github.io/Logging_1780/tillsynsmail/A 63593-2025 tillsynsbegäran mail.docx", "A 63593-2025")</f>
        <v/>
      </c>
      <c r="AE21">
        <f>HYPERLINK("https://klasma.github.io/Logging_1780/fåglar/A 63593-2025 prioriterade fågelarter.docx", "A 63593-2025")</f>
        <v/>
      </c>
    </row>
    <row r="22" ht="15" customHeight="1">
      <c r="A22" t="inlineStr">
        <is>
          <t>A 11810-2024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45375</v>
      </c>
      <c r="E22" s="1" t="n">
        <v>46298</v>
      </c>
      <c r="F22" t="inlineStr">
        <is>
          <t>VÄRMLANDS LÄN</t>
        </is>
      </c>
      <c r="G22" t="inlineStr">
        <is>
          <t>KARLSTAD</t>
        </is>
      </c>
      <c r="I22" t="n">
        <v>4.3</v>
      </c>
      <c r="J22" t="n">
        <v>1</v>
      </c>
      <c r="K22" t="n">
        <v>2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3</v>
      </c>
      <c r="T22" t="n">
        <v>4</v>
      </c>
      <c r="U22" t="n">
        <v>0</v>
      </c>
      <c r="V22" s="2" t="inlineStr">
        <is>
          <t>Björksplintborre
Stubbspretmossa
Spillkråka</t>
        </is>
      </c>
      <c r="W22">
        <f>HYPERLINK("https://klasma.github.io/Logging_1780/artfynd/A 11810-2024 artfynd.xlsx", "A 11810-2024")</f>
        <v/>
      </c>
      <c r="X22">
        <f>HYPERLINK("https://klasma.github.io/Logging_1780/kartor/A 11810-2024 karta.png", "A 11810-2024")</f>
        <v/>
      </c>
      <c r="Y22">
        <f>HYPERLINK("https://klasma.github.io/Logging_1780/kartor_geotiff/A 11810-2024 georefererad karta.tif", "A 11810-2024")</f>
        <v/>
      </c>
      <c r="AA22">
        <f>HYPERLINK("https://klasma.github.io/Logging_1780/klagomål/A 11810-2024 FSC-klagomål.docx", "A 11810-2024")</f>
        <v/>
      </c>
      <c r="AB22">
        <f>HYPERLINK("https://klasma.github.io/Logging_1780/klagomålsmail/A 11810-2024 FSC-klagomål mail.docx", "A 11810-2024")</f>
        <v/>
      </c>
      <c r="AC22">
        <f>HYPERLINK("https://klasma.github.io/Logging_1780/tillsyn/A 11810-2024 tillsynsbegäran.docx", "A 11810-2024")</f>
        <v/>
      </c>
      <c r="AD22">
        <f>HYPERLINK("https://klasma.github.io/Logging_1780/tillsynsmail/A 11810-2024 tillsynsbegäran mail.docx", "A 11810-2024")</f>
        <v/>
      </c>
      <c r="AE22">
        <f>HYPERLINK("https://klasma.github.io/Logging_1780/fåglar/A 11810-2024 prioriterade fågelarter.docx", "A 11810-2024")</f>
        <v/>
      </c>
    </row>
    <row r="23" ht="15" customHeight="1">
      <c r="A23" t="inlineStr">
        <is>
          <t>A 57467-2025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45980</v>
      </c>
      <c r="E23" s="1" t="n">
        <v>46298</v>
      </c>
      <c r="F23" t="inlineStr">
        <is>
          <t>VÄRMLANDS LÄN</t>
        </is>
      </c>
      <c r="G23" t="inlineStr">
        <is>
          <t>KARLSTAD</t>
        </is>
      </c>
      <c r="I23" t="n">
        <v>2</v>
      </c>
      <c r="J23" t="n">
        <v>0</v>
      </c>
      <c r="K23" t="n">
        <v>1</v>
      </c>
      <c r="L23" t="n">
        <v>2</v>
      </c>
      <c r="M23" t="n">
        <v>0</v>
      </c>
      <c r="N23" t="n">
        <v>0</v>
      </c>
      <c r="O23" t="n">
        <v>0</v>
      </c>
      <c r="P23" t="n">
        <v>0</v>
      </c>
      <c r="Q23" t="n">
        <v>2</v>
      </c>
      <c r="R23" t="n">
        <v>0</v>
      </c>
      <c r="S23" t="n">
        <v>3</v>
      </c>
      <c r="T23" t="n">
        <v>4</v>
      </c>
      <c r="U23" t="n">
        <v>0</v>
      </c>
      <c r="V23" s="2" t="inlineStr">
        <is>
          <t>Ullticka
Vedtrappmossa
Vedticka</t>
        </is>
      </c>
      <c r="W23">
        <f>HYPERLINK("https://klasma.github.io/Logging_1780/artfynd/A 57467-2025 artfynd.xlsx", "A 57467-2025")</f>
        <v/>
      </c>
      <c r="X23">
        <f>HYPERLINK("https://klasma.github.io/Logging_1780/kartor/A 57467-2025 karta.png", "A 57467-2025")</f>
        <v/>
      </c>
      <c r="Y23">
        <f>HYPERLINK("https://klasma.github.io/Logging_1780/kartor_geotiff/A 57467-2025 georefererad karta.tif", "A 57467-2025")</f>
        <v/>
      </c>
      <c r="AA23">
        <f>HYPERLINK("https://klasma.github.io/Logging_1780/klagomål/A 57467-2025 FSC-klagomål.docx", "A 57467-2025")</f>
        <v/>
      </c>
      <c r="AB23">
        <f>HYPERLINK("https://klasma.github.io/Logging_1780/klagomålsmail/A 57467-2025 FSC-klagomål mail.docx", "A 57467-2025")</f>
        <v/>
      </c>
      <c r="AC23">
        <f>HYPERLINK("https://klasma.github.io/Logging_1780/tillsyn/A 57467-2025 tillsynsbegäran.docx", "A 57467-2025")</f>
        <v/>
      </c>
      <c r="AD23">
        <f>HYPERLINK("https://klasma.github.io/Logging_1780/tillsynsmail/A 57467-2025 tillsynsbegäran mail.docx", "A 57467-2025")</f>
        <v/>
      </c>
    </row>
    <row r="24" ht="15" customHeight="1">
      <c r="A24" t="inlineStr">
        <is>
          <t>A 47986-2025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45932</v>
      </c>
      <c r="E24" s="1" t="n">
        <v>46298</v>
      </c>
      <c r="F24" t="inlineStr">
        <is>
          <t>VÄRMLANDS LÄN</t>
        </is>
      </c>
      <c r="G24" t="inlineStr">
        <is>
          <t>KARLSTAD</t>
        </is>
      </c>
      <c r="I24" t="n">
        <v>2.2</v>
      </c>
      <c r="J24" t="n">
        <v>0</v>
      </c>
      <c r="K24" t="n">
        <v>0</v>
      </c>
      <c r="L24" t="n">
        <v>3</v>
      </c>
      <c r="M24" t="n">
        <v>0</v>
      </c>
      <c r="N24" t="n">
        <v>0</v>
      </c>
      <c r="O24" t="n">
        <v>0</v>
      </c>
      <c r="P24" t="n">
        <v>0</v>
      </c>
      <c r="Q24" t="n">
        <v>3</v>
      </c>
      <c r="R24" t="n">
        <v>0</v>
      </c>
      <c r="S24" t="n">
        <v>3</v>
      </c>
      <c r="T24" t="n">
        <v>3</v>
      </c>
      <c r="U24" t="n">
        <v>3</v>
      </c>
      <c r="V24" s="2" t="inlineStr">
        <is>
          <t>Gropticka
Kandelabersvamp
Motaggsvamp</t>
        </is>
      </c>
      <c r="W24">
        <f>HYPERLINK("https://klasma.github.io/Logging_1780/artfynd/A 47986-2025 artfynd.xlsx", "A 47986-2025")</f>
        <v/>
      </c>
      <c r="X24">
        <f>HYPERLINK("https://klasma.github.io/Logging_1780/kartor/A 47986-2025 karta.png", "A 47986-2025")</f>
        <v/>
      </c>
      <c r="Y24">
        <f>HYPERLINK("https://klasma.github.io/Logging_1780/kartor_geotiff/A 47986-2025 georefererad karta.tif", "A 47986-2025")</f>
        <v/>
      </c>
      <c r="AA24">
        <f>HYPERLINK("https://klasma.github.io/Logging_1780/klagomål/A 47986-2025 FSC-klagomål.docx", "A 47986-2025")</f>
        <v/>
      </c>
      <c r="AB24">
        <f>HYPERLINK("https://klasma.github.io/Logging_1780/klagomålsmail/A 47986-2025 FSC-klagomål mail.docx", "A 47986-2025")</f>
        <v/>
      </c>
      <c r="AC24">
        <f>HYPERLINK("https://klasma.github.io/Logging_1780/tillsyn/A 47986-2025 tillsynsbegäran.docx", "A 47986-2025")</f>
        <v/>
      </c>
      <c r="AD24">
        <f>HYPERLINK("https://klasma.github.io/Logging_1780/tillsynsmail/A 47986-2025 tillsynsbegäran mail.docx", "A 47986-2025")</f>
        <v/>
      </c>
    </row>
    <row r="25" ht="15" customHeight="1">
      <c r="A25" t="inlineStr">
        <is>
          <t>A 41534-2023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45175</v>
      </c>
      <c r="E25" s="1" t="n">
        <v>46298</v>
      </c>
      <c r="F25" t="inlineStr">
        <is>
          <t>VÄRMLANDS LÄN</t>
        </is>
      </c>
      <c r="G25" t="inlineStr">
        <is>
          <t>KARLSTAD</t>
        </is>
      </c>
      <c r="H25" t="inlineStr">
        <is>
          <t>Övriga Aktiebolag</t>
        </is>
      </c>
      <c r="I25" t="n">
        <v>1.3</v>
      </c>
      <c r="J25" t="n">
        <v>2</v>
      </c>
      <c r="K25" t="n">
        <v>0</v>
      </c>
      <c r="L25" t="n">
        <v>1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t="n">
        <v>0</v>
      </c>
      <c r="S25" t="n">
        <v>3</v>
      </c>
      <c r="T25" t="n">
        <v>6</v>
      </c>
      <c r="U25" t="n">
        <v>6</v>
      </c>
      <c r="V25" s="2" t="inlineStr">
        <is>
          <t>Motaggsvamp
Tjäder
Tofsmes</t>
        </is>
      </c>
      <c r="W25">
        <f>HYPERLINK("https://klasma.github.io/Logging_1780/artfynd/A 41534-2023 artfynd.xlsx", "A 41534-2023")</f>
        <v/>
      </c>
      <c r="X25">
        <f>HYPERLINK("https://klasma.github.io/Logging_1780/kartor/A 41534-2023 karta.png", "A 41534-2023")</f>
        <v/>
      </c>
      <c r="Y25">
        <f>HYPERLINK("https://klasma.github.io/Logging_1780/kartor_geotiff/A 41534-2023 georefererad karta.tif", "A 41534-2023")</f>
        <v/>
      </c>
      <c r="AA25">
        <f>HYPERLINK("https://klasma.github.io/Logging_1780/klagomål/A 41534-2023 FSC-klagomål.docx", "A 41534-2023")</f>
        <v/>
      </c>
      <c r="AB25">
        <f>HYPERLINK("https://klasma.github.io/Logging_1780/klagomålsmail/A 41534-2023 FSC-klagomål mail.docx", "A 41534-2023")</f>
        <v/>
      </c>
      <c r="AC25">
        <f>HYPERLINK("https://klasma.github.io/Logging_1780/tillsyn/A 41534-2023 tillsynsbegäran.docx", "A 41534-2023")</f>
        <v/>
      </c>
      <c r="AD25">
        <f>HYPERLINK("https://klasma.github.io/Logging_1780/tillsynsmail/A 41534-2023 tillsynsbegäran mail.docx", "A 41534-2023")</f>
        <v/>
      </c>
      <c r="AE25">
        <f>HYPERLINK("https://klasma.github.io/Logging_1780/fåglar/A 41534-2023 prioriterade fågelarter.docx", "A 41534-2023")</f>
        <v/>
      </c>
    </row>
    <row r="26" ht="15" customHeight="1">
      <c r="A26" t="inlineStr">
        <is>
          <t>A 27982-2026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46195</v>
      </c>
      <c r="E26" s="1" t="n">
        <v>46298</v>
      </c>
      <c r="F26" t="inlineStr">
        <is>
          <t>VÄRMLANDS LÄN</t>
        </is>
      </c>
      <c r="G26" t="inlineStr">
        <is>
          <t>KARLSTAD</t>
        </is>
      </c>
      <c r="I26" t="n">
        <v>2.1</v>
      </c>
      <c r="J26" t="n">
        <v>0</v>
      </c>
      <c r="K26" t="n">
        <v>2</v>
      </c>
      <c r="L26" t="n">
        <v>1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t="n">
        <v>0</v>
      </c>
      <c r="S26" t="n">
        <v>3</v>
      </c>
      <c r="T26" t="n">
        <v>3</v>
      </c>
      <c r="U26" t="n">
        <v>0</v>
      </c>
      <c r="V26" s="2" t="inlineStr">
        <is>
          <t>Gullpudra
Springkorn
Strutbräken</t>
        </is>
      </c>
      <c r="W26">
        <f>HYPERLINK("https://klasma.github.io/Logging_1780/artfynd/A 27982-2026 artfynd.xlsx", "A 27982-2026")</f>
        <v/>
      </c>
      <c r="X26">
        <f>HYPERLINK("https://klasma.github.io/Logging_1780/kartor/A 27982-2026 karta.png", "A 27982-2026")</f>
        <v/>
      </c>
      <c r="Y26">
        <f>HYPERLINK("https://klasma.github.io/Logging_1780/kartor_geotiff/A 27982-2026 georefererad karta.tif", "A 27982-2026")</f>
        <v/>
      </c>
      <c r="AA26">
        <f>HYPERLINK("https://klasma.github.io/Logging_1780/klagomål/A 27982-2026 FSC-klagomål.docx", "A 27982-2026")</f>
        <v/>
      </c>
      <c r="AB26">
        <f>HYPERLINK("https://klasma.github.io/Logging_1780/klagomålsmail/A 27982-2026 FSC-klagomål mail.docx", "A 27982-2026")</f>
        <v/>
      </c>
      <c r="AC26">
        <f>HYPERLINK("https://klasma.github.io/Logging_1780/tillsyn/A 27982-2026 tillsynsbegäran.docx", "A 27982-2026")</f>
        <v/>
      </c>
      <c r="AD26">
        <f>HYPERLINK("https://klasma.github.io/Logging_1780/tillsynsmail/A 27982-2026 tillsynsbegäran mail.docx", "A 27982-2026")</f>
        <v/>
      </c>
    </row>
    <row r="27" ht="15" customHeight="1">
      <c r="A27" t="inlineStr">
        <is>
          <t>A 14815-2023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45014</v>
      </c>
      <c r="E27" s="1" t="n">
        <v>46298</v>
      </c>
      <c r="F27" t="inlineStr">
        <is>
          <t>VÄRMLANDS LÄN</t>
        </is>
      </c>
      <c r="G27" t="inlineStr">
        <is>
          <t>KARLSTAD</t>
        </is>
      </c>
      <c r="H27" t="inlineStr">
        <is>
          <t>Kommuner</t>
        </is>
      </c>
      <c r="I27" t="n">
        <v>5.4</v>
      </c>
      <c r="J27" t="n">
        <v>0</v>
      </c>
      <c r="K27" t="n">
        <v>2</v>
      </c>
      <c r="L27" t="n">
        <v>1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t="n">
        <v>0</v>
      </c>
      <c r="S27" t="n">
        <v>3</v>
      </c>
      <c r="T27" t="n">
        <v>3</v>
      </c>
      <c r="U27" t="n">
        <v>0</v>
      </c>
      <c r="V27" s="2" t="inlineStr">
        <is>
          <t>Vaddporing
Rödgul trumpetsvamp
Vågbandad barkbock</t>
        </is>
      </c>
      <c r="W27">
        <f>HYPERLINK("https://klasma.github.io/Logging_1780/artfynd/A 14815-2023 artfynd.xlsx", "A 14815-2023")</f>
        <v/>
      </c>
      <c r="X27">
        <f>HYPERLINK("https://klasma.github.io/Logging_1780/kartor/A 14815-2023 karta.png", "A 14815-2023")</f>
        <v/>
      </c>
      <c r="Y27">
        <f>HYPERLINK("https://klasma.github.io/Logging_1780/kartor_geotiff/A 14815-2023 georefererad karta.tif", "A 14815-2023")</f>
        <v/>
      </c>
      <c r="AA27">
        <f>HYPERLINK("https://klasma.github.io/Logging_1780/klagomål/A 14815-2023 FSC-klagomål.docx", "A 14815-2023")</f>
        <v/>
      </c>
      <c r="AB27">
        <f>HYPERLINK("https://klasma.github.io/Logging_1780/klagomålsmail/A 14815-2023 FSC-klagomål mail.docx", "A 14815-2023")</f>
        <v/>
      </c>
      <c r="AC27">
        <f>HYPERLINK("https://klasma.github.io/Logging_1780/tillsyn/A 14815-2023 tillsynsbegäran.docx", "A 14815-2023")</f>
        <v/>
      </c>
      <c r="AD27">
        <f>HYPERLINK("https://klasma.github.io/Logging_1780/tillsynsmail/A 14815-2023 tillsynsbegäran mail.docx", "A 14815-2023")</f>
        <v/>
      </c>
    </row>
    <row r="28" ht="15" customHeight="1">
      <c r="A28" t="inlineStr">
        <is>
          <t>S 2300-2024</t>
        </is>
      </c>
      <c r="B28" t="inlineStr">
        <is>
          <t>samrådsanmälan</t>
        </is>
      </c>
      <c r="C28" t="inlineStr">
        <is>
          <t>Askåterföring</t>
        </is>
      </c>
      <c r="D28" s="1" t="n">
        <v>45463</v>
      </c>
      <c r="E28" s="1" t="n">
        <v>46298</v>
      </c>
      <c r="F28" t="inlineStr">
        <is>
          <t>VÄRMLANDS LÄN</t>
        </is>
      </c>
      <c r="G28" t="inlineStr">
        <is>
          <t>KARLSTAD</t>
        </is>
      </c>
      <c r="I28" t="n">
        <v>87.7</v>
      </c>
      <c r="J28" t="n">
        <v>1</v>
      </c>
      <c r="K28" t="n">
        <v>1</v>
      </c>
      <c r="L28" t="n">
        <v>1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t="n">
        <v>0</v>
      </c>
      <c r="S28" t="n">
        <v>3</v>
      </c>
      <c r="T28" t="n">
        <v>5</v>
      </c>
      <c r="U28" t="n">
        <v>1</v>
      </c>
      <c r="V28" s="2" t="inlineStr">
        <is>
          <t>Skogsklocka
Bårdlav
Nattviol</t>
        </is>
      </c>
      <c r="W28">
        <f>HYPERLINK("https://klasma.github.io/Logging_1780/artfynd/S 2300-2024 artfynd.xlsx", "S 2300-2024")</f>
        <v/>
      </c>
      <c r="X28">
        <f>HYPERLINK("https://klasma.github.io/Logging_1780/kartor/S 2300-2024 karta.png", "S 2300-2024")</f>
        <v/>
      </c>
      <c r="Y28">
        <f>HYPERLINK("https://klasma.github.io/Logging_1780/kartor_geotiff/S 2300-2024 georefererad karta.tif", "S 2300-2024")</f>
        <v/>
      </c>
      <c r="AA28">
        <f>HYPERLINK("https://klasma.github.io/Logging_1780/klagomål/S 2300-2024 FSC-klagomål.docx", "S 2300-2024")</f>
        <v/>
      </c>
      <c r="AB28">
        <f>HYPERLINK("https://klasma.github.io/Logging_1780/klagomålsmail/S 2300-2024 FSC-klagomål mail.docx", "S 2300-2024")</f>
        <v/>
      </c>
      <c r="AC28">
        <f>HYPERLINK("https://klasma.github.io/Logging_1780/tillsyn/S 2300-2024 tillsynsbegäran.docx", "S 2300-2024")</f>
        <v/>
      </c>
      <c r="AD28">
        <f>HYPERLINK("https://klasma.github.io/Logging_1780/tillsynsmail/S 2300-2024 tillsynsbegäran mail.docx", "S 2300-2024")</f>
        <v/>
      </c>
    </row>
    <row r="29" ht="15" customHeight="1">
      <c r="A29" t="inlineStr">
        <is>
          <t>A 13548-2022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44648</v>
      </c>
      <c r="E29" s="1" t="n">
        <v>46298</v>
      </c>
      <c r="F29" t="inlineStr">
        <is>
          <t>VÄRMLANDS LÄN</t>
        </is>
      </c>
      <c r="G29" t="inlineStr">
        <is>
          <t>KARLSTAD</t>
        </is>
      </c>
      <c r="H29" t="inlineStr">
        <is>
          <t>Bergvik skog väst AB</t>
        </is>
      </c>
      <c r="I29" t="n">
        <v>15.9</v>
      </c>
      <c r="J29" t="n">
        <v>1</v>
      </c>
      <c r="K29" t="n">
        <v>0</v>
      </c>
      <c r="L29" t="n">
        <v>1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t="n">
        <v>0</v>
      </c>
      <c r="S29" t="n">
        <v>2</v>
      </c>
      <c r="T29" t="n">
        <v>2</v>
      </c>
      <c r="U29" t="n">
        <v>1</v>
      </c>
      <c r="V29" s="2" t="inlineStr">
        <is>
          <t>Motaggsvamp
Tjäder</t>
        </is>
      </c>
      <c r="W29">
        <f>HYPERLINK("https://klasma.github.io/Logging_1780/artfynd/A 13548-2022 artfynd.xlsx", "A 13548-2022")</f>
        <v/>
      </c>
      <c r="X29">
        <f>HYPERLINK("https://klasma.github.io/Logging_1780/kartor/A 13548-2022 karta.png", "A 13548-2022")</f>
        <v/>
      </c>
      <c r="Y29">
        <f>HYPERLINK("https://klasma.github.io/Logging_1780/kartor_geotiff/A 13548-2022 georefererad karta.tif", "A 13548-2022")</f>
        <v/>
      </c>
      <c r="AA29">
        <f>HYPERLINK("https://klasma.github.io/Logging_1780/klagomål/A 13548-2022 FSC-klagomål.docx", "A 13548-2022")</f>
        <v/>
      </c>
      <c r="AB29">
        <f>HYPERLINK("https://klasma.github.io/Logging_1780/klagomålsmail/A 13548-2022 FSC-klagomål mail.docx", "A 13548-2022")</f>
        <v/>
      </c>
      <c r="AC29">
        <f>HYPERLINK("https://klasma.github.io/Logging_1780/tillsyn/A 13548-2022 tillsynsbegäran.docx", "A 13548-2022")</f>
        <v/>
      </c>
      <c r="AD29">
        <f>HYPERLINK("https://klasma.github.io/Logging_1780/tillsynsmail/A 13548-2022 tillsynsbegäran mail.docx", "A 13548-2022")</f>
        <v/>
      </c>
      <c r="AE29">
        <f>HYPERLINK("https://klasma.github.io/Logging_1780/fåglar/A 13548-2022 prioriterade fågelarter.docx", "A 13548-2022")</f>
        <v/>
      </c>
    </row>
    <row r="30" ht="15" customHeight="1">
      <c r="A30" t="inlineStr">
        <is>
          <t>A 54439-2022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44882</v>
      </c>
      <c r="E30" s="1" t="n">
        <v>46298</v>
      </c>
      <c r="F30" t="inlineStr">
        <is>
          <t>VÄRMLANDS LÄN</t>
        </is>
      </c>
      <c r="G30" t="inlineStr">
        <is>
          <t>KARLSTAD</t>
        </is>
      </c>
      <c r="H30" t="inlineStr">
        <is>
          <t>Kommuner</t>
        </is>
      </c>
      <c r="I30" t="n">
        <v>0.5</v>
      </c>
      <c r="J30" t="n">
        <v>2</v>
      </c>
      <c r="K30" t="n">
        <v>0</v>
      </c>
      <c r="L30" t="n">
        <v>0</v>
      </c>
      <c r="M30" t="n">
        <v>1</v>
      </c>
      <c r="N30" t="n">
        <v>0</v>
      </c>
      <c r="O30" t="n">
        <v>0</v>
      </c>
      <c r="P30" t="n">
        <v>0</v>
      </c>
      <c r="Q30" t="n">
        <v>1</v>
      </c>
      <c r="R30" t="n">
        <v>1</v>
      </c>
      <c r="S30" t="n">
        <v>2</v>
      </c>
      <c r="T30" t="n">
        <v>2</v>
      </c>
      <c r="U30" t="n">
        <v>2</v>
      </c>
      <c r="V30" s="2" t="inlineStr">
        <is>
          <t>Brun gräsfjäril
Fläcknycklar</t>
        </is>
      </c>
      <c r="W30">
        <f>HYPERLINK("https://klasma.github.io/Logging_1780/artfynd/A 54439-2022 artfynd.xlsx", "A 54439-2022")</f>
        <v/>
      </c>
      <c r="X30">
        <f>HYPERLINK("https://klasma.github.io/Logging_1780/kartor/A 54439-2022 karta.png", "A 54439-2022")</f>
        <v/>
      </c>
      <c r="Y30">
        <f>HYPERLINK("https://klasma.github.io/Logging_1780/kartor_geotiff/A 54439-2022 georefererad karta.tif", "A 54439-2022")</f>
        <v/>
      </c>
      <c r="AA30">
        <f>HYPERLINK("https://klasma.github.io/Logging_1780/klagomål/A 54439-2022 FSC-klagomål.docx", "A 54439-2022")</f>
        <v/>
      </c>
      <c r="AB30">
        <f>HYPERLINK("https://klasma.github.io/Logging_1780/klagomålsmail/A 54439-2022 FSC-klagomål mail.docx", "A 54439-2022")</f>
        <v/>
      </c>
      <c r="AC30">
        <f>HYPERLINK("https://klasma.github.io/Logging_1780/tillsyn/A 54439-2022 tillsynsbegäran.docx", "A 54439-2022")</f>
        <v/>
      </c>
      <c r="AD30">
        <f>HYPERLINK("https://klasma.github.io/Logging_1780/tillsynsmail/A 54439-2022 tillsynsbegäran mail.docx", "A 54439-2022")</f>
        <v/>
      </c>
    </row>
    <row r="31" ht="15" customHeight="1">
      <c r="A31" t="inlineStr">
        <is>
          <t>A 37299-2022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44808</v>
      </c>
      <c r="E31" s="1" t="n">
        <v>46298</v>
      </c>
      <c r="F31" t="inlineStr">
        <is>
          <t>VÄRMLANDS LÄN</t>
        </is>
      </c>
      <c r="G31" t="inlineStr">
        <is>
          <t>KARLSTAD</t>
        </is>
      </c>
      <c r="I31" t="n">
        <v>14</v>
      </c>
      <c r="J31" t="n">
        <v>2</v>
      </c>
      <c r="K31" t="n">
        <v>0</v>
      </c>
      <c r="L31" t="n">
        <v>2</v>
      </c>
      <c r="M31" t="n">
        <v>0</v>
      </c>
      <c r="N31" t="n">
        <v>0</v>
      </c>
      <c r="O31" t="n">
        <v>0</v>
      </c>
      <c r="P31" t="n">
        <v>0</v>
      </c>
      <c r="Q31" t="n">
        <v>2</v>
      </c>
      <c r="R31" t="n">
        <v>0</v>
      </c>
      <c r="S31" t="n">
        <v>2</v>
      </c>
      <c r="T31" t="n">
        <v>2</v>
      </c>
      <c r="U31" t="n">
        <v>1</v>
      </c>
      <c r="V31" s="2" t="inlineStr">
        <is>
          <t>Nötkråka
Talltita</t>
        </is>
      </c>
      <c r="W31">
        <f>HYPERLINK("https://klasma.github.io/Logging_1780/artfynd/A 37299-2022 artfynd.xlsx", "A 37299-2022")</f>
        <v/>
      </c>
      <c r="X31">
        <f>HYPERLINK("https://klasma.github.io/Logging_1780/kartor/A 37299-2022 karta.png", "A 37299-2022")</f>
        <v/>
      </c>
      <c r="Y31">
        <f>HYPERLINK("https://klasma.github.io/Logging_1780/kartor_geotiff/A 37299-2022 georefererad karta.tif", "A 37299-2022")</f>
        <v/>
      </c>
      <c r="AA31">
        <f>HYPERLINK("https://klasma.github.io/Logging_1780/klagomål/A 37299-2022 FSC-klagomål.docx", "A 37299-2022")</f>
        <v/>
      </c>
      <c r="AB31">
        <f>HYPERLINK("https://klasma.github.io/Logging_1780/klagomålsmail/A 37299-2022 FSC-klagomål mail.docx", "A 37299-2022")</f>
        <v/>
      </c>
      <c r="AC31">
        <f>HYPERLINK("https://klasma.github.io/Logging_1780/tillsyn/A 37299-2022 tillsynsbegäran.docx", "A 37299-2022")</f>
        <v/>
      </c>
      <c r="AD31">
        <f>HYPERLINK("https://klasma.github.io/Logging_1780/tillsynsmail/A 37299-2022 tillsynsbegäran mail.docx", "A 37299-2022")</f>
        <v/>
      </c>
      <c r="AE31">
        <f>HYPERLINK("https://klasma.github.io/Logging_1780/fåglar/A 37299-2022 prioriterade fågelarter.docx", "A 37299-2022")</f>
        <v/>
      </c>
    </row>
    <row r="32" ht="15" customHeight="1">
      <c r="A32" t="inlineStr">
        <is>
          <t>A 53155-2022</t>
        </is>
      </c>
      <c r="B32" t="inlineStr">
        <is>
          <t>avverkningsanmälan</t>
        </is>
      </c>
      <c r="C32" t="inlineStr">
        <is>
          <t>Avverkning för annat ändamål</t>
        </is>
      </c>
      <c r="D32" s="1" t="n">
        <v>44876</v>
      </c>
      <c r="E32" s="1" t="n">
        <v>46298</v>
      </c>
      <c r="F32" t="inlineStr">
        <is>
          <t>VÄRMLANDS LÄN</t>
        </is>
      </c>
      <c r="G32" t="inlineStr">
        <is>
          <t>KARLSTAD</t>
        </is>
      </c>
      <c r="I32" t="n">
        <v>32.8</v>
      </c>
      <c r="J32" t="n">
        <v>2</v>
      </c>
      <c r="K32" t="n">
        <v>0</v>
      </c>
      <c r="L32" t="n">
        <v>1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t="n">
        <v>0</v>
      </c>
      <c r="S32" t="n">
        <v>2</v>
      </c>
      <c r="T32" t="n">
        <v>3</v>
      </c>
      <c r="U32" t="n">
        <v>2</v>
      </c>
      <c r="V32" s="2" t="inlineStr">
        <is>
          <t>Gulsparv
Trana</t>
        </is>
      </c>
      <c r="W32">
        <f>HYPERLINK("https://klasma.github.io/Logging_1780/artfynd/A 53155-2022 artfynd.xlsx", "A 53155-2022")</f>
        <v/>
      </c>
      <c r="X32">
        <f>HYPERLINK("https://klasma.github.io/Logging_1780/kartor/A 53155-2022 karta.png", "A 53155-2022")</f>
        <v/>
      </c>
      <c r="Y32">
        <f>HYPERLINK("https://klasma.github.io/Logging_1780/kartor_geotiff/A 53155-2022 georefererad karta.tif", "A 53155-2022")</f>
        <v/>
      </c>
      <c r="AA32">
        <f>HYPERLINK("https://klasma.github.io/Logging_1780/klagomål/A 53155-2022 FSC-klagomål.docx", "A 53155-2022")</f>
        <v/>
      </c>
      <c r="AB32">
        <f>HYPERLINK("https://klasma.github.io/Logging_1780/klagomålsmail/A 53155-2022 FSC-klagomål mail.docx", "A 53155-2022")</f>
        <v/>
      </c>
      <c r="AC32">
        <f>HYPERLINK("https://klasma.github.io/Logging_1780/tillsyn/A 53155-2022 tillsynsbegäran.docx", "A 53155-2022")</f>
        <v/>
      </c>
      <c r="AD32">
        <f>HYPERLINK("https://klasma.github.io/Logging_1780/tillsynsmail/A 53155-2022 tillsynsbegäran mail.docx", "A 53155-2022")</f>
        <v/>
      </c>
      <c r="AE32">
        <f>HYPERLINK("https://klasma.github.io/Logging_1780/fåglar/A 53155-2022 prioriterade fågelarter.docx", "A 53155-2022")</f>
        <v/>
      </c>
    </row>
    <row r="33" ht="15" customHeight="1">
      <c r="A33" t="inlineStr">
        <is>
          <t>A 57145-2024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45629</v>
      </c>
      <c r="E33" s="1" t="n">
        <v>46298</v>
      </c>
      <c r="F33" t="inlineStr">
        <is>
          <t>VÄRMLANDS LÄN</t>
        </is>
      </c>
      <c r="G33" t="inlineStr">
        <is>
          <t>KARLSTAD</t>
        </is>
      </c>
      <c r="I33" t="n">
        <v>16.5</v>
      </c>
      <c r="J33" t="n">
        <v>1</v>
      </c>
      <c r="K33" t="n">
        <v>1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2</v>
      </c>
      <c r="T33" t="n">
        <v>3</v>
      </c>
      <c r="U33" t="n">
        <v>3</v>
      </c>
      <c r="V33" s="2" t="inlineStr">
        <is>
          <t>Bårdlav
Blåsippa</t>
        </is>
      </c>
      <c r="W33">
        <f>HYPERLINK("https://klasma.github.io/Logging_1780/artfynd/A 57145-2024 artfynd.xlsx", "A 57145-2024")</f>
        <v/>
      </c>
      <c r="X33">
        <f>HYPERLINK("https://klasma.github.io/Logging_1780/kartor/A 57145-2024 karta.png", "A 57145-2024")</f>
        <v/>
      </c>
      <c r="Y33">
        <f>HYPERLINK("https://klasma.github.io/Logging_1780/kartor_geotiff/A 57145-2024 georefererad karta.tif", "A 57145-2024")</f>
        <v/>
      </c>
      <c r="AA33">
        <f>HYPERLINK("https://klasma.github.io/Logging_1780/klagomål/A 57145-2024 FSC-klagomål.docx", "A 57145-2024")</f>
        <v/>
      </c>
      <c r="AB33">
        <f>HYPERLINK("https://klasma.github.io/Logging_1780/klagomålsmail/A 57145-2024 FSC-klagomål mail.docx", "A 57145-2024")</f>
        <v/>
      </c>
      <c r="AC33">
        <f>HYPERLINK("https://klasma.github.io/Logging_1780/tillsyn/A 57145-2024 tillsynsbegäran.docx", "A 57145-2024")</f>
        <v/>
      </c>
      <c r="AD33">
        <f>HYPERLINK("https://klasma.github.io/Logging_1780/tillsynsmail/A 57145-2024 tillsynsbegäran mail.docx", "A 57145-2024")</f>
        <v/>
      </c>
    </row>
    <row r="34" ht="15" customHeight="1">
      <c r="A34" t="inlineStr">
        <is>
          <t>A 47105-2025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45929</v>
      </c>
      <c r="E34" s="1" t="n">
        <v>46298</v>
      </c>
      <c r="F34" t="inlineStr">
        <is>
          <t>VÄRMLANDS LÄN</t>
        </is>
      </c>
      <c r="G34" t="inlineStr">
        <is>
          <t>KARLSTAD</t>
        </is>
      </c>
      <c r="I34" t="n">
        <v>0.5</v>
      </c>
      <c r="J34" t="n">
        <v>1</v>
      </c>
      <c r="K34" t="n">
        <v>0</v>
      </c>
      <c r="L34" t="n">
        <v>0</v>
      </c>
      <c r="M34" t="n">
        <v>0</v>
      </c>
      <c r="N34" t="n">
        <v>1</v>
      </c>
      <c r="O34" t="n">
        <v>0</v>
      </c>
      <c r="P34" t="n">
        <v>0</v>
      </c>
      <c r="Q34" t="n">
        <v>1</v>
      </c>
      <c r="R34" t="n">
        <v>1</v>
      </c>
      <c r="S34" t="n">
        <v>2</v>
      </c>
      <c r="T34" t="n">
        <v>2</v>
      </c>
      <c r="U34" t="n">
        <v>0</v>
      </c>
      <c r="V34" s="2" t="inlineStr">
        <is>
          <t>Ask
Gullviva</t>
        </is>
      </c>
      <c r="W34">
        <f>HYPERLINK("https://klasma.github.io/Logging_1780/artfynd/A 47105-2025 artfynd.xlsx", "A 47105-2025")</f>
        <v/>
      </c>
      <c r="X34">
        <f>HYPERLINK("https://klasma.github.io/Logging_1780/kartor/A 47105-2025 karta.png", "A 47105-2025")</f>
        <v/>
      </c>
      <c r="Y34">
        <f>HYPERLINK("https://klasma.github.io/Logging_1780/kartor_geotiff/A 47105-2025 georefererad karta.tif", "A 47105-2025")</f>
        <v/>
      </c>
      <c r="AA34">
        <f>HYPERLINK("https://klasma.github.io/Logging_1780/klagomål/A 47105-2025 FSC-klagomål.docx", "A 47105-2025")</f>
        <v/>
      </c>
      <c r="AB34">
        <f>HYPERLINK("https://klasma.github.io/Logging_1780/klagomålsmail/A 47105-2025 FSC-klagomål mail.docx", "A 47105-2025")</f>
        <v/>
      </c>
      <c r="AC34">
        <f>HYPERLINK("https://klasma.github.io/Logging_1780/tillsyn/A 47105-2025 tillsynsbegäran.docx", "A 47105-2025")</f>
        <v/>
      </c>
      <c r="AD34">
        <f>HYPERLINK("https://klasma.github.io/Logging_1780/tillsynsmail/A 47105-2025 tillsynsbegäran mail.docx", "A 47105-2025")</f>
        <v/>
      </c>
    </row>
    <row r="35" ht="15" customHeight="1">
      <c r="A35" t="inlineStr">
        <is>
          <t>A 9023-2026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46069</v>
      </c>
      <c r="E35" s="1" t="n">
        <v>46298</v>
      </c>
      <c r="F35" t="inlineStr">
        <is>
          <t>VÄRMLANDS LÄN</t>
        </is>
      </c>
      <c r="G35" t="inlineStr">
        <is>
          <t>KARLSTAD</t>
        </is>
      </c>
      <c r="I35" t="n">
        <v>2.3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2</v>
      </c>
      <c r="T35" t="n">
        <v>2</v>
      </c>
      <c r="U35" t="n">
        <v>2</v>
      </c>
      <c r="V35" s="2" t="inlineStr">
        <is>
          <t>Linnea
Revlummer</t>
        </is>
      </c>
      <c r="W35">
        <f>HYPERLINK("https://klasma.github.io/Logging_1780/artfynd/A 9023-2026 artfynd.xlsx", "A 9023-2026")</f>
        <v/>
      </c>
      <c r="X35">
        <f>HYPERLINK("https://klasma.github.io/Logging_1780/kartor/A 9023-2026 karta.png", "A 9023-2026")</f>
        <v/>
      </c>
      <c r="Y35">
        <f>HYPERLINK("https://klasma.github.io/Logging_1780/kartor_geotiff/A 9023-2026 georefererad karta.tif", "A 9023-2026")</f>
        <v/>
      </c>
      <c r="AA35">
        <f>HYPERLINK("https://klasma.github.io/Logging_1780/klagomål/A 9023-2026 FSC-klagomål.docx", "A 9023-2026")</f>
        <v/>
      </c>
      <c r="AB35">
        <f>HYPERLINK("https://klasma.github.io/Logging_1780/klagomålsmail/A 9023-2026 FSC-klagomål mail.docx", "A 9023-2026")</f>
        <v/>
      </c>
      <c r="AC35">
        <f>HYPERLINK("https://klasma.github.io/Logging_1780/tillsyn/A 9023-2026 tillsynsbegäran.docx", "A 9023-2026")</f>
        <v/>
      </c>
      <c r="AD35">
        <f>HYPERLINK("https://klasma.github.io/Logging_1780/tillsynsmail/A 9023-2026 tillsynsbegäran mail.docx", "A 9023-2026")</f>
        <v/>
      </c>
    </row>
    <row r="36" ht="15" customHeight="1">
      <c r="A36" t="inlineStr">
        <is>
          <t>A 25097-2025</t>
        </is>
      </c>
      <c r="B36" t="inlineStr">
        <is>
          <t>avverkningsanmälan</t>
        </is>
      </c>
      <c r="C36" t="inlineStr">
        <is>
          <t>Avverkning för annat ändamål</t>
        </is>
      </c>
      <c r="D36" s="1" t="n">
        <v>45798</v>
      </c>
      <c r="E36" s="1" t="n">
        <v>46298</v>
      </c>
      <c r="F36" t="inlineStr">
        <is>
          <t>VÄRMLANDS LÄN</t>
        </is>
      </c>
      <c r="G36" t="inlineStr">
        <is>
          <t>KARLSTAD</t>
        </is>
      </c>
      <c r="H36" t="inlineStr">
        <is>
          <t>Kommuner</t>
        </is>
      </c>
      <c r="I36" t="n">
        <v>1.2</v>
      </c>
      <c r="J36" t="n">
        <v>0</v>
      </c>
      <c r="K36" t="n">
        <v>0</v>
      </c>
      <c r="L36" t="n">
        <v>2</v>
      </c>
      <c r="M36" t="n">
        <v>0</v>
      </c>
      <c r="N36" t="n">
        <v>0</v>
      </c>
      <c r="O36" t="n">
        <v>0</v>
      </c>
      <c r="P36" t="n">
        <v>0</v>
      </c>
      <c r="Q36" t="n">
        <v>2</v>
      </c>
      <c r="R36" t="n">
        <v>0</v>
      </c>
      <c r="S36" t="n">
        <v>2</v>
      </c>
      <c r="T36" t="n">
        <v>2</v>
      </c>
      <c r="U36" t="n">
        <v>2</v>
      </c>
      <c r="V36" s="2" t="inlineStr">
        <is>
          <t>Kandelabersvamp
Vågticka</t>
        </is>
      </c>
      <c r="W36">
        <f>HYPERLINK("https://klasma.github.io/Logging_1780/artfynd/A 25097-2025 artfynd.xlsx", "A 25097-2025")</f>
        <v/>
      </c>
      <c r="X36">
        <f>HYPERLINK("https://klasma.github.io/Logging_1780/kartor/A 25097-2025 karta.png", "A 25097-2025")</f>
        <v/>
      </c>
      <c r="Y36">
        <f>HYPERLINK("https://klasma.github.io/Logging_1780/kartor_geotiff/A 25097-2025 georefererad karta.tif", "A 25097-2025")</f>
        <v/>
      </c>
      <c r="AA36">
        <f>HYPERLINK("https://klasma.github.io/Logging_1780/klagomål/A 25097-2025 FSC-klagomål.docx", "A 25097-2025")</f>
        <v/>
      </c>
      <c r="AB36">
        <f>HYPERLINK("https://klasma.github.io/Logging_1780/klagomålsmail/A 25097-2025 FSC-klagomål mail.docx", "A 25097-2025")</f>
        <v/>
      </c>
      <c r="AC36">
        <f>HYPERLINK("https://klasma.github.io/Logging_1780/tillsyn/A 25097-2025 tillsynsbegäran.docx", "A 25097-2025")</f>
        <v/>
      </c>
      <c r="AD36">
        <f>HYPERLINK("https://klasma.github.io/Logging_1780/tillsynsmail/A 25097-2025 tillsynsbegäran mail.docx", "A 25097-2025")</f>
        <v/>
      </c>
    </row>
    <row r="37" ht="15" customHeight="1">
      <c r="A37" t="inlineStr">
        <is>
          <t>A 58911-2025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45986</v>
      </c>
      <c r="E37" s="1" t="n">
        <v>46298</v>
      </c>
      <c r="F37" t="inlineStr">
        <is>
          <t>VÄRMLANDS LÄN</t>
        </is>
      </c>
      <c r="G37" t="inlineStr">
        <is>
          <t>KARLSTAD</t>
        </is>
      </c>
      <c r="I37" t="n">
        <v>5.6</v>
      </c>
      <c r="J37" t="n">
        <v>0</v>
      </c>
      <c r="K37" t="n">
        <v>1</v>
      </c>
      <c r="L37" t="n">
        <v>1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t="n">
        <v>0</v>
      </c>
      <c r="S37" t="n">
        <v>2</v>
      </c>
      <c r="T37" t="n">
        <v>2</v>
      </c>
      <c r="U37" t="n">
        <v>0</v>
      </c>
      <c r="V37" s="2" t="inlineStr">
        <is>
          <t>Vårärt
Svart trolldruva</t>
        </is>
      </c>
      <c r="W37">
        <f>HYPERLINK("https://klasma.github.io/Logging_1780/artfynd/A 58911-2025 artfynd.xlsx", "A 58911-2025")</f>
        <v/>
      </c>
      <c r="X37">
        <f>HYPERLINK("https://klasma.github.io/Logging_1780/kartor/A 58911-2025 karta.png", "A 58911-2025")</f>
        <v/>
      </c>
      <c r="Y37">
        <f>HYPERLINK("https://klasma.github.io/Logging_1780/kartor_geotiff/A 58911-2025 georefererad karta.tif", "A 58911-2025")</f>
        <v/>
      </c>
      <c r="AA37">
        <f>HYPERLINK("https://klasma.github.io/Logging_1780/klagomål/A 58911-2025 FSC-klagomål.docx", "A 58911-2025")</f>
        <v/>
      </c>
      <c r="AB37">
        <f>HYPERLINK("https://klasma.github.io/Logging_1780/klagomålsmail/A 58911-2025 FSC-klagomål mail.docx", "A 58911-2025")</f>
        <v/>
      </c>
      <c r="AC37">
        <f>HYPERLINK("https://klasma.github.io/Logging_1780/tillsyn/A 58911-2025 tillsynsbegäran.docx", "A 58911-2025")</f>
        <v/>
      </c>
      <c r="AD37">
        <f>HYPERLINK("https://klasma.github.io/Logging_1780/tillsynsmail/A 58911-2025 tillsynsbegäran mail.docx", "A 58911-2025")</f>
        <v/>
      </c>
    </row>
    <row r="38" ht="15" customHeight="1">
      <c r="A38" t="inlineStr">
        <is>
          <t>A 59639-2021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44493</v>
      </c>
      <c r="E38" s="1" t="n">
        <v>46298</v>
      </c>
      <c r="F38" t="inlineStr">
        <is>
          <t>VÄRMLANDS LÄN</t>
        </is>
      </c>
      <c r="G38" t="inlineStr">
        <is>
          <t>KARLSTAD</t>
        </is>
      </c>
      <c r="I38" t="n">
        <v>4.1</v>
      </c>
      <c r="J38" t="n">
        <v>0</v>
      </c>
      <c r="K38" t="n">
        <v>1</v>
      </c>
      <c r="L38" t="n">
        <v>1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t="n">
        <v>0</v>
      </c>
      <c r="S38" t="n">
        <v>2</v>
      </c>
      <c r="T38" t="n">
        <v>2</v>
      </c>
      <c r="U38" t="n">
        <v>1</v>
      </c>
      <c r="V38" s="2" t="inlineStr">
        <is>
          <t>Gullpudra
Dvärghäxört</t>
        </is>
      </c>
      <c r="W38">
        <f>HYPERLINK("https://klasma.github.io/Logging_1780/artfynd/A 59639-2021 artfynd.xlsx", "A 59639-2021")</f>
        <v/>
      </c>
      <c r="X38">
        <f>HYPERLINK("https://klasma.github.io/Logging_1780/kartor/A 59639-2021 karta.png", "A 59639-2021")</f>
        <v/>
      </c>
      <c r="Y38">
        <f>HYPERLINK("https://klasma.github.io/Logging_1780/kartor_geotiff/A 59639-2021 georefererad karta.tif", "A 59639-2021")</f>
        <v/>
      </c>
      <c r="AA38">
        <f>HYPERLINK("https://klasma.github.io/Logging_1780/klagomål/A 59639-2021 FSC-klagomål.docx", "A 59639-2021")</f>
        <v/>
      </c>
      <c r="AB38">
        <f>HYPERLINK("https://klasma.github.io/Logging_1780/klagomålsmail/A 59639-2021 FSC-klagomål mail.docx", "A 59639-2021")</f>
        <v/>
      </c>
      <c r="AC38">
        <f>HYPERLINK("https://klasma.github.io/Logging_1780/tillsyn/A 59639-2021 tillsynsbegäran.docx", "A 59639-2021")</f>
        <v/>
      </c>
      <c r="AD38">
        <f>HYPERLINK("https://klasma.github.io/Logging_1780/tillsynsmail/A 59639-2021 tillsynsbegäran mail.docx", "A 59639-2021")</f>
        <v/>
      </c>
    </row>
    <row r="39" ht="15" customHeight="1">
      <c r="A39" t="inlineStr">
        <is>
          <t>A 59639-2021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44493</v>
      </c>
      <c r="E39" s="1" t="n">
        <v>46298</v>
      </c>
      <c r="F39" t="inlineStr">
        <is>
          <t>VÄRMLANDS LÄN</t>
        </is>
      </c>
      <c r="G39" t="inlineStr">
        <is>
          <t>KARLSTAD</t>
        </is>
      </c>
      <c r="I39" t="n">
        <v>4.1</v>
      </c>
      <c r="J39" t="n">
        <v>0</v>
      </c>
      <c r="K39" t="n">
        <v>1</v>
      </c>
      <c r="L39" t="n">
        <v>1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t="n">
        <v>0</v>
      </c>
      <c r="S39" t="n">
        <v>2</v>
      </c>
      <c r="T39" t="n">
        <v>2</v>
      </c>
      <c r="U39" t="n">
        <v>1</v>
      </c>
      <c r="V39" s="2" t="inlineStr">
        <is>
          <t>Gullpudra
Dvärghäxört</t>
        </is>
      </c>
      <c r="W39">
        <f>HYPERLINK("https://klasma.github.io/Logging_1780/artfynd/A 59639-2021 artfynd.xlsx", "A 59639-2021")</f>
        <v/>
      </c>
      <c r="X39">
        <f>HYPERLINK("https://klasma.github.io/Logging_1780/kartor/A 59639-2021 karta.png", "A 59639-2021")</f>
        <v/>
      </c>
      <c r="Y39">
        <f>HYPERLINK("https://klasma.github.io/Logging_1780/kartor_geotiff/A 59639-2021 georefererad karta.tif", "A 59639-2021")</f>
        <v/>
      </c>
      <c r="AA39">
        <f>HYPERLINK("https://klasma.github.io/Logging_1780/klagomål/A 59639-2021 FSC-klagomål.docx", "A 59639-2021")</f>
        <v/>
      </c>
      <c r="AB39">
        <f>HYPERLINK("https://klasma.github.io/Logging_1780/klagomålsmail/A 59639-2021 FSC-klagomål mail.docx", "A 59639-2021")</f>
        <v/>
      </c>
      <c r="AC39">
        <f>HYPERLINK("https://klasma.github.io/Logging_1780/tillsyn/A 59639-2021 tillsynsbegäran.docx", "A 59639-2021")</f>
        <v/>
      </c>
      <c r="AD39">
        <f>HYPERLINK("https://klasma.github.io/Logging_1780/tillsynsmail/A 59639-2021 tillsynsbegäran mail.docx", "A 59639-2021")</f>
        <v/>
      </c>
    </row>
    <row r="40" ht="15" customHeight="1">
      <c r="A40" t="inlineStr">
        <is>
          <t>A 19133-2024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45428</v>
      </c>
      <c r="E40" s="1" t="n">
        <v>46298</v>
      </c>
      <c r="F40" t="inlineStr">
        <is>
          <t>VÄRMLANDS LÄN</t>
        </is>
      </c>
      <c r="G40" t="inlineStr">
        <is>
          <t>KARLSTAD</t>
        </is>
      </c>
      <c r="H40" t="inlineStr">
        <is>
          <t>Kommuner</t>
        </is>
      </c>
      <c r="I40" t="n">
        <v>2.8</v>
      </c>
      <c r="J40" t="n">
        <v>1</v>
      </c>
      <c r="K40" t="n">
        <v>1</v>
      </c>
      <c r="L40" t="n">
        <v>0</v>
      </c>
      <c r="M40" t="n">
        <v>1</v>
      </c>
      <c r="N40" t="n">
        <v>0</v>
      </c>
      <c r="O40" t="n">
        <v>0</v>
      </c>
      <c r="P40" t="n">
        <v>0</v>
      </c>
      <c r="Q40" t="n">
        <v>1</v>
      </c>
      <c r="R40" t="n">
        <v>1</v>
      </c>
      <c r="S40" t="n">
        <v>2</v>
      </c>
      <c r="T40" t="n">
        <v>2</v>
      </c>
      <c r="U40" t="n">
        <v>0</v>
      </c>
      <c r="V40" s="2" t="inlineStr">
        <is>
          <t>Knärot
Blåmossa</t>
        </is>
      </c>
      <c r="W40">
        <f>HYPERLINK("https://klasma.github.io/Logging_1780/artfynd/A 19133-2024 artfynd.xlsx", "A 19133-2024")</f>
        <v/>
      </c>
      <c r="X40">
        <f>HYPERLINK("https://klasma.github.io/Logging_1780/kartor/A 19133-2024 karta.png", "A 19133-2024")</f>
        <v/>
      </c>
      <c r="Y40">
        <f>HYPERLINK("https://klasma.github.io/Logging_1780/kartor_geotiff/A 19133-2024 georefererad karta.tif", "A 19133-2024")</f>
        <v/>
      </c>
      <c r="Z40">
        <f>HYPERLINK("https://klasma.github.io/Logging_1780/knärot/A 19133-2024 karta knärot.png", "A 19133-2024")</f>
        <v/>
      </c>
      <c r="AA40">
        <f>HYPERLINK("https://klasma.github.io/Logging_1780/klagomål/A 19133-2024 FSC-klagomål.docx", "A 19133-2024")</f>
        <v/>
      </c>
      <c r="AB40">
        <f>HYPERLINK("https://klasma.github.io/Logging_1780/klagomålsmail/A 19133-2024 FSC-klagomål mail.docx", "A 19133-2024")</f>
        <v/>
      </c>
      <c r="AC40">
        <f>HYPERLINK("https://klasma.github.io/Logging_1780/tillsyn/A 19133-2024 tillsynsbegäran.docx", "A 19133-2024")</f>
        <v/>
      </c>
      <c r="AD40">
        <f>HYPERLINK("https://klasma.github.io/Logging_1780/tillsynsmail/A 19133-2024 tillsynsbegäran mail.docx", "A 19133-2024")</f>
        <v/>
      </c>
    </row>
    <row r="41" ht="15" customHeight="1">
      <c r="A41" t="inlineStr">
        <is>
          <t>A 9499-2024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45359</v>
      </c>
      <c r="E41" s="1" t="n">
        <v>46298</v>
      </c>
      <c r="F41" t="inlineStr">
        <is>
          <t>VÄRMLANDS LÄN</t>
        </is>
      </c>
      <c r="G41" t="inlineStr">
        <is>
          <t>KARLSTAD</t>
        </is>
      </c>
      <c r="I41" t="n">
        <v>5</v>
      </c>
      <c r="J41" t="n">
        <v>2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2</v>
      </c>
      <c r="T41" t="n">
        <v>4</v>
      </c>
      <c r="U41" t="n">
        <v>0</v>
      </c>
      <c r="V41" s="2" t="inlineStr">
        <is>
          <t>Grönsiska
Kungsfågel</t>
        </is>
      </c>
      <c r="W41">
        <f>HYPERLINK("https://klasma.github.io/Logging_1780/artfynd/A 9499-2024 artfynd.xlsx", "A 9499-2024")</f>
        <v/>
      </c>
      <c r="X41">
        <f>HYPERLINK("https://klasma.github.io/Logging_1780/kartor/A 9499-2024 karta.png", "A 9499-2024")</f>
        <v/>
      </c>
      <c r="Y41">
        <f>HYPERLINK("https://klasma.github.io/Logging_1780/kartor_geotiff/A 9499-2024 georefererad karta.tif", "A 9499-2024")</f>
        <v/>
      </c>
      <c r="AA41">
        <f>HYPERLINK("https://klasma.github.io/Logging_1780/klagomål/A 9499-2024 FSC-klagomål.docx", "A 9499-2024")</f>
        <v/>
      </c>
      <c r="AB41">
        <f>HYPERLINK("https://klasma.github.io/Logging_1780/klagomålsmail/A 9499-2024 FSC-klagomål mail.docx", "A 9499-2024")</f>
        <v/>
      </c>
      <c r="AC41">
        <f>HYPERLINK("https://klasma.github.io/Logging_1780/tillsyn/A 9499-2024 tillsynsbegäran.docx", "A 9499-2024")</f>
        <v/>
      </c>
      <c r="AD41">
        <f>HYPERLINK("https://klasma.github.io/Logging_1780/tillsynsmail/A 9499-2024 tillsynsbegäran mail.docx", "A 9499-2024")</f>
        <v/>
      </c>
    </row>
    <row r="42" ht="15" customHeight="1">
      <c r="A42" t="inlineStr">
        <is>
          <t>A 2812-2022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44581</v>
      </c>
      <c r="E42" s="1" t="n">
        <v>46298</v>
      </c>
      <c r="F42" t="inlineStr">
        <is>
          <t>VÄRMLANDS LÄN</t>
        </is>
      </c>
      <c r="G42" t="inlineStr">
        <is>
          <t>KARLSTAD</t>
        </is>
      </c>
      <c r="I42" t="n">
        <v>4.5</v>
      </c>
      <c r="J42" t="n">
        <v>0</v>
      </c>
      <c r="K42" t="n">
        <v>1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1</v>
      </c>
      <c r="T42" t="n">
        <v>1</v>
      </c>
      <c r="U42" t="n">
        <v>0</v>
      </c>
      <c r="V42" s="2" t="inlineStr">
        <is>
          <t>Springkorn</t>
        </is>
      </c>
      <c r="W42">
        <f>HYPERLINK("https://klasma.github.io/Logging_1780/artfynd/A 2812-2022 artfynd.xlsx", "A 2812-2022")</f>
        <v/>
      </c>
      <c r="X42">
        <f>HYPERLINK("https://klasma.github.io/Logging_1780/kartor/A 2812-2022 karta.png", "A 2812-2022")</f>
        <v/>
      </c>
      <c r="Y42">
        <f>HYPERLINK("https://klasma.github.io/Logging_1780/kartor_geotiff/A 2812-2022 georefererad karta.tif", "A 2812-2022")</f>
        <v/>
      </c>
      <c r="AA42">
        <f>HYPERLINK("https://klasma.github.io/Logging_1780/klagomål/A 2812-2022 FSC-klagomål.docx", "A 2812-2022")</f>
        <v/>
      </c>
      <c r="AB42">
        <f>HYPERLINK("https://klasma.github.io/Logging_1780/klagomålsmail/A 2812-2022 FSC-klagomål mail.docx", "A 2812-2022")</f>
        <v/>
      </c>
      <c r="AC42">
        <f>HYPERLINK("https://klasma.github.io/Logging_1780/tillsyn/A 2812-2022 tillsynsbegäran.docx", "A 2812-2022")</f>
        <v/>
      </c>
      <c r="AD42">
        <f>HYPERLINK("https://klasma.github.io/Logging_1780/tillsynsmail/A 2812-2022 tillsynsbegäran mail.docx", "A 2812-2022")</f>
        <v/>
      </c>
    </row>
    <row r="43" ht="15" customHeight="1">
      <c r="A43" t="inlineStr">
        <is>
          <t>A 55264-2021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44475</v>
      </c>
      <c r="E43" s="1" t="n">
        <v>46298</v>
      </c>
      <c r="F43" t="inlineStr">
        <is>
          <t>VÄRMLANDS LÄN</t>
        </is>
      </c>
      <c r="G43" t="inlineStr">
        <is>
          <t>KARLSTAD</t>
        </is>
      </c>
      <c r="H43" t="inlineStr">
        <is>
          <t>Kommuner</t>
        </is>
      </c>
      <c r="I43" t="n">
        <v>4</v>
      </c>
      <c r="J43" t="n">
        <v>0</v>
      </c>
      <c r="K43" t="n">
        <v>1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1</v>
      </c>
      <c r="T43" t="n">
        <v>1</v>
      </c>
      <c r="U43" t="n">
        <v>0</v>
      </c>
      <c r="V43" s="2" t="inlineStr">
        <is>
          <t>Vedticka</t>
        </is>
      </c>
      <c r="W43">
        <f>HYPERLINK("https://klasma.github.io/Logging_1780/artfynd/A 55264-2021 artfynd.xlsx", "A 55264-2021")</f>
        <v/>
      </c>
      <c r="X43">
        <f>HYPERLINK("https://klasma.github.io/Logging_1780/kartor/A 55264-2021 karta.png", "A 55264-2021")</f>
        <v/>
      </c>
      <c r="Y43">
        <f>HYPERLINK("https://klasma.github.io/Logging_1780/kartor_geotiff/A 55264-2021 georefererad karta.tif", "A 55264-2021")</f>
        <v/>
      </c>
      <c r="AA43">
        <f>HYPERLINK("https://klasma.github.io/Logging_1780/klagomål/A 55264-2021 FSC-klagomål.docx", "A 55264-2021")</f>
        <v/>
      </c>
      <c r="AB43">
        <f>HYPERLINK("https://klasma.github.io/Logging_1780/klagomålsmail/A 55264-2021 FSC-klagomål mail.docx", "A 55264-2021")</f>
        <v/>
      </c>
      <c r="AC43">
        <f>HYPERLINK("https://klasma.github.io/Logging_1780/tillsyn/A 55264-2021 tillsynsbegäran.docx", "A 55264-2021")</f>
        <v/>
      </c>
      <c r="AD43">
        <f>HYPERLINK("https://klasma.github.io/Logging_1780/tillsynsmail/A 55264-2021 tillsynsbegäran mail.docx", "A 55264-2021")</f>
        <v/>
      </c>
    </row>
    <row r="44" ht="15" customHeight="1">
      <c r="A44" t="inlineStr">
        <is>
          <t>A 66274-2021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44518</v>
      </c>
      <c r="E44" s="1" t="n">
        <v>46298</v>
      </c>
      <c r="F44" t="inlineStr">
        <is>
          <t>VÄRMLANDS LÄN</t>
        </is>
      </c>
      <c r="G44" t="inlineStr">
        <is>
          <t>KARLSTAD</t>
        </is>
      </c>
      <c r="I44" t="n">
        <v>2.5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1</v>
      </c>
      <c r="T44" t="n">
        <v>1</v>
      </c>
      <c r="U44" t="n">
        <v>0</v>
      </c>
      <c r="V44" s="2" t="inlineStr">
        <is>
          <t>Nattviol</t>
        </is>
      </c>
      <c r="W44">
        <f>HYPERLINK("https://klasma.github.io/Logging_1780/artfynd/A 66274-2021 artfynd.xlsx", "A 66274-2021")</f>
        <v/>
      </c>
      <c r="X44">
        <f>HYPERLINK("https://klasma.github.io/Logging_1780/kartor/A 66274-2021 karta.png", "A 66274-2021")</f>
        <v/>
      </c>
      <c r="Y44">
        <f>HYPERLINK("https://klasma.github.io/Logging_1780/kartor_geotiff/A 66274-2021 georefererad karta.tif", "A 66274-2021")</f>
        <v/>
      </c>
      <c r="AA44">
        <f>HYPERLINK("https://klasma.github.io/Logging_1780/klagomål/A 66274-2021 FSC-klagomål.docx", "A 66274-2021")</f>
        <v/>
      </c>
      <c r="AB44">
        <f>HYPERLINK("https://klasma.github.io/Logging_1780/klagomålsmail/A 66274-2021 FSC-klagomål mail.docx", "A 66274-2021")</f>
        <v/>
      </c>
      <c r="AC44">
        <f>HYPERLINK("https://klasma.github.io/Logging_1780/tillsyn/A 66274-2021 tillsynsbegäran.docx", "A 66274-2021")</f>
        <v/>
      </c>
      <c r="AD44">
        <f>HYPERLINK("https://klasma.github.io/Logging_1780/tillsynsmail/A 66274-2021 tillsynsbegäran mail.docx", "A 66274-2021")</f>
        <v/>
      </c>
    </row>
    <row r="45" ht="15" customHeight="1">
      <c r="A45" t="inlineStr">
        <is>
          <t>A 5131-2026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46049</v>
      </c>
      <c r="E45" s="1" t="n">
        <v>46298</v>
      </c>
      <c r="F45" t="inlineStr">
        <is>
          <t>VÄRMLANDS LÄN</t>
        </is>
      </c>
      <c r="G45" t="inlineStr">
        <is>
          <t>KARLSTAD</t>
        </is>
      </c>
      <c r="I45" t="n">
        <v>1.4</v>
      </c>
      <c r="J45" t="n">
        <v>0</v>
      </c>
      <c r="K45" t="n">
        <v>0</v>
      </c>
      <c r="L45" t="n">
        <v>1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t="n">
        <v>0</v>
      </c>
      <c r="S45" t="n">
        <v>1</v>
      </c>
      <c r="T45" t="n">
        <v>1</v>
      </c>
      <c r="U45" t="n">
        <v>0</v>
      </c>
      <c r="V45" s="2" t="inlineStr">
        <is>
          <t>Blå taggsvamp</t>
        </is>
      </c>
      <c r="W45">
        <f>HYPERLINK("https://klasma.github.io/Logging_1780/artfynd/A 5131-2026 artfynd.xlsx", "A 5131-2026")</f>
        <v/>
      </c>
      <c r="X45">
        <f>HYPERLINK("https://klasma.github.io/Logging_1780/kartor/A 5131-2026 karta.png", "A 5131-2026")</f>
        <v/>
      </c>
      <c r="Y45">
        <f>HYPERLINK("https://klasma.github.io/Logging_1780/kartor_geotiff/A 5131-2026 georefererad karta.tif", "A 5131-2026")</f>
        <v/>
      </c>
      <c r="AA45">
        <f>HYPERLINK("https://klasma.github.io/Logging_1780/klagomål/A 5131-2026 FSC-klagomål.docx", "A 5131-2026")</f>
        <v/>
      </c>
      <c r="AB45">
        <f>HYPERLINK("https://klasma.github.io/Logging_1780/klagomålsmail/A 5131-2026 FSC-klagomål mail.docx", "A 5131-2026")</f>
        <v/>
      </c>
      <c r="AC45">
        <f>HYPERLINK("https://klasma.github.io/Logging_1780/tillsyn/A 5131-2026 tillsynsbegäran.docx", "A 5131-2026")</f>
        <v/>
      </c>
      <c r="AD45">
        <f>HYPERLINK("https://klasma.github.io/Logging_1780/tillsynsmail/A 5131-2026 tillsynsbegäran mail.docx", "A 5131-2026")</f>
        <v/>
      </c>
    </row>
    <row r="46" ht="15" customHeight="1">
      <c r="A46" t="inlineStr">
        <is>
          <t>A 4664-2022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44592</v>
      </c>
      <c r="E46" s="1" t="n">
        <v>46298</v>
      </c>
      <c r="F46" t="inlineStr">
        <is>
          <t>VÄRMLANDS LÄN</t>
        </is>
      </c>
      <c r="G46" t="inlineStr">
        <is>
          <t>KARLSTAD</t>
        </is>
      </c>
      <c r="H46" t="inlineStr">
        <is>
          <t>Kommuner</t>
        </is>
      </c>
      <c r="I46" t="n">
        <v>2.3</v>
      </c>
      <c r="J46" t="n">
        <v>0</v>
      </c>
      <c r="K46" t="n">
        <v>0</v>
      </c>
      <c r="L46" t="n">
        <v>1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t="n">
        <v>0</v>
      </c>
      <c r="S46" t="n">
        <v>1</v>
      </c>
      <c r="T46" t="n">
        <v>1</v>
      </c>
      <c r="U46" t="n">
        <v>1</v>
      </c>
      <c r="V46" s="2" t="inlineStr">
        <is>
          <t>Vedskivlav</t>
        </is>
      </c>
      <c r="W46">
        <f>HYPERLINK("https://klasma.github.io/Logging_1780/artfynd/A 4664-2022 artfynd.xlsx", "A 4664-2022")</f>
        <v/>
      </c>
      <c r="X46">
        <f>HYPERLINK("https://klasma.github.io/Logging_1780/kartor/A 4664-2022 karta.png", "A 4664-2022")</f>
        <v/>
      </c>
      <c r="Y46">
        <f>HYPERLINK("https://klasma.github.io/Logging_1780/kartor_geotiff/A 4664-2022 georefererad karta.tif", "A 4664-2022")</f>
        <v/>
      </c>
      <c r="AA46">
        <f>HYPERLINK("https://klasma.github.io/Logging_1780/klagomål/A 4664-2022 FSC-klagomål.docx", "A 4664-2022")</f>
        <v/>
      </c>
      <c r="AB46">
        <f>HYPERLINK("https://klasma.github.io/Logging_1780/klagomålsmail/A 4664-2022 FSC-klagomål mail.docx", "A 4664-2022")</f>
        <v/>
      </c>
      <c r="AC46">
        <f>HYPERLINK("https://klasma.github.io/Logging_1780/tillsyn/A 4664-2022 tillsynsbegäran.docx", "A 4664-2022")</f>
        <v/>
      </c>
      <c r="AD46">
        <f>HYPERLINK("https://klasma.github.io/Logging_1780/tillsynsmail/A 4664-2022 tillsynsbegäran mail.docx", "A 4664-2022")</f>
        <v/>
      </c>
    </row>
    <row r="47" ht="15" customHeight="1">
      <c r="A47" t="inlineStr">
        <is>
          <t>A 49765-2025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45940</v>
      </c>
      <c r="E47" s="1" t="n">
        <v>46298</v>
      </c>
      <c r="F47" t="inlineStr">
        <is>
          <t>VÄRMLANDS LÄN</t>
        </is>
      </c>
      <c r="G47" t="inlineStr">
        <is>
          <t>KARLSTAD</t>
        </is>
      </c>
      <c r="H47" t="inlineStr">
        <is>
          <t>Bergvik skog väst AB</t>
        </is>
      </c>
      <c r="I47" t="n">
        <v>1.8</v>
      </c>
      <c r="J47" t="n">
        <v>0</v>
      </c>
      <c r="K47" t="n">
        <v>0</v>
      </c>
      <c r="L47" t="n">
        <v>0</v>
      </c>
      <c r="M47" t="n">
        <v>0</v>
      </c>
      <c r="N47" t="n">
        <v>1</v>
      </c>
      <c r="O47" t="n">
        <v>0</v>
      </c>
      <c r="P47" t="n">
        <v>0</v>
      </c>
      <c r="Q47" t="n">
        <v>1</v>
      </c>
      <c r="R47" t="n">
        <v>1</v>
      </c>
      <c r="S47" t="n">
        <v>1</v>
      </c>
      <c r="T47" t="n">
        <v>1</v>
      </c>
      <c r="U47" t="n">
        <v>0</v>
      </c>
      <c r="V47" s="2" t="inlineStr">
        <is>
          <t>Slöjvaxskivling</t>
        </is>
      </c>
      <c r="W47">
        <f>HYPERLINK("https://klasma.github.io/Logging_1780/artfynd/A 49765-2025 artfynd.xlsx", "A 49765-2025")</f>
        <v/>
      </c>
      <c r="X47">
        <f>HYPERLINK("https://klasma.github.io/Logging_1780/kartor/A 49765-2025 karta.png", "A 49765-2025")</f>
        <v/>
      </c>
      <c r="Y47">
        <f>HYPERLINK("https://klasma.github.io/Logging_1780/kartor_geotiff/A 49765-2025 georefererad karta.tif", "A 49765-2025")</f>
        <v/>
      </c>
      <c r="AA47">
        <f>HYPERLINK("https://klasma.github.io/Logging_1780/klagomål/A 49765-2025 FSC-klagomål.docx", "A 49765-2025")</f>
        <v/>
      </c>
      <c r="AB47">
        <f>HYPERLINK("https://klasma.github.io/Logging_1780/klagomålsmail/A 49765-2025 FSC-klagomål mail.docx", "A 49765-2025")</f>
        <v/>
      </c>
      <c r="AC47">
        <f>HYPERLINK("https://klasma.github.io/Logging_1780/tillsyn/A 49765-2025 tillsynsbegäran.docx", "A 49765-2025")</f>
        <v/>
      </c>
      <c r="AD47">
        <f>HYPERLINK("https://klasma.github.io/Logging_1780/tillsynsmail/A 49765-2025 tillsynsbegäran mail.docx", "A 49765-2025")</f>
        <v/>
      </c>
    </row>
    <row r="48" ht="15" customHeight="1">
      <c r="A48" t="inlineStr">
        <is>
          <t>A 13259-2026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46093</v>
      </c>
      <c r="E48" s="1" t="n">
        <v>46298</v>
      </c>
      <c r="F48" t="inlineStr">
        <is>
          <t>VÄRMLANDS LÄN</t>
        </is>
      </c>
      <c r="G48" t="inlineStr">
        <is>
          <t>KARLSTAD</t>
        </is>
      </c>
      <c r="I48" t="n">
        <v>5.2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1</v>
      </c>
      <c r="T48" t="n">
        <v>1</v>
      </c>
      <c r="U48" t="n">
        <v>0</v>
      </c>
      <c r="V48" s="2" t="inlineStr">
        <is>
          <t>Blåsippa</t>
        </is>
      </c>
      <c r="W48">
        <f>HYPERLINK("https://klasma.github.io/Logging_1780/artfynd/A 13259-2026 artfynd.xlsx", "A 13259-2026")</f>
        <v/>
      </c>
      <c r="X48">
        <f>HYPERLINK("https://klasma.github.io/Logging_1780/kartor/A 13259-2026 karta.png", "A 13259-2026")</f>
        <v/>
      </c>
      <c r="Y48">
        <f>HYPERLINK("https://klasma.github.io/Logging_1780/kartor_geotiff/A 13259-2026 georefererad karta.tif", "A 13259-2026")</f>
        <v/>
      </c>
      <c r="AA48">
        <f>HYPERLINK("https://klasma.github.io/Logging_1780/klagomål/A 13259-2026 FSC-klagomål.docx", "A 13259-2026")</f>
        <v/>
      </c>
      <c r="AB48">
        <f>HYPERLINK("https://klasma.github.io/Logging_1780/klagomålsmail/A 13259-2026 FSC-klagomål mail.docx", "A 13259-2026")</f>
        <v/>
      </c>
      <c r="AC48">
        <f>HYPERLINK("https://klasma.github.io/Logging_1780/tillsyn/A 13259-2026 tillsynsbegäran.docx", "A 13259-2026")</f>
        <v/>
      </c>
      <c r="AD48">
        <f>HYPERLINK("https://klasma.github.io/Logging_1780/tillsynsmail/A 13259-2026 tillsynsbegäran mail.docx", "A 13259-2026")</f>
        <v/>
      </c>
    </row>
    <row r="49" ht="15" customHeight="1">
      <c r="A49" t="inlineStr">
        <is>
          <t>A 56238-2025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45974</v>
      </c>
      <c r="E49" s="1" t="n">
        <v>46298</v>
      </c>
      <c r="F49" t="inlineStr">
        <is>
          <t>VÄRMLANDS LÄN</t>
        </is>
      </c>
      <c r="G49" t="inlineStr">
        <is>
          <t>KARLSTAD</t>
        </is>
      </c>
      <c r="I49" t="n">
        <v>2.9</v>
      </c>
      <c r="J49" t="n">
        <v>0</v>
      </c>
      <c r="K49" t="n">
        <v>0</v>
      </c>
      <c r="L49" t="n">
        <v>0</v>
      </c>
      <c r="M49" t="n">
        <v>0</v>
      </c>
      <c r="N49" t="n">
        <v>1</v>
      </c>
      <c r="O49" t="n">
        <v>0</v>
      </c>
      <c r="P49" t="n">
        <v>0</v>
      </c>
      <c r="Q49" t="n">
        <v>1</v>
      </c>
      <c r="R49" t="n">
        <v>1</v>
      </c>
      <c r="S49" t="n">
        <v>1</v>
      </c>
      <c r="T49" t="n">
        <v>1</v>
      </c>
      <c r="U49" t="n">
        <v>0</v>
      </c>
      <c r="V49" s="2" t="inlineStr">
        <is>
          <t>Ask</t>
        </is>
      </c>
      <c r="W49">
        <f>HYPERLINK("https://klasma.github.io/Logging_1780/artfynd/A 56238-2025 artfynd.xlsx", "A 56238-2025")</f>
        <v/>
      </c>
      <c r="X49">
        <f>HYPERLINK("https://klasma.github.io/Logging_1780/kartor/A 56238-2025 karta.png", "A 56238-2025")</f>
        <v/>
      </c>
      <c r="Y49">
        <f>HYPERLINK("https://klasma.github.io/Logging_1780/kartor_geotiff/A 56238-2025 georefererad karta.tif", "A 56238-2025")</f>
        <v/>
      </c>
      <c r="AA49">
        <f>HYPERLINK("https://klasma.github.io/Logging_1780/klagomål/A 56238-2025 FSC-klagomål.docx", "A 56238-2025")</f>
        <v/>
      </c>
      <c r="AB49">
        <f>HYPERLINK("https://klasma.github.io/Logging_1780/klagomålsmail/A 56238-2025 FSC-klagomål mail.docx", "A 56238-2025")</f>
        <v/>
      </c>
      <c r="AC49">
        <f>HYPERLINK("https://klasma.github.io/Logging_1780/tillsyn/A 56238-2025 tillsynsbegäran.docx", "A 56238-2025")</f>
        <v/>
      </c>
      <c r="AD49">
        <f>HYPERLINK("https://klasma.github.io/Logging_1780/tillsynsmail/A 56238-2025 tillsynsbegäran mail.docx", "A 56238-2025")</f>
        <v/>
      </c>
    </row>
    <row r="50" ht="15" customHeight="1">
      <c r="A50" t="inlineStr">
        <is>
          <t>A 56241-2025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45974</v>
      </c>
      <c r="E50" s="1" t="n">
        <v>46298</v>
      </c>
      <c r="F50" t="inlineStr">
        <is>
          <t>VÄRMLANDS LÄN</t>
        </is>
      </c>
      <c r="G50" t="inlineStr">
        <is>
          <t>KARLSTAD</t>
        </is>
      </c>
      <c r="I50" t="n">
        <v>0.6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1</v>
      </c>
      <c r="T50" t="n">
        <v>1</v>
      </c>
      <c r="U50" t="n">
        <v>0</v>
      </c>
      <c r="V50" s="2" t="inlineStr">
        <is>
          <t>Fläcknycklar</t>
        </is>
      </c>
      <c r="W50">
        <f>HYPERLINK("https://klasma.github.io/Logging_1780/artfynd/A 56241-2025 artfynd.xlsx", "A 56241-2025")</f>
        <v/>
      </c>
      <c r="X50">
        <f>HYPERLINK("https://klasma.github.io/Logging_1780/kartor/A 56241-2025 karta.png", "A 56241-2025")</f>
        <v/>
      </c>
      <c r="Y50">
        <f>HYPERLINK("https://klasma.github.io/Logging_1780/kartor_geotiff/A 56241-2025 georefererad karta.tif", "A 56241-2025")</f>
        <v/>
      </c>
      <c r="AA50">
        <f>HYPERLINK("https://klasma.github.io/Logging_1780/klagomål/A 56241-2025 FSC-klagomål.docx", "A 56241-2025")</f>
        <v/>
      </c>
      <c r="AB50">
        <f>HYPERLINK("https://klasma.github.io/Logging_1780/klagomålsmail/A 56241-2025 FSC-klagomål mail.docx", "A 56241-2025")</f>
        <v/>
      </c>
      <c r="AC50">
        <f>HYPERLINK("https://klasma.github.io/Logging_1780/tillsyn/A 56241-2025 tillsynsbegäran.docx", "A 56241-2025")</f>
        <v/>
      </c>
      <c r="AD50">
        <f>HYPERLINK("https://klasma.github.io/Logging_1780/tillsynsmail/A 56241-2025 tillsynsbegäran mail.docx", "A 56241-2025")</f>
        <v/>
      </c>
    </row>
    <row r="51" ht="15" customHeight="1">
      <c r="A51" t="inlineStr">
        <is>
          <t>A 36886-2022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44805</v>
      </c>
      <c r="E51" s="1" t="n">
        <v>46298</v>
      </c>
      <c r="F51" t="inlineStr">
        <is>
          <t>VÄRMLANDS LÄN</t>
        </is>
      </c>
      <c r="G51" t="inlineStr">
        <is>
          <t>KARLSTAD</t>
        </is>
      </c>
      <c r="I51" t="n">
        <v>1.5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1</v>
      </c>
      <c r="T51" t="n">
        <v>1</v>
      </c>
      <c r="U51" t="n">
        <v>1</v>
      </c>
      <c r="V51" s="2" t="inlineStr">
        <is>
          <t>Gröngöling</t>
        </is>
      </c>
      <c r="W51">
        <f>HYPERLINK("https://klasma.github.io/Logging_1780/artfynd/A 36886-2022 artfynd.xlsx", "A 36886-2022")</f>
        <v/>
      </c>
      <c r="X51">
        <f>HYPERLINK("https://klasma.github.io/Logging_1780/kartor/A 36886-2022 karta.png", "A 36886-2022")</f>
        <v/>
      </c>
      <c r="Y51">
        <f>HYPERLINK("https://klasma.github.io/Logging_1780/kartor_geotiff/A 36886-2022 georefererad karta.tif", "A 36886-2022")</f>
        <v/>
      </c>
      <c r="AA51">
        <f>HYPERLINK("https://klasma.github.io/Logging_1780/klagomål/A 36886-2022 FSC-klagomål.docx", "A 36886-2022")</f>
        <v/>
      </c>
      <c r="AB51">
        <f>HYPERLINK("https://klasma.github.io/Logging_1780/klagomålsmail/A 36886-2022 FSC-klagomål mail.docx", "A 36886-2022")</f>
        <v/>
      </c>
      <c r="AC51">
        <f>HYPERLINK("https://klasma.github.io/Logging_1780/tillsyn/A 36886-2022 tillsynsbegäran.docx", "A 36886-2022")</f>
        <v/>
      </c>
      <c r="AD51">
        <f>HYPERLINK("https://klasma.github.io/Logging_1780/tillsynsmail/A 36886-2022 tillsynsbegäran mail.docx", "A 36886-2022")</f>
        <v/>
      </c>
    </row>
    <row r="52" ht="15" customHeight="1">
      <c r="A52" t="inlineStr">
        <is>
          <t>A 32531-2025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45838</v>
      </c>
      <c r="E52" s="1" t="n">
        <v>46298</v>
      </c>
      <c r="F52" t="inlineStr">
        <is>
          <t>VÄRMLANDS LÄN</t>
        </is>
      </c>
      <c r="G52" t="inlineStr">
        <is>
          <t>KARLSTAD</t>
        </is>
      </c>
      <c r="H52" t="inlineStr">
        <is>
          <t>Kyrkan</t>
        </is>
      </c>
      <c r="I52" t="n">
        <v>5.8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1</v>
      </c>
      <c r="T52" t="n">
        <v>1</v>
      </c>
      <c r="U52" t="n">
        <v>1</v>
      </c>
      <c r="V52" s="2" t="inlineStr">
        <is>
          <t>Trana</t>
        </is>
      </c>
      <c r="W52">
        <f>HYPERLINK("https://klasma.github.io/Logging_1780/artfynd/A 32531-2025 artfynd.xlsx", "A 32531-2025")</f>
        <v/>
      </c>
      <c r="X52">
        <f>HYPERLINK("https://klasma.github.io/Logging_1780/kartor/A 32531-2025 karta.png", "A 32531-2025")</f>
        <v/>
      </c>
      <c r="Y52">
        <f>HYPERLINK("https://klasma.github.io/Logging_1780/kartor_geotiff/A 32531-2025 georefererad karta.tif", "A 32531-2025")</f>
        <v/>
      </c>
      <c r="AA52">
        <f>HYPERLINK("https://klasma.github.io/Logging_1780/klagomål/A 32531-2025 FSC-klagomål.docx", "A 32531-2025")</f>
        <v/>
      </c>
      <c r="AB52">
        <f>HYPERLINK("https://klasma.github.io/Logging_1780/klagomålsmail/A 32531-2025 FSC-klagomål mail.docx", "A 32531-2025")</f>
        <v/>
      </c>
      <c r="AC52">
        <f>HYPERLINK("https://klasma.github.io/Logging_1780/tillsyn/A 32531-2025 tillsynsbegäran.docx", "A 32531-2025")</f>
        <v/>
      </c>
      <c r="AD52">
        <f>HYPERLINK("https://klasma.github.io/Logging_1780/tillsynsmail/A 32531-2025 tillsynsbegäran mail.docx", "A 32531-2025")</f>
        <v/>
      </c>
      <c r="AE52">
        <f>HYPERLINK("https://klasma.github.io/Logging_1780/fåglar/A 32531-2025 prioriterade fågelarter.docx", "A 32531-2025")</f>
        <v/>
      </c>
    </row>
    <row r="53" ht="15" customHeight="1">
      <c r="A53" t="inlineStr">
        <is>
          <t>A 3736-2023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44949</v>
      </c>
      <c r="E53" s="1" t="n">
        <v>46298</v>
      </c>
      <c r="F53" t="inlineStr">
        <is>
          <t>VÄRMLANDS LÄN</t>
        </is>
      </c>
      <c r="G53" t="inlineStr">
        <is>
          <t>KARLSTAD</t>
        </is>
      </c>
      <c r="I53" t="n">
        <v>1.4</v>
      </c>
      <c r="J53" t="n">
        <v>0</v>
      </c>
      <c r="K53" t="n">
        <v>0</v>
      </c>
      <c r="L53" t="n">
        <v>1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t="n">
        <v>0</v>
      </c>
      <c r="S53" t="n">
        <v>1</v>
      </c>
      <c r="T53" t="n">
        <v>1</v>
      </c>
      <c r="U53" t="n">
        <v>1</v>
      </c>
      <c r="V53" s="2" t="inlineStr">
        <is>
          <t>Gullklöver</t>
        </is>
      </c>
      <c r="W53">
        <f>HYPERLINK("https://klasma.github.io/Logging_1780/artfynd/A 3736-2023 artfynd.xlsx", "A 3736-2023")</f>
        <v/>
      </c>
      <c r="X53">
        <f>HYPERLINK("https://klasma.github.io/Logging_1780/kartor/A 3736-2023 karta.png", "A 3736-2023")</f>
        <v/>
      </c>
      <c r="Y53">
        <f>HYPERLINK("https://klasma.github.io/Logging_1780/kartor_geotiff/A 3736-2023 georefererad karta.tif", "A 3736-2023")</f>
        <v/>
      </c>
      <c r="AA53">
        <f>HYPERLINK("https://klasma.github.io/Logging_1780/klagomål/A 3736-2023 FSC-klagomål.docx", "A 3736-2023")</f>
        <v/>
      </c>
      <c r="AB53">
        <f>HYPERLINK("https://klasma.github.io/Logging_1780/klagomålsmail/A 3736-2023 FSC-klagomål mail.docx", "A 3736-2023")</f>
        <v/>
      </c>
      <c r="AC53">
        <f>HYPERLINK("https://klasma.github.io/Logging_1780/tillsyn/A 3736-2023 tillsynsbegäran.docx", "A 3736-2023")</f>
        <v/>
      </c>
      <c r="AD53">
        <f>HYPERLINK("https://klasma.github.io/Logging_1780/tillsynsmail/A 3736-2023 tillsynsbegäran mail.docx", "A 3736-2023")</f>
        <v/>
      </c>
    </row>
    <row r="54" ht="15" customHeight="1">
      <c r="A54" t="inlineStr">
        <is>
          <t>A 6260-2023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44959</v>
      </c>
      <c r="E54" s="1" t="n">
        <v>46298</v>
      </c>
      <c r="F54" t="inlineStr">
        <is>
          <t>VÄRMLANDS LÄN</t>
        </is>
      </c>
      <c r="G54" t="inlineStr">
        <is>
          <t>KARLSTAD</t>
        </is>
      </c>
      <c r="I54" t="n">
        <v>2.2</v>
      </c>
      <c r="J54" t="n">
        <v>0</v>
      </c>
      <c r="K54" t="n">
        <v>1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1</v>
      </c>
      <c r="T54" t="n">
        <v>1</v>
      </c>
      <c r="U54" t="n">
        <v>0</v>
      </c>
      <c r="V54" s="2" t="inlineStr">
        <is>
          <t>Trädporella</t>
        </is>
      </c>
      <c r="W54">
        <f>HYPERLINK("https://klasma.github.io/Logging_1780/artfynd/A 6260-2023 artfynd.xlsx", "A 6260-2023")</f>
        <v/>
      </c>
      <c r="X54">
        <f>HYPERLINK("https://klasma.github.io/Logging_1780/kartor/A 6260-2023 karta.png", "A 6260-2023")</f>
        <v/>
      </c>
      <c r="Y54">
        <f>HYPERLINK("https://klasma.github.io/Logging_1780/kartor_geotiff/A 6260-2023 georefererad karta.tif", "A 6260-2023")</f>
        <v/>
      </c>
      <c r="AA54">
        <f>HYPERLINK("https://klasma.github.io/Logging_1780/klagomål/A 6260-2023 FSC-klagomål.docx", "A 6260-2023")</f>
        <v/>
      </c>
      <c r="AB54">
        <f>HYPERLINK("https://klasma.github.io/Logging_1780/klagomålsmail/A 6260-2023 FSC-klagomål mail.docx", "A 6260-2023")</f>
        <v/>
      </c>
      <c r="AC54">
        <f>HYPERLINK("https://klasma.github.io/Logging_1780/tillsyn/A 6260-2023 tillsynsbegäran.docx", "A 6260-2023")</f>
        <v/>
      </c>
      <c r="AD54">
        <f>HYPERLINK("https://klasma.github.io/Logging_1780/tillsynsmail/A 6260-2023 tillsynsbegäran mail.docx", "A 6260-2023")</f>
        <v/>
      </c>
    </row>
    <row r="55" ht="15" customHeight="1">
      <c r="A55" t="inlineStr">
        <is>
          <t>A 10461-2024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45366</v>
      </c>
      <c r="E55" s="1" t="n">
        <v>46298</v>
      </c>
      <c r="F55" t="inlineStr">
        <is>
          <t>VÄRMLANDS LÄN</t>
        </is>
      </c>
      <c r="G55" t="inlineStr">
        <is>
          <t>KARLSTAD</t>
        </is>
      </c>
      <c r="H55" t="inlineStr">
        <is>
          <t>Övriga statliga verk och myndigheter</t>
        </is>
      </c>
      <c r="I55" t="n">
        <v>17.8</v>
      </c>
      <c r="J55" t="n">
        <v>1</v>
      </c>
      <c r="K55" t="n">
        <v>0</v>
      </c>
      <c r="L55" t="n">
        <v>1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t="n">
        <v>0</v>
      </c>
      <c r="S55" t="n">
        <v>1</v>
      </c>
      <c r="T55" t="n">
        <v>1</v>
      </c>
      <c r="U55" t="n">
        <v>0</v>
      </c>
      <c r="V55" s="2" t="inlineStr">
        <is>
          <t>Strandlummer</t>
        </is>
      </c>
      <c r="W55">
        <f>HYPERLINK("https://klasma.github.io/Logging_1780/artfynd/A 10461-2024 artfynd.xlsx", "A 10461-2024")</f>
        <v/>
      </c>
      <c r="X55">
        <f>HYPERLINK("https://klasma.github.io/Logging_1780/kartor/A 10461-2024 karta.png", "A 10461-2024")</f>
        <v/>
      </c>
      <c r="Y55">
        <f>HYPERLINK("https://klasma.github.io/Logging_1780/kartor_geotiff/A 10461-2024 georefererad karta.tif", "A 10461-2024")</f>
        <v/>
      </c>
      <c r="AA55">
        <f>HYPERLINK("https://klasma.github.io/Logging_1780/klagomål/A 10461-2024 FSC-klagomål.docx", "A 10461-2024")</f>
        <v/>
      </c>
      <c r="AB55">
        <f>HYPERLINK("https://klasma.github.io/Logging_1780/klagomålsmail/A 10461-2024 FSC-klagomål mail.docx", "A 10461-2024")</f>
        <v/>
      </c>
      <c r="AC55">
        <f>HYPERLINK("https://klasma.github.io/Logging_1780/tillsyn/A 10461-2024 tillsynsbegäran.docx", "A 10461-2024")</f>
        <v/>
      </c>
      <c r="AD55">
        <f>HYPERLINK("https://klasma.github.io/Logging_1780/tillsynsmail/A 10461-2024 tillsynsbegäran mail.docx", "A 10461-2024")</f>
        <v/>
      </c>
    </row>
    <row r="56" ht="15" customHeight="1">
      <c r="A56" t="inlineStr">
        <is>
          <t>A 14002-2022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44650</v>
      </c>
      <c r="E56" s="1" t="n">
        <v>46298</v>
      </c>
      <c r="F56" t="inlineStr">
        <is>
          <t>VÄRMLANDS LÄN</t>
        </is>
      </c>
      <c r="G56" t="inlineStr">
        <is>
          <t>KARLSTAD</t>
        </is>
      </c>
      <c r="I56" t="n">
        <v>2.3</v>
      </c>
      <c r="J56" t="n">
        <v>1</v>
      </c>
      <c r="K56" t="n">
        <v>0</v>
      </c>
      <c r="L56" t="n">
        <v>0</v>
      </c>
      <c r="M56" t="n">
        <v>1</v>
      </c>
      <c r="N56" t="n">
        <v>0</v>
      </c>
      <c r="O56" t="n">
        <v>0</v>
      </c>
      <c r="P56" t="n">
        <v>0</v>
      </c>
      <c r="Q56" t="n">
        <v>1</v>
      </c>
      <c r="R56" t="n">
        <v>1</v>
      </c>
      <c r="S56" t="n">
        <v>1</v>
      </c>
      <c r="T56" t="n">
        <v>3</v>
      </c>
      <c r="U56" t="n">
        <v>3</v>
      </c>
      <c r="V56" s="2" t="inlineStr">
        <is>
          <t>Knärot</t>
        </is>
      </c>
      <c r="W56">
        <f>HYPERLINK("https://klasma.github.io/Logging_1780/artfynd/A 14002-2022 artfynd.xlsx", "A 14002-2022")</f>
        <v/>
      </c>
      <c r="X56">
        <f>HYPERLINK("https://klasma.github.io/Logging_1780/kartor/A 14002-2022 karta.png", "A 14002-2022")</f>
        <v/>
      </c>
      <c r="Y56">
        <f>HYPERLINK("https://klasma.github.io/Logging_1780/kartor_geotiff/A 14002-2022 georefererad karta.tif", "A 14002-2022")</f>
        <v/>
      </c>
      <c r="Z56">
        <f>HYPERLINK("https://klasma.github.io/Logging_1780/knärot/A 14002-2022 karta knärot.png", "A 14002-2022")</f>
        <v/>
      </c>
      <c r="AA56">
        <f>HYPERLINK("https://klasma.github.io/Logging_1780/klagomål/A 14002-2022 FSC-klagomål.docx", "A 14002-2022")</f>
        <v/>
      </c>
      <c r="AB56">
        <f>HYPERLINK("https://klasma.github.io/Logging_1780/klagomålsmail/A 14002-2022 FSC-klagomål mail.docx", "A 14002-2022")</f>
        <v/>
      </c>
      <c r="AC56">
        <f>HYPERLINK("https://klasma.github.io/Logging_1780/tillsyn/A 14002-2022 tillsynsbegäran.docx", "A 14002-2022")</f>
        <v/>
      </c>
      <c r="AD56">
        <f>HYPERLINK("https://klasma.github.io/Logging_1780/tillsynsmail/A 14002-2022 tillsynsbegäran mail.docx", "A 14002-2022")</f>
        <v/>
      </c>
    </row>
    <row r="57" ht="15" customHeight="1">
      <c r="A57" t="inlineStr">
        <is>
          <t>A 8944-2025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45713</v>
      </c>
      <c r="E57" s="1" t="n">
        <v>46298</v>
      </c>
      <c r="F57" t="inlineStr">
        <is>
          <t>VÄRMLANDS LÄN</t>
        </is>
      </c>
      <c r="G57" t="inlineStr">
        <is>
          <t>KARLSTAD</t>
        </is>
      </c>
      <c r="I57" t="n">
        <v>12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1</v>
      </c>
      <c r="T57" t="n">
        <v>1</v>
      </c>
      <c r="U57" t="n">
        <v>0</v>
      </c>
      <c r="V57" s="2" t="inlineStr">
        <is>
          <t>Lopplummer (aggregat)</t>
        </is>
      </c>
      <c r="W57">
        <f>HYPERLINK("https://klasma.github.io/Logging_1780/artfynd/A 8944-2025 artfynd.xlsx", "A 8944-2025")</f>
        <v/>
      </c>
      <c r="X57">
        <f>HYPERLINK("https://klasma.github.io/Logging_1780/kartor/A 8944-2025 karta.png", "A 8944-2025")</f>
        <v/>
      </c>
      <c r="Y57">
        <f>HYPERLINK("https://klasma.github.io/Logging_1780/kartor_geotiff/A 8944-2025 georefererad karta.tif", "A 8944-2025")</f>
        <v/>
      </c>
      <c r="AA57">
        <f>HYPERLINK("https://klasma.github.io/Logging_1780/klagomål/A 8944-2025 FSC-klagomål.docx", "A 8944-2025")</f>
        <v/>
      </c>
      <c r="AB57">
        <f>HYPERLINK("https://klasma.github.io/Logging_1780/klagomålsmail/A 8944-2025 FSC-klagomål mail.docx", "A 8944-2025")</f>
        <v/>
      </c>
      <c r="AC57">
        <f>HYPERLINK("https://klasma.github.io/Logging_1780/tillsyn/A 8944-2025 tillsynsbegäran.docx", "A 8944-2025")</f>
        <v/>
      </c>
      <c r="AD57">
        <f>HYPERLINK("https://klasma.github.io/Logging_1780/tillsynsmail/A 8944-2025 tillsynsbegäran mail.docx", "A 8944-2025")</f>
        <v/>
      </c>
    </row>
    <row r="58" ht="15" customHeight="1">
      <c r="A58" t="inlineStr">
        <is>
          <t>A 59641-2021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44493</v>
      </c>
      <c r="E58" s="1" t="n">
        <v>46298</v>
      </c>
      <c r="F58" t="inlineStr">
        <is>
          <t>VÄRMLANDS LÄN</t>
        </is>
      </c>
      <c r="G58" t="inlineStr">
        <is>
          <t>KARLSTAD</t>
        </is>
      </c>
      <c r="I58" t="n">
        <v>1.9</v>
      </c>
      <c r="J58" t="n">
        <v>0</v>
      </c>
      <c r="K58" t="n">
        <v>0</v>
      </c>
      <c r="L58" t="n">
        <v>1</v>
      </c>
      <c r="M58" t="n">
        <v>0</v>
      </c>
      <c r="N58" t="n">
        <v>0</v>
      </c>
      <c r="O58" t="n">
        <v>0</v>
      </c>
      <c r="P58" t="n">
        <v>0</v>
      </c>
      <c r="Q58" t="n">
        <v>1</v>
      </c>
      <c r="R58" t="n">
        <v>0</v>
      </c>
      <c r="S58" t="n">
        <v>1</v>
      </c>
      <c r="T58" t="n">
        <v>1</v>
      </c>
      <c r="U58" t="n">
        <v>1</v>
      </c>
      <c r="V58" s="2" t="inlineStr">
        <is>
          <t>Dropptaggsvamp</t>
        </is>
      </c>
      <c r="W58">
        <f>HYPERLINK("https://klasma.github.io/Logging_1780/artfynd/A 59641-2021 artfynd.xlsx", "A 59641-2021")</f>
        <v/>
      </c>
      <c r="X58">
        <f>HYPERLINK("https://klasma.github.io/Logging_1780/kartor/A 59641-2021 karta.png", "A 59641-2021")</f>
        <v/>
      </c>
      <c r="Y58">
        <f>HYPERLINK("https://klasma.github.io/Logging_1780/kartor_geotiff/A 59641-2021 georefererad karta.tif", "A 59641-2021")</f>
        <v/>
      </c>
      <c r="AA58">
        <f>HYPERLINK("https://klasma.github.io/Logging_1780/klagomål/A 59641-2021 FSC-klagomål.docx", "A 59641-2021")</f>
        <v/>
      </c>
      <c r="AB58">
        <f>HYPERLINK("https://klasma.github.io/Logging_1780/klagomålsmail/A 59641-2021 FSC-klagomål mail.docx", "A 59641-2021")</f>
        <v/>
      </c>
      <c r="AC58">
        <f>HYPERLINK("https://klasma.github.io/Logging_1780/tillsyn/A 59641-2021 tillsynsbegäran.docx", "A 59641-2021")</f>
        <v/>
      </c>
      <c r="AD58">
        <f>HYPERLINK("https://klasma.github.io/Logging_1780/tillsynsmail/A 59641-2021 tillsynsbegäran mail.docx", "A 59641-2021")</f>
        <v/>
      </c>
    </row>
    <row r="59" ht="15" customHeight="1">
      <c r="A59" t="inlineStr">
        <is>
          <t>A 17354-2023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45035</v>
      </c>
      <c r="E59" s="1" t="n">
        <v>46298</v>
      </c>
      <c r="F59" t="inlineStr">
        <is>
          <t>VÄRMLANDS LÄN</t>
        </is>
      </c>
      <c r="G59" t="inlineStr">
        <is>
          <t>KARLSTAD</t>
        </is>
      </c>
      <c r="H59" t="inlineStr">
        <is>
          <t>Kommuner</t>
        </is>
      </c>
      <c r="I59" t="n">
        <v>3.1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1</v>
      </c>
      <c r="T59" t="n">
        <v>1</v>
      </c>
      <c r="U59" t="n">
        <v>0</v>
      </c>
      <c r="V59" s="2" t="inlineStr">
        <is>
          <t>Mattlummer</t>
        </is>
      </c>
      <c r="W59">
        <f>HYPERLINK("https://klasma.github.io/Logging_1780/artfynd/A 17354-2023 artfynd.xlsx", "A 17354-2023")</f>
        <v/>
      </c>
      <c r="X59">
        <f>HYPERLINK("https://klasma.github.io/Logging_1780/kartor/A 17354-2023 karta.png", "A 17354-2023")</f>
        <v/>
      </c>
      <c r="Y59">
        <f>HYPERLINK("https://klasma.github.io/Logging_1780/kartor_geotiff/A 17354-2023 georefererad karta.tif", "A 17354-2023")</f>
        <v/>
      </c>
      <c r="AA59">
        <f>HYPERLINK("https://klasma.github.io/Logging_1780/klagomål/A 17354-2023 FSC-klagomål.docx", "A 17354-2023")</f>
        <v/>
      </c>
      <c r="AB59">
        <f>HYPERLINK("https://klasma.github.io/Logging_1780/klagomålsmail/A 17354-2023 FSC-klagomål mail.docx", "A 17354-2023")</f>
        <v/>
      </c>
      <c r="AC59">
        <f>HYPERLINK("https://klasma.github.io/Logging_1780/tillsyn/A 17354-2023 tillsynsbegäran.docx", "A 17354-2023")</f>
        <v/>
      </c>
      <c r="AD59">
        <f>HYPERLINK("https://klasma.github.io/Logging_1780/tillsynsmail/A 17354-2023 tillsynsbegäran mail.docx", "A 17354-2023")</f>
        <v/>
      </c>
    </row>
    <row r="60" ht="15" customHeight="1">
      <c r="A60" t="inlineStr">
        <is>
          <t>A 21919-2023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45068</v>
      </c>
      <c r="E60" s="1" t="n">
        <v>46298</v>
      </c>
      <c r="F60" t="inlineStr">
        <is>
          <t>VÄRMLANDS LÄN</t>
        </is>
      </c>
      <c r="G60" t="inlineStr">
        <is>
          <t>KARLSTAD</t>
        </is>
      </c>
      <c r="I60" t="n">
        <v>2.5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1</v>
      </c>
      <c r="T60" t="n">
        <v>1</v>
      </c>
      <c r="U60" t="n">
        <v>0</v>
      </c>
      <c r="V60" s="2" t="inlineStr">
        <is>
          <t>Revlummer</t>
        </is>
      </c>
      <c r="W60">
        <f>HYPERLINK("https://klasma.github.io/Logging_1780/artfynd/A 21919-2023 artfynd.xlsx", "A 21919-2023")</f>
        <v/>
      </c>
      <c r="X60">
        <f>HYPERLINK("https://klasma.github.io/Logging_1780/kartor/A 21919-2023 karta.png", "A 21919-2023")</f>
        <v/>
      </c>
      <c r="Y60">
        <f>HYPERLINK("https://klasma.github.io/Logging_1780/kartor_geotiff/A 21919-2023 georefererad karta.tif", "A 21919-2023")</f>
        <v/>
      </c>
      <c r="AA60">
        <f>HYPERLINK("https://klasma.github.io/Logging_1780/klagomål/A 21919-2023 FSC-klagomål.docx", "A 21919-2023")</f>
        <v/>
      </c>
      <c r="AB60">
        <f>HYPERLINK("https://klasma.github.io/Logging_1780/klagomålsmail/A 21919-2023 FSC-klagomål mail.docx", "A 21919-2023")</f>
        <v/>
      </c>
      <c r="AC60">
        <f>HYPERLINK("https://klasma.github.io/Logging_1780/tillsyn/A 21919-2023 tillsynsbegäran.docx", "A 21919-2023")</f>
        <v/>
      </c>
      <c r="AD60">
        <f>HYPERLINK("https://klasma.github.io/Logging_1780/tillsynsmail/A 21919-2023 tillsynsbegäran mail.docx", "A 21919-2023")</f>
        <v/>
      </c>
    </row>
    <row r="61" ht="15" customHeight="1">
      <c r="A61" t="inlineStr">
        <is>
          <t>A 21934-2023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45068</v>
      </c>
      <c r="E61" s="1" t="n">
        <v>46298</v>
      </c>
      <c r="F61" t="inlineStr">
        <is>
          <t>VÄRMLANDS LÄN</t>
        </is>
      </c>
      <c r="G61" t="inlineStr">
        <is>
          <t>KARLSTAD</t>
        </is>
      </c>
      <c r="I61" t="n">
        <v>1.7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1</v>
      </c>
      <c r="T61" t="n">
        <v>1</v>
      </c>
      <c r="U61" t="n">
        <v>0</v>
      </c>
      <c r="V61" s="2" t="inlineStr">
        <is>
          <t>Revlummer</t>
        </is>
      </c>
      <c r="W61">
        <f>HYPERLINK("https://klasma.github.io/Logging_1780/artfynd/A 21934-2023 artfynd.xlsx", "A 21934-2023")</f>
        <v/>
      </c>
      <c r="X61">
        <f>HYPERLINK("https://klasma.github.io/Logging_1780/kartor/A 21934-2023 karta.png", "A 21934-2023")</f>
        <v/>
      </c>
      <c r="Y61">
        <f>HYPERLINK("https://klasma.github.io/Logging_1780/kartor_geotiff/A 21934-2023 georefererad karta.tif", "A 21934-2023")</f>
        <v/>
      </c>
      <c r="AA61">
        <f>HYPERLINK("https://klasma.github.io/Logging_1780/klagomål/A 21934-2023 FSC-klagomål.docx", "A 21934-2023")</f>
        <v/>
      </c>
      <c r="AB61">
        <f>HYPERLINK("https://klasma.github.io/Logging_1780/klagomålsmail/A 21934-2023 FSC-klagomål mail.docx", "A 21934-2023")</f>
        <v/>
      </c>
      <c r="AC61">
        <f>HYPERLINK("https://klasma.github.io/Logging_1780/tillsyn/A 21934-2023 tillsynsbegäran.docx", "A 21934-2023")</f>
        <v/>
      </c>
      <c r="AD61">
        <f>HYPERLINK("https://klasma.github.io/Logging_1780/tillsynsmail/A 21934-2023 tillsynsbegäran mail.docx", "A 21934-2023")</f>
        <v/>
      </c>
    </row>
    <row r="62" ht="15" customHeight="1">
      <c r="A62" t="inlineStr">
        <is>
          <t>A 20241-2022</t>
        </is>
      </c>
      <c r="B62" t="inlineStr">
        <is>
          <t>avverkningsanmälan</t>
        </is>
      </c>
      <c r="C62" t="inlineStr">
        <is>
          <t>Avverkning för annat ändamål</t>
        </is>
      </c>
      <c r="D62" s="1" t="n">
        <v>44698</v>
      </c>
      <c r="E62" s="1" t="n">
        <v>46298</v>
      </c>
      <c r="F62" t="inlineStr">
        <is>
          <t>VÄRMLANDS LÄN</t>
        </is>
      </c>
      <c r="G62" t="inlineStr">
        <is>
          <t>KARLSTAD</t>
        </is>
      </c>
      <c r="I62" t="n">
        <v>1.9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1</v>
      </c>
      <c r="T62" t="n">
        <v>1</v>
      </c>
      <c r="U62" t="n">
        <v>0</v>
      </c>
      <c r="V62" s="2" t="inlineStr">
        <is>
          <t>Större vattensalamander</t>
        </is>
      </c>
      <c r="W62">
        <f>HYPERLINK("https://klasma.github.io/Logging_1780/artfynd/A 20241-2022 artfynd.xlsx", "A 20241-2022")</f>
        <v/>
      </c>
      <c r="X62">
        <f>HYPERLINK("https://klasma.github.io/Logging_1780/kartor/A 20241-2022 karta.png", "A 20241-2022")</f>
        <v/>
      </c>
      <c r="Y62">
        <f>HYPERLINK("https://klasma.github.io/Logging_1780/kartor_geotiff/A 20241-2022 georefererad karta.tif", "A 20241-2022")</f>
        <v/>
      </c>
      <c r="AA62">
        <f>HYPERLINK("https://klasma.github.io/Logging_1780/klagomål/A 20241-2022 FSC-klagomål.docx", "A 20241-2022")</f>
        <v/>
      </c>
      <c r="AB62">
        <f>HYPERLINK("https://klasma.github.io/Logging_1780/klagomålsmail/A 20241-2022 FSC-klagomål mail.docx", "A 20241-2022")</f>
        <v/>
      </c>
      <c r="AC62">
        <f>HYPERLINK("https://klasma.github.io/Logging_1780/tillsyn/A 20241-2022 tillsynsbegäran.docx", "A 20241-2022")</f>
        <v/>
      </c>
      <c r="AD62">
        <f>HYPERLINK("https://klasma.github.io/Logging_1780/tillsynsmail/A 20241-2022 tillsynsbegäran mail.docx", "A 20241-2022")</f>
        <v/>
      </c>
    </row>
    <row r="63" ht="15" customHeight="1">
      <c r="A63" t="inlineStr">
        <is>
          <t>A 9737-2023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44984</v>
      </c>
      <c r="E63" s="1" t="n">
        <v>46298</v>
      </c>
      <c r="F63" t="inlineStr">
        <is>
          <t>VÄRMLANDS LÄN</t>
        </is>
      </c>
      <c r="G63" t="inlineStr">
        <is>
          <t>KARLSTAD</t>
        </is>
      </c>
      <c r="I63" t="n">
        <v>2.6</v>
      </c>
      <c r="J63" t="n">
        <v>0</v>
      </c>
      <c r="K63" t="n">
        <v>0</v>
      </c>
      <c r="L63" t="n">
        <v>1</v>
      </c>
      <c r="M63" t="n">
        <v>0</v>
      </c>
      <c r="N63" t="n">
        <v>0</v>
      </c>
      <c r="O63" t="n">
        <v>0</v>
      </c>
      <c r="P63" t="n">
        <v>0</v>
      </c>
      <c r="Q63" t="n">
        <v>1</v>
      </c>
      <c r="R63" t="n">
        <v>0</v>
      </c>
      <c r="S63" t="n">
        <v>1</v>
      </c>
      <c r="T63" t="n">
        <v>1</v>
      </c>
      <c r="U63" t="n">
        <v>1</v>
      </c>
      <c r="V63" s="2" t="inlineStr">
        <is>
          <t>Ullticka</t>
        </is>
      </c>
      <c r="W63">
        <f>HYPERLINK("https://klasma.github.io/Logging_1780/artfynd/A 9737-2023 artfynd.xlsx", "A 9737-2023")</f>
        <v/>
      </c>
      <c r="X63">
        <f>HYPERLINK("https://klasma.github.io/Logging_1780/kartor/A 9737-2023 karta.png", "A 9737-2023")</f>
        <v/>
      </c>
      <c r="Y63">
        <f>HYPERLINK("https://klasma.github.io/Logging_1780/kartor_geotiff/A 9737-2023 georefererad karta.tif", "A 9737-2023")</f>
        <v/>
      </c>
      <c r="AA63">
        <f>HYPERLINK("https://klasma.github.io/Logging_1780/klagomål/A 9737-2023 FSC-klagomål.docx", "A 9737-2023")</f>
        <v/>
      </c>
      <c r="AB63">
        <f>HYPERLINK("https://klasma.github.io/Logging_1780/klagomålsmail/A 9737-2023 FSC-klagomål mail.docx", "A 9737-2023")</f>
        <v/>
      </c>
      <c r="AC63">
        <f>HYPERLINK("https://klasma.github.io/Logging_1780/tillsyn/A 9737-2023 tillsynsbegäran.docx", "A 9737-2023")</f>
        <v/>
      </c>
      <c r="AD63">
        <f>HYPERLINK("https://klasma.github.io/Logging_1780/tillsynsmail/A 9737-2023 tillsynsbegäran mail.docx", "A 9737-2023")</f>
        <v/>
      </c>
    </row>
    <row r="64" ht="15" customHeight="1">
      <c r="A64" t="inlineStr">
        <is>
          <t>A 9470-2023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44981</v>
      </c>
      <c r="E64" s="1" t="n">
        <v>46298</v>
      </c>
      <c r="F64" t="inlineStr">
        <is>
          <t>VÄRMLANDS LÄN</t>
        </is>
      </c>
      <c r="G64" t="inlineStr">
        <is>
          <t>KARLSTAD</t>
        </is>
      </c>
      <c r="H64" t="inlineStr">
        <is>
          <t>Kyrkan</t>
        </is>
      </c>
      <c r="I64" t="n">
        <v>9.800000000000001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1</v>
      </c>
      <c r="T64" t="n">
        <v>1</v>
      </c>
      <c r="U64" t="n">
        <v>0</v>
      </c>
      <c r="V64" s="2" t="inlineStr">
        <is>
          <t>Gullviva</t>
        </is>
      </c>
      <c r="W64">
        <f>HYPERLINK("https://klasma.github.io/Logging_1780/artfynd/A 9470-2023 artfynd.xlsx", "A 9470-2023")</f>
        <v/>
      </c>
      <c r="X64">
        <f>HYPERLINK("https://klasma.github.io/Logging_1780/kartor/A 9470-2023 karta.png", "A 9470-2023")</f>
        <v/>
      </c>
      <c r="Y64">
        <f>HYPERLINK("https://klasma.github.io/Logging_1780/kartor_geotiff/A 9470-2023 georefererad karta.tif", "A 9470-2023")</f>
        <v/>
      </c>
      <c r="AA64">
        <f>HYPERLINK("https://klasma.github.io/Logging_1780/klagomål/A 9470-2023 FSC-klagomål.docx", "A 9470-2023")</f>
        <v/>
      </c>
      <c r="AB64">
        <f>HYPERLINK("https://klasma.github.io/Logging_1780/klagomålsmail/A 9470-2023 FSC-klagomål mail.docx", "A 9470-2023")</f>
        <v/>
      </c>
      <c r="AC64">
        <f>HYPERLINK("https://klasma.github.io/Logging_1780/tillsyn/A 9470-2023 tillsynsbegäran.docx", "A 9470-2023")</f>
        <v/>
      </c>
      <c r="AD64">
        <f>HYPERLINK("https://klasma.github.io/Logging_1780/tillsynsmail/A 9470-2023 tillsynsbegäran mail.docx", "A 9470-2023")</f>
        <v/>
      </c>
    </row>
    <row r="65" ht="15" customHeight="1">
      <c r="A65" t="inlineStr">
        <is>
          <t>A 18470-2022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44686</v>
      </c>
      <c r="E65" s="1" t="n">
        <v>46298</v>
      </c>
      <c r="F65" t="inlineStr">
        <is>
          <t>VÄRMLANDS LÄN</t>
        </is>
      </c>
      <c r="G65" t="inlineStr">
        <is>
          <t>KARLSTAD</t>
        </is>
      </c>
      <c r="I65" t="n">
        <v>0.9</v>
      </c>
      <c r="J65" t="n">
        <v>1</v>
      </c>
      <c r="K65" t="n">
        <v>0</v>
      </c>
      <c r="L65" t="n">
        <v>1</v>
      </c>
      <c r="M65" t="n">
        <v>0</v>
      </c>
      <c r="N65" t="n">
        <v>0</v>
      </c>
      <c r="O65" t="n">
        <v>0</v>
      </c>
      <c r="P65" t="n">
        <v>0</v>
      </c>
      <c r="Q65" t="n">
        <v>1</v>
      </c>
      <c r="R65" t="n">
        <v>0</v>
      </c>
      <c r="S65" t="n">
        <v>1</v>
      </c>
      <c r="T65" t="n">
        <v>1</v>
      </c>
      <c r="U65" t="n">
        <v>1</v>
      </c>
      <c r="V65" s="2" t="inlineStr">
        <is>
          <t>Sparvuggla</t>
        </is>
      </c>
      <c r="W65">
        <f>HYPERLINK("https://klasma.github.io/Logging_1780/artfynd/A 18470-2022 artfynd.xlsx", "A 18470-2022")</f>
        <v/>
      </c>
      <c r="X65">
        <f>HYPERLINK("https://klasma.github.io/Logging_1780/kartor/A 18470-2022 karta.png", "A 18470-2022")</f>
        <v/>
      </c>
      <c r="Y65">
        <f>HYPERLINK("https://klasma.github.io/Logging_1780/kartor_geotiff/A 18470-2022 georefererad karta.tif", "A 18470-2022")</f>
        <v/>
      </c>
      <c r="AA65">
        <f>HYPERLINK("https://klasma.github.io/Logging_1780/klagomål/A 18470-2022 FSC-klagomål.docx", "A 18470-2022")</f>
        <v/>
      </c>
      <c r="AB65">
        <f>HYPERLINK("https://klasma.github.io/Logging_1780/klagomålsmail/A 18470-2022 FSC-klagomål mail.docx", "A 18470-2022")</f>
        <v/>
      </c>
      <c r="AC65">
        <f>HYPERLINK("https://klasma.github.io/Logging_1780/tillsyn/A 18470-2022 tillsynsbegäran.docx", "A 18470-2022")</f>
        <v/>
      </c>
      <c r="AD65">
        <f>HYPERLINK("https://klasma.github.io/Logging_1780/tillsynsmail/A 18470-2022 tillsynsbegäran mail.docx", "A 18470-2022")</f>
        <v/>
      </c>
      <c r="AE65">
        <f>HYPERLINK("https://klasma.github.io/Logging_1780/fåglar/A 18470-2022 prioriterade fågelarter.docx", "A 18470-2022")</f>
        <v/>
      </c>
    </row>
    <row r="66" ht="15" customHeight="1">
      <c r="A66" t="inlineStr">
        <is>
          <t>A 55277-2021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44475</v>
      </c>
      <c r="E66" s="1" t="n">
        <v>46298</v>
      </c>
      <c r="F66" t="inlineStr">
        <is>
          <t>VÄRMLANDS LÄN</t>
        </is>
      </c>
      <c r="G66" t="inlineStr">
        <is>
          <t>KARLSTAD</t>
        </is>
      </c>
      <c r="H66" t="inlineStr">
        <is>
          <t>Kommuner</t>
        </is>
      </c>
      <c r="I66" t="n">
        <v>3.7</v>
      </c>
      <c r="J66" t="n">
        <v>0</v>
      </c>
      <c r="K66" t="n">
        <v>0</v>
      </c>
      <c r="L66" t="n">
        <v>1</v>
      </c>
      <c r="M66" t="n">
        <v>0</v>
      </c>
      <c r="N66" t="n">
        <v>0</v>
      </c>
      <c r="O66" t="n">
        <v>0</v>
      </c>
      <c r="P66" t="n">
        <v>0</v>
      </c>
      <c r="Q66" t="n">
        <v>1</v>
      </c>
      <c r="R66" t="n">
        <v>0</v>
      </c>
      <c r="S66" t="n">
        <v>1</v>
      </c>
      <c r="T66" t="n">
        <v>1</v>
      </c>
      <c r="U66" t="n">
        <v>1</v>
      </c>
      <c r="V66" s="2" t="inlineStr">
        <is>
          <t>Vitfläckig guldvinge</t>
        </is>
      </c>
      <c r="W66">
        <f>HYPERLINK("https://klasma.github.io/Logging_1780/artfynd/A 55277-2021 artfynd.xlsx", "A 55277-2021")</f>
        <v/>
      </c>
      <c r="X66">
        <f>HYPERLINK("https://klasma.github.io/Logging_1780/kartor/A 55277-2021 karta.png", "A 55277-2021")</f>
        <v/>
      </c>
      <c r="Y66">
        <f>HYPERLINK("https://klasma.github.io/Logging_1780/kartor_geotiff/A 55277-2021 georefererad karta.tif", "A 55277-2021")</f>
        <v/>
      </c>
      <c r="AA66">
        <f>HYPERLINK("https://klasma.github.io/Logging_1780/klagomål/A 55277-2021 FSC-klagomål.docx", "A 55277-2021")</f>
        <v/>
      </c>
      <c r="AB66">
        <f>HYPERLINK("https://klasma.github.io/Logging_1780/klagomålsmail/A 55277-2021 FSC-klagomål mail.docx", "A 55277-2021")</f>
        <v/>
      </c>
      <c r="AC66">
        <f>HYPERLINK("https://klasma.github.io/Logging_1780/tillsyn/A 55277-2021 tillsynsbegäran.docx", "A 55277-2021")</f>
        <v/>
      </c>
      <c r="AD66">
        <f>HYPERLINK("https://klasma.github.io/Logging_1780/tillsynsmail/A 55277-2021 tillsynsbegäran mail.docx", "A 55277-2021")</f>
        <v/>
      </c>
    </row>
    <row r="67" ht="15" customHeight="1">
      <c r="A67" t="inlineStr">
        <is>
          <t>A 51895-2024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45607</v>
      </c>
      <c r="E67" s="1" t="n">
        <v>46298</v>
      </c>
      <c r="F67" t="inlineStr">
        <is>
          <t>VÄRMLANDS LÄN</t>
        </is>
      </c>
      <c r="G67" t="inlineStr">
        <is>
          <t>KARLSTAD</t>
        </is>
      </c>
      <c r="I67" t="n">
        <v>0.5</v>
      </c>
      <c r="J67" t="n">
        <v>0</v>
      </c>
      <c r="K67" t="n">
        <v>1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1</v>
      </c>
      <c r="T67" t="n">
        <v>1</v>
      </c>
      <c r="U67" t="n">
        <v>0</v>
      </c>
      <c r="V67" s="2" t="inlineStr">
        <is>
          <t>Strutbräken</t>
        </is>
      </c>
      <c r="W67">
        <f>HYPERLINK("https://klasma.github.io/Logging_1780/artfynd/A 51895-2024 artfynd.xlsx", "A 51895-2024")</f>
        <v/>
      </c>
      <c r="X67">
        <f>HYPERLINK("https://klasma.github.io/Logging_1780/kartor/A 51895-2024 karta.png", "A 51895-2024")</f>
        <v/>
      </c>
      <c r="Y67">
        <f>HYPERLINK("https://klasma.github.io/Logging_1780/kartor_geotiff/A 51895-2024 georefererad karta.tif", "A 51895-2024")</f>
        <v/>
      </c>
      <c r="AA67">
        <f>HYPERLINK("https://klasma.github.io/Logging_1780/klagomål/A 51895-2024 FSC-klagomål.docx", "A 51895-2024")</f>
        <v/>
      </c>
      <c r="AB67">
        <f>HYPERLINK("https://klasma.github.io/Logging_1780/klagomålsmail/A 51895-2024 FSC-klagomål mail.docx", "A 51895-2024")</f>
        <v/>
      </c>
      <c r="AC67">
        <f>HYPERLINK("https://klasma.github.io/Logging_1780/tillsyn/A 51895-2024 tillsynsbegäran.docx", "A 51895-2024")</f>
        <v/>
      </c>
      <c r="AD67">
        <f>HYPERLINK("https://klasma.github.io/Logging_1780/tillsynsmail/A 51895-2024 tillsynsbegäran mail.docx", "A 51895-2024")</f>
        <v/>
      </c>
    </row>
    <row r="68" ht="15" customHeight="1">
      <c r="A68" t="inlineStr">
        <is>
          <t>S 265-2022</t>
        </is>
      </c>
      <c r="B68" t="inlineStr">
        <is>
          <t>samrådsanmälan</t>
        </is>
      </c>
      <c r="C68" t="inlineStr">
        <is>
          <t>Skogsgödsling</t>
        </is>
      </c>
      <c r="D68" s="1" t="n">
        <v>44578</v>
      </c>
      <c r="E68" s="1" t="n">
        <v>46298</v>
      </c>
      <c r="F68" t="inlineStr">
        <is>
          <t>VÄRMLANDS LÄN</t>
        </is>
      </c>
      <c r="G68" t="inlineStr">
        <is>
          <t>KARLSTAD</t>
        </is>
      </c>
      <c r="H68" t="inlineStr">
        <is>
          <t>Bergvik skog väst AB</t>
        </is>
      </c>
      <c r="I68" t="n">
        <v>25.3</v>
      </c>
      <c r="J68" t="n">
        <v>1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1</v>
      </c>
      <c r="T68" t="n">
        <v>1</v>
      </c>
      <c r="U68" t="n">
        <v>1</v>
      </c>
      <c r="V68" s="2" t="inlineStr">
        <is>
          <t>Järpe</t>
        </is>
      </c>
      <c r="W68">
        <f>HYPERLINK("https://klasma.github.io/Logging_1780/artfynd/S 265-2022 artfynd.xlsx", "S 265-2022")</f>
        <v/>
      </c>
      <c r="X68">
        <f>HYPERLINK("https://klasma.github.io/Logging_1780/kartor/S 265-2022 karta.png", "S 265-2022")</f>
        <v/>
      </c>
      <c r="Y68">
        <f>HYPERLINK("https://klasma.github.io/Logging_1780/kartor_geotiff/S 265-2022 georefererad karta.tif", "S 265-2022")</f>
        <v/>
      </c>
      <c r="AA68">
        <f>HYPERLINK("https://klasma.github.io/Logging_1780/klagomål/S 265-2022 FSC-klagomål.docx", "S 265-2022")</f>
        <v/>
      </c>
      <c r="AB68">
        <f>HYPERLINK("https://klasma.github.io/Logging_1780/klagomålsmail/S 265-2022 FSC-klagomål mail.docx", "S 265-2022")</f>
        <v/>
      </c>
      <c r="AC68">
        <f>HYPERLINK("https://klasma.github.io/Logging_1780/tillsyn/S 265-2022 tillsynsbegäran.docx", "S 265-2022")</f>
        <v/>
      </c>
      <c r="AD68">
        <f>HYPERLINK("https://klasma.github.io/Logging_1780/tillsynsmail/S 265-2022 tillsynsbegäran mail.docx", "S 265-2022")</f>
        <v/>
      </c>
      <c r="AE68">
        <f>HYPERLINK("https://klasma.github.io/Logging_1780/fåglar/S 265-2022 prioriterade fågelarter.docx", "S 265-2022")</f>
        <v/>
      </c>
    </row>
    <row r="69" ht="15" customHeight="1">
      <c r="A69" t="inlineStr">
        <is>
          <t>S 4136-2023</t>
        </is>
      </c>
      <c r="B69" t="inlineStr">
        <is>
          <t>samrådsanmälan</t>
        </is>
      </c>
      <c r="C69" t="inlineStr">
        <is>
          <t>Skogsgödsling</t>
        </is>
      </c>
      <c r="D69" s="1" t="n">
        <v>45247</v>
      </c>
      <c r="E69" s="1" t="n">
        <v>46298</v>
      </c>
      <c r="F69" t="inlineStr">
        <is>
          <t>VÄRMLANDS LÄN</t>
        </is>
      </c>
      <c r="G69" t="inlineStr">
        <is>
          <t>KARLSTAD</t>
        </is>
      </c>
      <c r="H69" t="inlineStr">
        <is>
          <t>Bergvik skog väst AB</t>
        </is>
      </c>
      <c r="I69" t="n">
        <v>11.7</v>
      </c>
      <c r="J69" t="n">
        <v>1</v>
      </c>
      <c r="K69" t="n">
        <v>0</v>
      </c>
      <c r="L69" t="n">
        <v>0</v>
      </c>
      <c r="M69" t="n">
        <v>1</v>
      </c>
      <c r="N69" t="n">
        <v>0</v>
      </c>
      <c r="O69" t="n">
        <v>0</v>
      </c>
      <c r="P69" t="n">
        <v>0</v>
      </c>
      <c r="Q69" t="n">
        <v>1</v>
      </c>
      <c r="R69" t="n">
        <v>1</v>
      </c>
      <c r="S69" t="n">
        <v>1</v>
      </c>
      <c r="T69" t="n">
        <v>1</v>
      </c>
      <c r="U69" t="n">
        <v>1</v>
      </c>
      <c r="V69" s="2" t="inlineStr">
        <is>
          <t>Lappuggla</t>
        </is>
      </c>
      <c r="W69">
        <f>HYPERLINK("https://klasma.github.io/Logging_1780/artfynd/S 4136-2023 artfynd.xlsx", "S 4136-2023")</f>
        <v/>
      </c>
      <c r="X69">
        <f>HYPERLINK("https://klasma.github.io/Logging_1780/kartor/S 4136-2023 karta.png", "S 4136-2023")</f>
        <v/>
      </c>
      <c r="Y69">
        <f>HYPERLINK("https://klasma.github.io/Logging_1780/kartor_geotiff/S 4136-2023 georefererad karta.tif", "S 4136-2023")</f>
        <v/>
      </c>
      <c r="AA69">
        <f>HYPERLINK("https://klasma.github.io/Logging_1780/klagomål/S 4136-2023 FSC-klagomål.docx", "S 4136-2023")</f>
        <v/>
      </c>
      <c r="AB69">
        <f>HYPERLINK("https://klasma.github.io/Logging_1780/klagomålsmail/S 4136-2023 FSC-klagomål mail.docx", "S 4136-2023")</f>
        <v/>
      </c>
      <c r="AC69">
        <f>HYPERLINK("https://klasma.github.io/Logging_1780/tillsyn/S 4136-2023 tillsynsbegäran.docx", "S 4136-2023")</f>
        <v/>
      </c>
      <c r="AD69">
        <f>HYPERLINK("https://klasma.github.io/Logging_1780/tillsynsmail/S 4136-2023 tillsynsbegäran mail.docx", "S 4136-2023")</f>
        <v/>
      </c>
      <c r="AE69">
        <f>HYPERLINK("https://klasma.github.io/Logging_1780/fåglar/S 4136-2023 prioriterade fågelarter.docx", "S 4136-2023")</f>
        <v/>
      </c>
    </row>
    <row r="70" ht="15" customHeight="1">
      <c r="A70" t="inlineStr">
        <is>
          <t>S 113-2026</t>
        </is>
      </c>
      <c r="B70" t="inlineStr">
        <is>
          <t>samrådsanmälan</t>
        </is>
      </c>
      <c r="C70" t="inlineStr">
        <is>
          <t>Skogsgödsling</t>
        </is>
      </c>
      <c r="D70" s="1" t="n">
        <v>46037</v>
      </c>
      <c r="E70" s="1" t="n">
        <v>46298</v>
      </c>
      <c r="F70" t="inlineStr">
        <is>
          <t>VÄRMLANDS LÄN</t>
        </is>
      </c>
      <c r="G70" t="inlineStr">
        <is>
          <t>KARLSTAD</t>
        </is>
      </c>
      <c r="H70" t="inlineStr">
        <is>
          <t>Bergvik skog väst AB</t>
        </is>
      </c>
      <c r="I70" t="n">
        <v>94</v>
      </c>
      <c r="J70" t="n">
        <v>0</v>
      </c>
      <c r="K70" t="n">
        <v>0</v>
      </c>
      <c r="L70" t="n">
        <v>1</v>
      </c>
      <c r="M70" t="n">
        <v>0</v>
      </c>
      <c r="N70" t="n">
        <v>0</v>
      </c>
      <c r="O70" t="n">
        <v>0</v>
      </c>
      <c r="P70" t="n">
        <v>0</v>
      </c>
      <c r="Q70" t="n">
        <v>1</v>
      </c>
      <c r="R70" t="n">
        <v>0</v>
      </c>
      <c r="S70" t="n">
        <v>1</v>
      </c>
      <c r="T70" t="n">
        <v>1</v>
      </c>
      <c r="U70" t="n">
        <v>0</v>
      </c>
      <c r="V70" s="2" t="inlineStr">
        <is>
          <t>Grå blåbärsfältmätare</t>
        </is>
      </c>
      <c r="W70">
        <f>HYPERLINK("https://klasma.github.io/Logging_1780/artfynd/S 113-2026 artfynd.xlsx", "S 113-2026")</f>
        <v/>
      </c>
      <c r="X70">
        <f>HYPERLINK("https://klasma.github.io/Logging_1780/kartor/S 113-2026 karta.png", "S 113-2026")</f>
        <v/>
      </c>
      <c r="Y70">
        <f>HYPERLINK("https://klasma.github.io/Logging_1780/kartor_geotiff/S 113-2026 georefererad karta.tif", "S 113-2026")</f>
        <v/>
      </c>
      <c r="AA70">
        <f>HYPERLINK("https://klasma.github.io/Logging_1780/klagomål/S 113-2026 FSC-klagomål.docx", "S 113-2026")</f>
        <v/>
      </c>
      <c r="AB70">
        <f>HYPERLINK("https://klasma.github.io/Logging_1780/klagomålsmail/S 113-2026 FSC-klagomål mail.docx", "S 113-2026")</f>
        <v/>
      </c>
      <c r="AC70">
        <f>HYPERLINK("https://klasma.github.io/Logging_1780/tillsyn/S 113-2026 tillsynsbegäran.docx", "S 113-2026")</f>
        <v/>
      </c>
      <c r="AD70">
        <f>HYPERLINK("https://klasma.github.io/Logging_1780/tillsynsmail/S 113-2026 tillsynsbegäran mail.docx", "S 113-2026")</f>
        <v/>
      </c>
    </row>
    <row r="71" ht="15" customHeight="1">
      <c r="A71" t="inlineStr">
        <is>
          <t>A 59627-2021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44491</v>
      </c>
      <c r="E71" s="1" t="n">
        <v>46298</v>
      </c>
      <c r="F71" t="inlineStr">
        <is>
          <t>VÄRMLANDS LÄN</t>
        </is>
      </c>
      <c r="G71" t="inlineStr">
        <is>
          <t>KARLSTAD</t>
        </is>
      </c>
      <c r="I71" t="n">
        <v>3.4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57476-2021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44483</v>
      </c>
      <c r="E72" s="1" t="n">
        <v>46298</v>
      </c>
      <c r="F72" t="inlineStr">
        <is>
          <t>VÄRMLANDS LÄN</t>
        </is>
      </c>
      <c r="G72" t="inlineStr">
        <is>
          <t>KARLSTAD</t>
        </is>
      </c>
      <c r="H72" t="inlineStr">
        <is>
          <t>Kommuner</t>
        </is>
      </c>
      <c r="I72" t="n">
        <v>1.1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36422-2022</t>
        </is>
      </c>
      <c r="B73" t="inlineStr">
        <is>
          <t>avverkningsanmälan</t>
        </is>
      </c>
      <c r="C73" t="inlineStr">
        <is>
          <t>Avverkning för annat ändamål</t>
        </is>
      </c>
      <c r="D73" s="1" t="n">
        <v>44804</v>
      </c>
      <c r="E73" s="1" t="n">
        <v>46298</v>
      </c>
      <c r="F73" t="inlineStr">
        <is>
          <t>VÄRMLANDS LÄN</t>
        </is>
      </c>
      <c r="G73" t="inlineStr">
        <is>
          <t>KARLSTAD</t>
        </is>
      </c>
      <c r="I73" t="n">
        <v>6.5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6174-2022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44599</v>
      </c>
      <c r="E74" s="1" t="n">
        <v>46298</v>
      </c>
      <c r="F74" t="inlineStr">
        <is>
          <t>VÄRMLANDS LÄN</t>
        </is>
      </c>
      <c r="G74" t="inlineStr">
        <is>
          <t>KARLSTAD</t>
        </is>
      </c>
      <c r="I74" t="n">
        <v>22.8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35567-2022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44799</v>
      </c>
      <c r="E75" s="1" t="n">
        <v>46298</v>
      </c>
      <c r="F75" t="inlineStr">
        <is>
          <t>VÄRMLANDS LÄN</t>
        </is>
      </c>
      <c r="G75" t="inlineStr">
        <is>
          <t>KARLSTAD</t>
        </is>
      </c>
      <c r="I75" t="n">
        <v>5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5057-2022</t>
        </is>
      </c>
      <c r="B76" t="inlineStr">
        <is>
          <t>avverkningsanmälan</t>
        </is>
      </c>
      <c r="C76" t="inlineStr">
        <is>
          <t>Avverkning för annat ändamål</t>
        </is>
      </c>
      <c r="D76" s="1" t="n">
        <v>44593</v>
      </c>
      <c r="E76" s="1" t="n">
        <v>46298</v>
      </c>
      <c r="F76" t="inlineStr">
        <is>
          <t>VÄRMLANDS LÄN</t>
        </is>
      </c>
      <c r="G76" t="inlineStr">
        <is>
          <t>KARLSTAD</t>
        </is>
      </c>
      <c r="H76" t="inlineStr">
        <is>
          <t>Kommuner</t>
        </is>
      </c>
      <c r="I76" t="n">
        <v>0.5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70254-2021</t>
        </is>
      </c>
      <c r="B77" t="inlineStr">
        <is>
          <t>avverkningsanmälan</t>
        </is>
      </c>
      <c r="C77" t="inlineStr">
        <is>
          <t>Avverkning för annat ändamål</t>
        </is>
      </c>
      <c r="D77" s="1" t="n">
        <v>44536</v>
      </c>
      <c r="E77" s="1" t="n">
        <v>46298</v>
      </c>
      <c r="F77" t="inlineStr">
        <is>
          <t>VÄRMLANDS LÄN</t>
        </is>
      </c>
      <c r="G77" t="inlineStr">
        <is>
          <t>KARLSTAD</t>
        </is>
      </c>
      <c r="I77" t="n">
        <v>0.5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13999-2022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44650</v>
      </c>
      <c r="E78" s="1" t="n">
        <v>46298</v>
      </c>
      <c r="F78" t="inlineStr">
        <is>
          <t>VÄRMLANDS LÄN</t>
        </is>
      </c>
      <c r="G78" t="inlineStr">
        <is>
          <t>KARLSTAD</t>
        </is>
      </c>
      <c r="I78" t="n">
        <v>1.3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61105-2021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44498</v>
      </c>
      <c r="E79" s="1" t="n">
        <v>46298</v>
      </c>
      <c r="F79" t="inlineStr">
        <is>
          <t>VÄRMLANDS LÄN</t>
        </is>
      </c>
      <c r="G79" t="inlineStr">
        <is>
          <t>KARLSTAD</t>
        </is>
      </c>
      <c r="I79" t="n">
        <v>3.9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55110-2021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44474</v>
      </c>
      <c r="E80" s="1" t="n">
        <v>46298</v>
      </c>
      <c r="F80" t="inlineStr">
        <is>
          <t>VÄRMLANDS LÄN</t>
        </is>
      </c>
      <c r="G80" t="inlineStr">
        <is>
          <t>KARLSTAD</t>
        </is>
      </c>
      <c r="I80" t="n">
        <v>0.5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55111-2021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44474</v>
      </c>
      <c r="E81" s="1" t="n">
        <v>46298</v>
      </c>
      <c r="F81" t="inlineStr">
        <is>
          <t>VÄRMLANDS LÄN</t>
        </is>
      </c>
      <c r="G81" t="inlineStr">
        <is>
          <t>KARLSTAD</t>
        </is>
      </c>
      <c r="I81" t="n">
        <v>0.5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57237-2021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44482</v>
      </c>
      <c r="E82" s="1" t="n">
        <v>46298</v>
      </c>
      <c r="F82" t="inlineStr">
        <is>
          <t>VÄRMLANDS LÄN</t>
        </is>
      </c>
      <c r="G82" t="inlineStr">
        <is>
          <t>KARLSTAD</t>
        </is>
      </c>
      <c r="I82" t="n">
        <v>0.9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15558-2022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44662</v>
      </c>
      <c r="E83" s="1" t="n">
        <v>46298</v>
      </c>
      <c r="F83" t="inlineStr">
        <is>
          <t>VÄRMLANDS LÄN</t>
        </is>
      </c>
      <c r="G83" t="inlineStr">
        <is>
          <t>KARLSTAD</t>
        </is>
      </c>
      <c r="I83" t="n">
        <v>2.2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65625-2021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44516</v>
      </c>
      <c r="E84" s="1" t="n">
        <v>46298</v>
      </c>
      <c r="F84" t="inlineStr">
        <is>
          <t>VÄRMLANDS LÄN</t>
        </is>
      </c>
      <c r="G84" t="inlineStr">
        <is>
          <t>KARLSTAD</t>
        </is>
      </c>
      <c r="I84" t="n">
        <v>1.5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5458-2022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44594</v>
      </c>
      <c r="E85" s="1" t="n">
        <v>46298</v>
      </c>
      <c r="F85" t="inlineStr">
        <is>
          <t>VÄRMLANDS LÄN</t>
        </is>
      </c>
      <c r="G85" t="inlineStr">
        <is>
          <t>KARLSTAD</t>
        </is>
      </c>
      <c r="I85" t="n">
        <v>1.9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546-2022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44566</v>
      </c>
      <c r="E86" s="1" t="n">
        <v>46298</v>
      </c>
      <c r="F86" t="inlineStr">
        <is>
          <t>VÄRMLANDS LÄN</t>
        </is>
      </c>
      <c r="G86" t="inlineStr">
        <is>
          <t>KARLSTAD</t>
        </is>
      </c>
      <c r="H86" t="inlineStr">
        <is>
          <t>Bergvik skog väst AB</t>
        </is>
      </c>
      <c r="I86" t="n">
        <v>9.199999999999999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6061-2022</t>
        </is>
      </c>
      <c r="B87" t="inlineStr">
        <is>
          <t>avverkningsanmälan</t>
        </is>
      </c>
      <c r="C87" t="inlineStr">
        <is>
          <t>Avverkning för annat ändamål</t>
        </is>
      </c>
      <c r="D87" s="1" t="n">
        <v>44599</v>
      </c>
      <c r="E87" s="1" t="n">
        <v>46298</v>
      </c>
      <c r="F87" t="inlineStr">
        <is>
          <t>VÄRMLANDS LÄN</t>
        </is>
      </c>
      <c r="G87" t="inlineStr">
        <is>
          <t>KARLSTAD</t>
        </is>
      </c>
      <c r="I87" t="n">
        <v>1.7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44080-2022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44839</v>
      </c>
      <c r="E88" s="1" t="n">
        <v>46298</v>
      </c>
      <c r="F88" t="inlineStr">
        <is>
          <t>VÄRMLANDS LÄN</t>
        </is>
      </c>
      <c r="G88" t="inlineStr">
        <is>
          <t>KARLSTAD</t>
        </is>
      </c>
      <c r="I88" t="n">
        <v>3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13882-2022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44650</v>
      </c>
      <c r="E89" s="1" t="n">
        <v>46298</v>
      </c>
      <c r="F89" t="inlineStr">
        <is>
          <t>VÄRMLANDS LÄN</t>
        </is>
      </c>
      <c r="G89" t="inlineStr">
        <is>
          <t>KARLSTAD</t>
        </is>
      </c>
      <c r="H89" t="inlineStr">
        <is>
          <t>Bergvik skog väst AB</t>
        </is>
      </c>
      <c r="I89" t="n">
        <v>0.6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61099-2021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44498</v>
      </c>
      <c r="E90" s="1" t="n">
        <v>46298</v>
      </c>
      <c r="F90" t="inlineStr">
        <is>
          <t>VÄRMLANDS LÄN</t>
        </is>
      </c>
      <c r="G90" t="inlineStr">
        <is>
          <t>KARLSTAD</t>
        </is>
      </c>
      <c r="I90" t="n">
        <v>4.9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26922-2022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44740</v>
      </c>
      <c r="E91" s="1" t="n">
        <v>46298</v>
      </c>
      <c r="F91" t="inlineStr">
        <is>
          <t>VÄRMLANDS LÄN</t>
        </is>
      </c>
      <c r="G91" t="inlineStr">
        <is>
          <t>KARLSTAD</t>
        </is>
      </c>
      <c r="I91" t="n">
        <v>4.8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54430-2022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44882</v>
      </c>
      <c r="E92" s="1" t="n">
        <v>46298</v>
      </c>
      <c r="F92" t="inlineStr">
        <is>
          <t>VÄRMLANDS LÄN</t>
        </is>
      </c>
      <c r="G92" t="inlineStr">
        <is>
          <t>KARLSTAD</t>
        </is>
      </c>
      <c r="H92" t="inlineStr">
        <is>
          <t>Kommuner</t>
        </is>
      </c>
      <c r="I92" t="n">
        <v>1.5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47330-2022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44853</v>
      </c>
      <c r="E93" s="1" t="n">
        <v>46298</v>
      </c>
      <c r="F93" t="inlineStr">
        <is>
          <t>VÄRMLANDS LÄN</t>
        </is>
      </c>
      <c r="G93" t="inlineStr">
        <is>
          <t>KARLSTAD</t>
        </is>
      </c>
      <c r="I93" t="n">
        <v>0.4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54365-2022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44882</v>
      </c>
      <c r="E94" s="1" t="n">
        <v>46298</v>
      </c>
      <c r="F94" t="inlineStr">
        <is>
          <t>VÄRMLANDS LÄN</t>
        </is>
      </c>
      <c r="G94" t="inlineStr">
        <is>
          <t>KARLSTAD</t>
        </is>
      </c>
      <c r="H94" t="inlineStr">
        <is>
          <t>Kommuner</t>
        </is>
      </c>
      <c r="I94" t="n">
        <v>0.8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54441-2022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44882</v>
      </c>
      <c r="E95" s="1" t="n">
        <v>46298</v>
      </c>
      <c r="F95" t="inlineStr">
        <is>
          <t>VÄRMLANDS LÄN</t>
        </is>
      </c>
      <c r="G95" t="inlineStr">
        <is>
          <t>KARLSTAD</t>
        </is>
      </c>
      <c r="H95" t="inlineStr">
        <is>
          <t>Kommuner</t>
        </is>
      </c>
      <c r="I95" t="n">
        <v>0.6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72339-2021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44544</v>
      </c>
      <c r="E96" s="1" t="n">
        <v>46298</v>
      </c>
      <c r="F96" t="inlineStr">
        <is>
          <t>VÄRMLANDS LÄN</t>
        </is>
      </c>
      <c r="G96" t="inlineStr">
        <is>
          <t>KARLSTAD</t>
        </is>
      </c>
      <c r="I96" t="n">
        <v>0.5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58507-2021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44488</v>
      </c>
      <c r="E97" s="1" t="n">
        <v>46298</v>
      </c>
      <c r="F97" t="inlineStr">
        <is>
          <t>VÄRMLANDS LÄN</t>
        </is>
      </c>
      <c r="G97" t="inlineStr">
        <is>
          <t>KARLSTAD</t>
        </is>
      </c>
      <c r="I97" t="n">
        <v>4.3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5461-2022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44594</v>
      </c>
      <c r="E98" s="1" t="n">
        <v>46298</v>
      </c>
      <c r="F98" t="inlineStr">
        <is>
          <t>VÄRMLANDS LÄN</t>
        </is>
      </c>
      <c r="G98" t="inlineStr">
        <is>
          <t>KARLSTAD</t>
        </is>
      </c>
      <c r="I98" t="n">
        <v>3.3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18697-2022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44687</v>
      </c>
      <c r="E99" s="1" t="n">
        <v>46298</v>
      </c>
      <c r="F99" t="inlineStr">
        <is>
          <t>VÄRMLANDS LÄN</t>
        </is>
      </c>
      <c r="G99" t="inlineStr">
        <is>
          <t>KARLSTAD</t>
        </is>
      </c>
      <c r="H99" t="inlineStr">
        <is>
          <t>Bergvik skog väst AB</t>
        </is>
      </c>
      <c r="I99" t="n">
        <v>12.5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14854-2022</t>
        </is>
      </c>
      <c r="B100" t="inlineStr">
        <is>
          <t>avverkningsanmälan</t>
        </is>
      </c>
      <c r="C100" t="inlineStr">
        <is>
          <t>Avverkning för annat ändamål</t>
        </is>
      </c>
      <c r="D100" s="1" t="n">
        <v>44656</v>
      </c>
      <c r="E100" s="1" t="n">
        <v>46298</v>
      </c>
      <c r="F100" t="inlineStr">
        <is>
          <t>VÄRMLANDS LÄN</t>
        </is>
      </c>
      <c r="G100" t="inlineStr">
        <is>
          <t>KARLSTAD</t>
        </is>
      </c>
      <c r="I100" t="n">
        <v>0.8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50803-2022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44867</v>
      </c>
      <c r="E101" s="1" t="n">
        <v>46298</v>
      </c>
      <c r="F101" t="inlineStr">
        <is>
          <t>VÄRMLANDS LÄN</t>
        </is>
      </c>
      <c r="G101" t="inlineStr">
        <is>
          <t>KARLSTAD</t>
        </is>
      </c>
      <c r="I101" t="n">
        <v>2.8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22205-2022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44712</v>
      </c>
      <c r="E102" s="1" t="n">
        <v>46298</v>
      </c>
      <c r="F102" t="inlineStr">
        <is>
          <t>VÄRMLANDS LÄN</t>
        </is>
      </c>
      <c r="G102" t="inlineStr">
        <is>
          <t>KARLSTAD</t>
        </is>
      </c>
      <c r="I102" t="n">
        <v>3.5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65630-2021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44516</v>
      </c>
      <c r="E103" s="1" t="n">
        <v>46298</v>
      </c>
      <c r="F103" t="inlineStr">
        <is>
          <t>VÄRMLANDS LÄN</t>
        </is>
      </c>
      <c r="G103" t="inlineStr">
        <is>
          <t>KARLSTAD</t>
        </is>
      </c>
      <c r="I103" t="n">
        <v>2.1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58501-2021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44488</v>
      </c>
      <c r="E104" s="1" t="n">
        <v>46298</v>
      </c>
      <c r="F104" t="inlineStr">
        <is>
          <t>VÄRMLANDS LÄN</t>
        </is>
      </c>
      <c r="G104" t="inlineStr">
        <is>
          <t>KARLSTAD</t>
        </is>
      </c>
      <c r="I104" t="n">
        <v>0.6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22006-2022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44711</v>
      </c>
      <c r="E105" s="1" t="n">
        <v>46298</v>
      </c>
      <c r="F105" t="inlineStr">
        <is>
          <t>VÄRMLANDS LÄN</t>
        </is>
      </c>
      <c r="G105" t="inlineStr">
        <is>
          <t>KARLSTAD</t>
        </is>
      </c>
      <c r="I105" t="n">
        <v>0.7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61514-2021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44501</v>
      </c>
      <c r="E106" s="1" t="n">
        <v>46298</v>
      </c>
      <c r="F106" t="inlineStr">
        <is>
          <t>VÄRMLANDS LÄN</t>
        </is>
      </c>
      <c r="G106" t="inlineStr">
        <is>
          <t>KARLSTAD</t>
        </is>
      </c>
      <c r="I106" t="n">
        <v>2.2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70921-2021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44537</v>
      </c>
      <c r="E107" s="1" t="n">
        <v>46298</v>
      </c>
      <c r="F107" t="inlineStr">
        <is>
          <t>VÄRMLANDS LÄN</t>
        </is>
      </c>
      <c r="G107" t="inlineStr">
        <is>
          <t>KARLSTAD</t>
        </is>
      </c>
      <c r="I107" t="n">
        <v>2.4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70123-2021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44533</v>
      </c>
      <c r="E108" s="1" t="n">
        <v>46298</v>
      </c>
      <c r="F108" t="inlineStr">
        <is>
          <t>VÄRMLANDS LÄN</t>
        </is>
      </c>
      <c r="G108" t="inlineStr">
        <is>
          <t>KARLSTAD</t>
        </is>
      </c>
      <c r="I108" t="n">
        <v>1.7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70144-2021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44533</v>
      </c>
      <c r="E109" s="1" t="n">
        <v>46298</v>
      </c>
      <c r="F109" t="inlineStr">
        <is>
          <t>VÄRMLANDS LÄN</t>
        </is>
      </c>
      <c r="G109" t="inlineStr">
        <is>
          <t>KARLSTAD</t>
        </is>
      </c>
      <c r="I109" t="n">
        <v>0.7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20777-2022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44701</v>
      </c>
      <c r="E110" s="1" t="n">
        <v>46298</v>
      </c>
      <c r="F110" t="inlineStr">
        <is>
          <t>VÄRMLANDS LÄN</t>
        </is>
      </c>
      <c r="G110" t="inlineStr">
        <is>
          <t>KARLSTAD</t>
        </is>
      </c>
      <c r="H110" t="inlineStr">
        <is>
          <t>Bergvik skog väst AB</t>
        </is>
      </c>
      <c r="I110" t="n">
        <v>1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14401-2022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44652</v>
      </c>
      <c r="E111" s="1" t="n">
        <v>46298</v>
      </c>
      <c r="F111" t="inlineStr">
        <is>
          <t>VÄRMLANDS LÄN</t>
        </is>
      </c>
      <c r="G111" t="inlineStr">
        <is>
          <t>KARLSTAD</t>
        </is>
      </c>
      <c r="H111" t="inlineStr">
        <is>
          <t>Naturvårdsverket</t>
        </is>
      </c>
      <c r="I111" t="n">
        <v>1.1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73318-2021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44550</v>
      </c>
      <c r="E112" s="1" t="n">
        <v>46298</v>
      </c>
      <c r="F112" t="inlineStr">
        <is>
          <t>VÄRMLANDS LÄN</t>
        </is>
      </c>
      <c r="G112" t="inlineStr">
        <is>
          <t>KARLSTAD</t>
        </is>
      </c>
      <c r="I112" t="n">
        <v>2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40855-2022</t>
        </is>
      </c>
      <c r="B113" t="inlineStr">
        <is>
          <t>avverkningsanmälan</t>
        </is>
      </c>
      <c r="C113" t="inlineStr">
        <is>
          <t>Avverkning för annat ändamål</t>
        </is>
      </c>
      <c r="D113" s="1" t="n">
        <v>44825</v>
      </c>
      <c r="E113" s="1" t="n">
        <v>46298</v>
      </c>
      <c r="F113" t="inlineStr">
        <is>
          <t>VÄRMLANDS LÄN</t>
        </is>
      </c>
      <c r="G113" t="inlineStr">
        <is>
          <t>KARLSTAD</t>
        </is>
      </c>
      <c r="I113" t="n">
        <v>1.1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57469-2021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44483</v>
      </c>
      <c r="E114" s="1" t="n">
        <v>46298</v>
      </c>
      <c r="F114" t="inlineStr">
        <is>
          <t>VÄRMLANDS LÄN</t>
        </is>
      </c>
      <c r="G114" t="inlineStr">
        <is>
          <t>KARLSTAD</t>
        </is>
      </c>
      <c r="H114" t="inlineStr">
        <is>
          <t>Kommuner</t>
        </is>
      </c>
      <c r="I114" t="n">
        <v>1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72346-2021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44544</v>
      </c>
      <c r="E115" s="1" t="n">
        <v>46298</v>
      </c>
      <c r="F115" t="inlineStr">
        <is>
          <t>VÄRMLANDS LÄN</t>
        </is>
      </c>
      <c r="G115" t="inlineStr">
        <is>
          <t>KARLSTAD</t>
        </is>
      </c>
      <c r="I115" t="n">
        <v>0.8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8483-2022</t>
        </is>
      </c>
      <c r="B116" t="inlineStr">
        <is>
          <t>avverkningsanmälan</t>
        </is>
      </c>
      <c r="C116" t="inlineStr">
        <is>
          <t>Avverkning för annat ändamål</t>
        </is>
      </c>
      <c r="D116" s="1" t="n">
        <v>44613</v>
      </c>
      <c r="E116" s="1" t="n">
        <v>46298</v>
      </c>
      <c r="F116" t="inlineStr">
        <is>
          <t>VÄRMLANDS LÄN</t>
        </is>
      </c>
      <c r="G116" t="inlineStr">
        <is>
          <t>KARLSTAD</t>
        </is>
      </c>
      <c r="H116" t="inlineStr">
        <is>
          <t>Bergvik skog väst AB</t>
        </is>
      </c>
      <c r="I116" t="n">
        <v>0.5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69428-2021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44531</v>
      </c>
      <c r="E117" s="1" t="n">
        <v>46298</v>
      </c>
      <c r="F117" t="inlineStr">
        <is>
          <t>VÄRMLANDS LÄN</t>
        </is>
      </c>
      <c r="G117" t="inlineStr">
        <is>
          <t>KARLSTAD</t>
        </is>
      </c>
      <c r="I117" t="n">
        <v>2.4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1811-2022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44574</v>
      </c>
      <c r="E118" s="1" t="n">
        <v>46298</v>
      </c>
      <c r="F118" t="inlineStr">
        <is>
          <t>VÄRMLANDS LÄN</t>
        </is>
      </c>
      <c r="G118" t="inlineStr">
        <is>
          <t>KARLSTAD</t>
        </is>
      </c>
      <c r="I118" t="n">
        <v>2.5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5038-2022</t>
        </is>
      </c>
      <c r="B119" t="inlineStr">
        <is>
          <t>avverkningsanmälan</t>
        </is>
      </c>
      <c r="C119" t="inlineStr">
        <is>
          <t>Avverkning för annat ändamål</t>
        </is>
      </c>
      <c r="D119" s="1" t="n">
        <v>44593</v>
      </c>
      <c r="E119" s="1" t="n">
        <v>46298</v>
      </c>
      <c r="F119" t="inlineStr">
        <is>
          <t>VÄRMLANDS LÄN</t>
        </is>
      </c>
      <c r="G119" t="inlineStr">
        <is>
          <t>KARLSTAD</t>
        </is>
      </c>
      <c r="H119" t="inlineStr">
        <is>
          <t>Kommuner</t>
        </is>
      </c>
      <c r="I119" t="n">
        <v>0.2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10376-2022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44623</v>
      </c>
      <c r="E120" s="1" t="n">
        <v>46298</v>
      </c>
      <c r="F120" t="inlineStr">
        <is>
          <t>VÄRMLANDS LÄN</t>
        </is>
      </c>
      <c r="G120" t="inlineStr">
        <is>
          <t>KARLSTAD</t>
        </is>
      </c>
      <c r="I120" t="n">
        <v>0.4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56928-2021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44482</v>
      </c>
      <c r="E121" s="1" t="n">
        <v>46298</v>
      </c>
      <c r="F121" t="inlineStr">
        <is>
          <t>VÄRMLANDS LÄN</t>
        </is>
      </c>
      <c r="G121" t="inlineStr">
        <is>
          <t>KARLSTAD</t>
        </is>
      </c>
      <c r="I121" t="n">
        <v>1.4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55564-2021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44475</v>
      </c>
      <c r="E122" s="1" t="n">
        <v>46298</v>
      </c>
      <c r="F122" t="inlineStr">
        <is>
          <t>VÄRMLANDS LÄN</t>
        </is>
      </c>
      <c r="G122" t="inlineStr">
        <is>
          <t>KARLSTAD</t>
        </is>
      </c>
      <c r="H122" t="inlineStr">
        <is>
          <t>Övriga statliga verk och myndigheter</t>
        </is>
      </c>
      <c r="I122" t="n">
        <v>11.2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57391-2021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44483</v>
      </c>
      <c r="E123" s="1" t="n">
        <v>46298</v>
      </c>
      <c r="F123" t="inlineStr">
        <is>
          <t>VÄRMLANDS LÄN</t>
        </is>
      </c>
      <c r="G123" t="inlineStr">
        <is>
          <t>KARLSTAD</t>
        </is>
      </c>
      <c r="H123" t="inlineStr">
        <is>
          <t>Kommuner</t>
        </is>
      </c>
      <c r="I123" t="n">
        <v>2.8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73004-2021</t>
        </is>
      </c>
      <c r="B124" t="inlineStr">
        <is>
          <t>avverkningsanmälan</t>
        </is>
      </c>
      <c r="C124" t="inlineStr">
        <is>
          <t>Avverkning för annat ändamål</t>
        </is>
      </c>
      <c r="D124" s="1" t="n">
        <v>44547</v>
      </c>
      <c r="E124" s="1" t="n">
        <v>46298</v>
      </c>
      <c r="F124" t="inlineStr">
        <is>
          <t>VÄRMLANDS LÄN</t>
        </is>
      </c>
      <c r="G124" t="inlineStr">
        <is>
          <t>KARLSTAD</t>
        </is>
      </c>
      <c r="I124" t="n">
        <v>0.2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29654-2022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44754</v>
      </c>
      <c r="E125" s="1" t="n">
        <v>46298</v>
      </c>
      <c r="F125" t="inlineStr">
        <is>
          <t>VÄRMLANDS LÄN</t>
        </is>
      </c>
      <c r="G125" t="inlineStr">
        <is>
          <t>KARLSTAD</t>
        </is>
      </c>
      <c r="H125" t="inlineStr">
        <is>
          <t>Kommuner</t>
        </is>
      </c>
      <c r="I125" t="n">
        <v>1.7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33334-2022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44788</v>
      </c>
      <c r="E126" s="1" t="n">
        <v>46298</v>
      </c>
      <c r="F126" t="inlineStr">
        <is>
          <t>VÄRMLANDS LÄN</t>
        </is>
      </c>
      <c r="G126" t="inlineStr">
        <is>
          <t>KARLSTAD</t>
        </is>
      </c>
      <c r="I126" t="n">
        <v>10.6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54442-2022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44882</v>
      </c>
      <c r="E127" s="1" t="n">
        <v>46298</v>
      </c>
      <c r="F127" t="inlineStr">
        <is>
          <t>VÄRMLANDS LÄN</t>
        </is>
      </c>
      <c r="G127" t="inlineStr">
        <is>
          <t>KARLSTAD</t>
        </is>
      </c>
      <c r="H127" t="inlineStr">
        <is>
          <t>Kommuner</t>
        </is>
      </c>
      <c r="I127" t="n">
        <v>1.1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51914-2022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44872</v>
      </c>
      <c r="E128" s="1" t="n">
        <v>46298</v>
      </c>
      <c r="F128" t="inlineStr">
        <is>
          <t>VÄRMLANDS LÄN</t>
        </is>
      </c>
      <c r="G128" t="inlineStr">
        <is>
          <t>KARLSTAD</t>
        </is>
      </c>
      <c r="H128" t="inlineStr">
        <is>
          <t>Bergvik skog väst AB</t>
        </is>
      </c>
      <c r="I128" t="n">
        <v>10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10155-2022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44622</v>
      </c>
      <c r="E129" s="1" t="n">
        <v>46298</v>
      </c>
      <c r="F129" t="inlineStr">
        <is>
          <t>VÄRMLANDS LÄN</t>
        </is>
      </c>
      <c r="G129" t="inlineStr">
        <is>
          <t>KARLSTAD</t>
        </is>
      </c>
      <c r="I129" t="n">
        <v>3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30692-2022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44763</v>
      </c>
      <c r="E130" s="1" t="n">
        <v>46298</v>
      </c>
      <c r="F130" t="inlineStr">
        <is>
          <t>VÄRMLANDS LÄN</t>
        </is>
      </c>
      <c r="G130" t="inlineStr">
        <is>
          <t>KARLSTAD</t>
        </is>
      </c>
      <c r="H130" t="inlineStr">
        <is>
          <t>Kyrkan</t>
        </is>
      </c>
      <c r="I130" t="n">
        <v>2.7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17892-2023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45039</v>
      </c>
      <c r="E131" s="1" t="n">
        <v>46298</v>
      </c>
      <c r="F131" t="inlineStr">
        <is>
          <t>VÄRMLANDS LÄN</t>
        </is>
      </c>
      <c r="G131" t="inlineStr">
        <is>
          <t>KARLSTAD</t>
        </is>
      </c>
      <c r="I131" t="n">
        <v>1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6263-2023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44959</v>
      </c>
      <c r="E132" s="1" t="n">
        <v>46298</v>
      </c>
      <c r="F132" t="inlineStr">
        <is>
          <t>VÄRMLANDS LÄN</t>
        </is>
      </c>
      <c r="G132" t="inlineStr">
        <is>
          <t>KARLSTAD</t>
        </is>
      </c>
      <c r="I132" t="n">
        <v>1.1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13402-2024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45387</v>
      </c>
      <c r="E133" s="1" t="n">
        <v>46298</v>
      </c>
      <c r="F133" t="inlineStr">
        <is>
          <t>VÄRMLANDS LÄN</t>
        </is>
      </c>
      <c r="G133" t="inlineStr">
        <is>
          <t>KARLSTAD</t>
        </is>
      </c>
      <c r="H133" t="inlineStr">
        <is>
          <t>Bergvik skog väst AB</t>
        </is>
      </c>
      <c r="I133" t="n">
        <v>0.6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27049-2023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45095</v>
      </c>
      <c r="E134" s="1" t="n">
        <v>46298</v>
      </c>
      <c r="F134" t="inlineStr">
        <is>
          <t>VÄRMLANDS LÄN</t>
        </is>
      </c>
      <c r="G134" t="inlineStr">
        <is>
          <t>KARLSTAD</t>
        </is>
      </c>
      <c r="I134" t="n">
        <v>2.4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14235-2024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45393</v>
      </c>
      <c r="E135" s="1" t="n">
        <v>46298</v>
      </c>
      <c r="F135" t="inlineStr">
        <is>
          <t>VÄRMLANDS LÄN</t>
        </is>
      </c>
      <c r="G135" t="inlineStr">
        <is>
          <t>KARLSTAD</t>
        </is>
      </c>
      <c r="I135" t="n">
        <v>1.6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54611-2024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45617</v>
      </c>
      <c r="E136" s="1" t="n">
        <v>46298</v>
      </c>
      <c r="F136" t="inlineStr">
        <is>
          <t>VÄRMLANDS LÄN</t>
        </is>
      </c>
      <c r="G136" t="inlineStr">
        <is>
          <t>KARLSTAD</t>
        </is>
      </c>
      <c r="I136" t="n">
        <v>0.6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13863-2023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45007</v>
      </c>
      <c r="E137" s="1" t="n">
        <v>46298</v>
      </c>
      <c r="F137" t="inlineStr">
        <is>
          <t>VÄRMLANDS LÄN</t>
        </is>
      </c>
      <c r="G137" t="inlineStr">
        <is>
          <t>KARLSTAD</t>
        </is>
      </c>
      <c r="I137" t="n">
        <v>0.8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39555-2024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45551</v>
      </c>
      <c r="E138" s="1" t="n">
        <v>46298</v>
      </c>
      <c r="F138" t="inlineStr">
        <is>
          <t>VÄRMLANDS LÄN</t>
        </is>
      </c>
      <c r="G138" t="inlineStr">
        <is>
          <t>KARLSTAD</t>
        </is>
      </c>
      <c r="I138" t="n">
        <v>1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26670-2023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45093</v>
      </c>
      <c r="E139" s="1" t="n">
        <v>46298</v>
      </c>
      <c r="F139" t="inlineStr">
        <is>
          <t>VÄRMLANDS LÄN</t>
        </is>
      </c>
      <c r="G139" t="inlineStr">
        <is>
          <t>KARLSTAD</t>
        </is>
      </c>
      <c r="I139" t="n">
        <v>8.9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44099-2024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45572</v>
      </c>
      <c r="E140" s="1" t="n">
        <v>46298</v>
      </c>
      <c r="F140" t="inlineStr">
        <is>
          <t>VÄRMLANDS LÄN</t>
        </is>
      </c>
      <c r="G140" t="inlineStr">
        <is>
          <t>KARLSTAD</t>
        </is>
      </c>
      <c r="I140" t="n">
        <v>0.7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1841-2024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45307</v>
      </c>
      <c r="E141" s="1" t="n">
        <v>46298</v>
      </c>
      <c r="F141" t="inlineStr">
        <is>
          <t>VÄRMLANDS LÄN</t>
        </is>
      </c>
      <c r="G141" t="inlineStr">
        <is>
          <t>KARLSTAD</t>
        </is>
      </c>
      <c r="I141" t="n">
        <v>4.3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73753-2021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44552</v>
      </c>
      <c r="E142" s="1" t="n">
        <v>46298</v>
      </c>
      <c r="F142" t="inlineStr">
        <is>
          <t>VÄRMLANDS LÄN</t>
        </is>
      </c>
      <c r="G142" t="inlineStr">
        <is>
          <t>KARLSTAD</t>
        </is>
      </c>
      <c r="H142" t="inlineStr">
        <is>
          <t>Kyrkan</t>
        </is>
      </c>
      <c r="I142" t="n">
        <v>1.5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46961-2023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45201</v>
      </c>
      <c r="E143" s="1" t="n">
        <v>46298</v>
      </c>
      <c r="F143" t="inlineStr">
        <is>
          <t>VÄRMLANDS LÄN</t>
        </is>
      </c>
      <c r="G143" t="inlineStr">
        <is>
          <t>KARLSTAD</t>
        </is>
      </c>
      <c r="I143" t="n">
        <v>1.4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22505-2023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45071</v>
      </c>
      <c r="E144" s="1" t="n">
        <v>46298</v>
      </c>
      <c r="F144" t="inlineStr">
        <is>
          <t>VÄRMLANDS LÄN</t>
        </is>
      </c>
      <c r="G144" t="inlineStr">
        <is>
          <t>KARLSTAD</t>
        </is>
      </c>
      <c r="I144" t="n">
        <v>1.5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61111-2023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45260</v>
      </c>
      <c r="E145" s="1" t="n">
        <v>46298</v>
      </c>
      <c r="F145" t="inlineStr">
        <is>
          <t>VÄRMLANDS LÄN</t>
        </is>
      </c>
      <c r="G145" t="inlineStr">
        <is>
          <t>KARLSTAD</t>
        </is>
      </c>
      <c r="I145" t="n">
        <v>10.6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29893-2024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45487</v>
      </c>
      <c r="E146" s="1" t="n">
        <v>46298</v>
      </c>
      <c r="F146" t="inlineStr">
        <is>
          <t>VÄRMLANDS LÄN</t>
        </is>
      </c>
      <c r="G146" t="inlineStr">
        <is>
          <t>KARLSTAD</t>
        </is>
      </c>
      <c r="I146" t="n">
        <v>2.8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24488-2023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45077</v>
      </c>
      <c r="E147" s="1" t="n">
        <v>46298</v>
      </c>
      <c r="F147" t="inlineStr">
        <is>
          <t>VÄRMLANDS LÄN</t>
        </is>
      </c>
      <c r="G147" t="inlineStr">
        <is>
          <t>KARLSTAD</t>
        </is>
      </c>
      <c r="I147" t="n">
        <v>1.6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30094-2023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45110</v>
      </c>
      <c r="E148" s="1" t="n">
        <v>46298</v>
      </c>
      <c r="F148" t="inlineStr">
        <is>
          <t>VÄRMLANDS LÄN</t>
        </is>
      </c>
      <c r="G148" t="inlineStr">
        <is>
          <t>KARLSTAD</t>
        </is>
      </c>
      <c r="I148" t="n">
        <v>6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46898-2024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45583</v>
      </c>
      <c r="E149" s="1" t="n">
        <v>46298</v>
      </c>
      <c r="F149" t="inlineStr">
        <is>
          <t>VÄRMLANDS LÄN</t>
        </is>
      </c>
      <c r="G149" t="inlineStr">
        <is>
          <t>KARLSTAD</t>
        </is>
      </c>
      <c r="H149" t="inlineStr">
        <is>
          <t>Kommuner</t>
        </is>
      </c>
      <c r="I149" t="n">
        <v>1.4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64525-2023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45281</v>
      </c>
      <c r="E150" s="1" t="n">
        <v>46298</v>
      </c>
      <c r="F150" t="inlineStr">
        <is>
          <t>VÄRMLANDS LÄN</t>
        </is>
      </c>
      <c r="G150" t="inlineStr">
        <is>
          <t>KARLSTAD</t>
        </is>
      </c>
      <c r="I150" t="n">
        <v>2.2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6254-2025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45698</v>
      </c>
      <c r="E151" s="1" t="n">
        <v>46298</v>
      </c>
      <c r="F151" t="inlineStr">
        <is>
          <t>VÄRMLANDS LÄN</t>
        </is>
      </c>
      <c r="G151" t="inlineStr">
        <is>
          <t>KARLSTAD</t>
        </is>
      </c>
      <c r="I151" t="n">
        <v>20.6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6269-2025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45698</v>
      </c>
      <c r="E152" s="1" t="n">
        <v>46298</v>
      </c>
      <c r="F152" t="inlineStr">
        <is>
          <t>VÄRMLANDS LÄN</t>
        </is>
      </c>
      <c r="G152" t="inlineStr">
        <is>
          <t>KARLSTAD</t>
        </is>
      </c>
      <c r="I152" t="n">
        <v>4.4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24270-2024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45457</v>
      </c>
      <c r="E153" s="1" t="n">
        <v>46298</v>
      </c>
      <c r="F153" t="inlineStr">
        <is>
          <t>VÄRMLANDS LÄN</t>
        </is>
      </c>
      <c r="G153" t="inlineStr">
        <is>
          <t>KARLSTAD</t>
        </is>
      </c>
      <c r="I153" t="n">
        <v>2.6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58459-2022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44902</v>
      </c>
      <c r="E154" s="1" t="n">
        <v>46298</v>
      </c>
      <c r="F154" t="inlineStr">
        <is>
          <t>VÄRMLANDS LÄN</t>
        </is>
      </c>
      <c r="G154" t="inlineStr">
        <is>
          <t>KARLSTAD</t>
        </is>
      </c>
      <c r="I154" t="n">
        <v>5.2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11359-2023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44985</v>
      </c>
      <c r="E155" s="1" t="n">
        <v>46298</v>
      </c>
      <c r="F155" t="inlineStr">
        <is>
          <t>VÄRMLANDS LÄN</t>
        </is>
      </c>
      <c r="G155" t="inlineStr">
        <is>
          <t>KARLSTAD</t>
        </is>
      </c>
      <c r="I155" t="n">
        <v>3.6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3410-2025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45679</v>
      </c>
      <c r="E156" s="1" t="n">
        <v>46298</v>
      </c>
      <c r="F156" t="inlineStr">
        <is>
          <t>VÄRMLANDS LÄN</t>
        </is>
      </c>
      <c r="G156" t="inlineStr">
        <is>
          <t>KARLSTAD</t>
        </is>
      </c>
      <c r="I156" t="n">
        <v>11.4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26672-2023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45093</v>
      </c>
      <c r="E157" s="1" t="n">
        <v>46298</v>
      </c>
      <c r="F157" t="inlineStr">
        <is>
          <t>VÄRMLANDS LÄN</t>
        </is>
      </c>
      <c r="G157" t="inlineStr">
        <is>
          <t>KARLSTAD</t>
        </is>
      </c>
      <c r="I157" t="n">
        <v>22.7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11841-2024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45376</v>
      </c>
      <c r="E158" s="1" t="n">
        <v>46298</v>
      </c>
      <c r="F158" t="inlineStr">
        <is>
          <t>VÄRMLANDS LÄN</t>
        </is>
      </c>
      <c r="G158" t="inlineStr">
        <is>
          <t>KARLSTAD</t>
        </is>
      </c>
      <c r="I158" t="n">
        <v>0.3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55346-2023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45238</v>
      </c>
      <c r="E159" s="1" t="n">
        <v>46298</v>
      </c>
      <c r="F159" t="inlineStr">
        <is>
          <t>VÄRMLANDS LÄN</t>
        </is>
      </c>
      <c r="G159" t="inlineStr">
        <is>
          <t>KARLSTAD</t>
        </is>
      </c>
      <c r="I159" t="n">
        <v>0.9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3541-2024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45320</v>
      </c>
      <c r="E160" s="1" t="n">
        <v>46298</v>
      </c>
      <c r="F160" t="inlineStr">
        <is>
          <t>VÄRMLANDS LÄN</t>
        </is>
      </c>
      <c r="G160" t="inlineStr">
        <is>
          <t>KARLSTAD</t>
        </is>
      </c>
      <c r="I160" t="n">
        <v>4.2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27888-2025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45817</v>
      </c>
      <c r="E161" s="1" t="n">
        <v>46298</v>
      </c>
      <c r="F161" t="inlineStr">
        <is>
          <t>VÄRMLANDS LÄN</t>
        </is>
      </c>
      <c r="G161" t="inlineStr">
        <is>
          <t>KARLSTAD</t>
        </is>
      </c>
      <c r="I161" t="n">
        <v>1.8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61962-2025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46003</v>
      </c>
      <c r="E162" s="1" t="n">
        <v>46298</v>
      </c>
      <c r="F162" t="inlineStr">
        <is>
          <t>VÄRMLANDS LÄN</t>
        </is>
      </c>
      <c r="G162" t="inlineStr">
        <is>
          <t>KARLSTAD</t>
        </is>
      </c>
      <c r="I162" t="n">
        <v>3.2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61968-2025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46003</v>
      </c>
      <c r="E163" s="1" t="n">
        <v>46298</v>
      </c>
      <c r="F163" t="inlineStr">
        <is>
          <t>VÄRMLANDS LÄN</t>
        </is>
      </c>
      <c r="G163" t="inlineStr">
        <is>
          <t>KARLSTAD</t>
        </is>
      </c>
      <c r="I163" t="n">
        <v>1.5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61673-2025</t>
        </is>
      </c>
      <c r="B164" t="inlineStr">
        <is>
          <t>avverkningsanmälan</t>
        </is>
      </c>
      <c r="C164" t="inlineStr">
        <is>
          <t>Avverkning för annat ändamål</t>
        </is>
      </c>
      <c r="D164" s="1" t="n">
        <v>46002</v>
      </c>
      <c r="E164" s="1" t="n">
        <v>46298</v>
      </c>
      <c r="F164" t="inlineStr">
        <is>
          <t>VÄRMLANDS LÄN</t>
        </is>
      </c>
      <c r="G164" t="inlineStr">
        <is>
          <t>KARLSTAD</t>
        </is>
      </c>
      <c r="H164" t="inlineStr">
        <is>
          <t>Naturvårdsverket</t>
        </is>
      </c>
      <c r="I164" t="n">
        <v>2.8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11190-2024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45371</v>
      </c>
      <c r="E165" s="1" t="n">
        <v>46298</v>
      </c>
      <c r="F165" t="inlineStr">
        <is>
          <t>VÄRMLANDS LÄN</t>
        </is>
      </c>
      <c r="G165" t="inlineStr">
        <is>
          <t>KARLSTAD</t>
        </is>
      </c>
      <c r="I165" t="n">
        <v>2.5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11194-2024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45371</v>
      </c>
      <c r="E166" s="1" t="n">
        <v>46298</v>
      </c>
      <c r="F166" t="inlineStr">
        <is>
          <t>VÄRMLANDS LÄN</t>
        </is>
      </c>
      <c r="G166" t="inlineStr">
        <is>
          <t>KARLSTAD</t>
        </is>
      </c>
      <c r="I166" t="n">
        <v>1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25786-2024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45466</v>
      </c>
      <c r="E167" s="1" t="n">
        <v>46298</v>
      </c>
      <c r="F167" t="inlineStr">
        <is>
          <t>VÄRMLANDS LÄN</t>
        </is>
      </c>
      <c r="G167" t="inlineStr">
        <is>
          <t>KARLSTAD</t>
        </is>
      </c>
      <c r="I167" t="n">
        <v>3.1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16425-2025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45751</v>
      </c>
      <c r="E168" s="1" t="n">
        <v>46298</v>
      </c>
      <c r="F168" t="inlineStr">
        <is>
          <t>VÄRMLANDS LÄN</t>
        </is>
      </c>
      <c r="G168" t="inlineStr">
        <is>
          <t>KARLSTAD</t>
        </is>
      </c>
      <c r="I168" t="n">
        <v>2.7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8804-2024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45356</v>
      </c>
      <c r="E169" s="1" t="n">
        <v>46298</v>
      </c>
      <c r="F169" t="inlineStr">
        <is>
          <t>VÄRMLANDS LÄN</t>
        </is>
      </c>
      <c r="G169" t="inlineStr">
        <is>
          <t>KARLSTAD</t>
        </is>
      </c>
      <c r="I169" t="n">
        <v>12.5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56574-2023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45243</v>
      </c>
      <c r="E170" s="1" t="n">
        <v>46298</v>
      </c>
      <c r="F170" t="inlineStr">
        <is>
          <t>VÄRMLANDS LÄN</t>
        </is>
      </c>
      <c r="G170" t="inlineStr">
        <is>
          <t>KARLSTAD</t>
        </is>
      </c>
      <c r="I170" t="n">
        <v>2.2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41963-2023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45177</v>
      </c>
      <c r="E171" s="1" t="n">
        <v>46298</v>
      </c>
      <c r="F171" t="inlineStr">
        <is>
          <t>VÄRMLANDS LÄN</t>
        </is>
      </c>
      <c r="G171" t="inlineStr">
        <is>
          <t>KARLSTAD</t>
        </is>
      </c>
      <c r="I171" t="n">
        <v>1.8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57100-2022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44895</v>
      </c>
      <c r="E172" s="1" t="n">
        <v>46298</v>
      </c>
      <c r="F172" t="inlineStr">
        <is>
          <t>VÄRMLANDS LÄN</t>
        </is>
      </c>
      <c r="G172" t="inlineStr">
        <is>
          <t>KARLSTAD</t>
        </is>
      </c>
      <c r="I172" t="n">
        <v>0.3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63120-2025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46009</v>
      </c>
      <c r="E173" s="1" t="n">
        <v>46298</v>
      </c>
      <c r="F173" t="inlineStr">
        <is>
          <t>VÄRMLANDS LÄN</t>
        </is>
      </c>
      <c r="G173" t="inlineStr">
        <is>
          <t>KARLSTAD</t>
        </is>
      </c>
      <c r="I173" t="n">
        <v>4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63122-2025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46009</v>
      </c>
      <c r="E174" s="1" t="n">
        <v>46298</v>
      </c>
      <c r="F174" t="inlineStr">
        <is>
          <t>VÄRMLANDS LÄN</t>
        </is>
      </c>
      <c r="G174" t="inlineStr">
        <is>
          <t>KARLSTAD</t>
        </is>
      </c>
      <c r="I174" t="n">
        <v>1.8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23642-2025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45792</v>
      </c>
      <c r="E175" s="1" t="n">
        <v>46298</v>
      </c>
      <c r="F175" t="inlineStr">
        <is>
          <t>VÄRMLANDS LÄN</t>
        </is>
      </c>
      <c r="G175" t="inlineStr">
        <is>
          <t>KARLSTAD</t>
        </is>
      </c>
      <c r="I175" t="n">
        <v>2.2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57153-2024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45629</v>
      </c>
      <c r="E176" s="1" t="n">
        <v>46298</v>
      </c>
      <c r="F176" t="inlineStr">
        <is>
          <t>VÄRMLANDS LÄN</t>
        </is>
      </c>
      <c r="G176" t="inlineStr">
        <is>
          <t>KARLSTAD</t>
        </is>
      </c>
      <c r="I176" t="n">
        <v>8.6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63825-2025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46020</v>
      </c>
      <c r="E177" s="1" t="n">
        <v>46298</v>
      </c>
      <c r="F177" t="inlineStr">
        <is>
          <t>VÄRMLANDS LÄN</t>
        </is>
      </c>
      <c r="G177" t="inlineStr">
        <is>
          <t>KARLSTAD</t>
        </is>
      </c>
      <c r="I177" t="n">
        <v>3.9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63172-2025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46010</v>
      </c>
      <c r="E178" s="1" t="n">
        <v>46298</v>
      </c>
      <c r="F178" t="inlineStr">
        <is>
          <t>VÄRMLANDS LÄN</t>
        </is>
      </c>
      <c r="G178" t="inlineStr">
        <is>
          <t>KARLSTAD</t>
        </is>
      </c>
      <c r="H178" t="inlineStr">
        <is>
          <t>Naturvårdsverket</t>
        </is>
      </c>
      <c r="I178" t="n">
        <v>4.6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2061-2025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45672</v>
      </c>
      <c r="E179" s="1" t="n">
        <v>46298</v>
      </c>
      <c r="F179" t="inlineStr">
        <is>
          <t>VÄRMLANDS LÄN</t>
        </is>
      </c>
      <c r="G179" t="inlineStr">
        <is>
          <t>KARLSTAD</t>
        </is>
      </c>
      <c r="H179" t="inlineStr">
        <is>
          <t>Övriga statliga verk och myndigheter</t>
        </is>
      </c>
      <c r="I179" t="n">
        <v>2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38298-2022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44812</v>
      </c>
      <c r="E180" s="1" t="n">
        <v>46298</v>
      </c>
      <c r="F180" t="inlineStr">
        <is>
          <t>VÄRMLANDS LÄN</t>
        </is>
      </c>
      <c r="G180" t="inlineStr">
        <is>
          <t>KARLSTAD</t>
        </is>
      </c>
      <c r="H180" t="inlineStr">
        <is>
          <t>Bergvik skog väst AB</t>
        </is>
      </c>
      <c r="I180" t="n">
        <v>24.3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822-2026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46030</v>
      </c>
      <c r="E181" s="1" t="n">
        <v>46298</v>
      </c>
      <c r="F181" t="inlineStr">
        <is>
          <t>VÄRMLANDS LÄN</t>
        </is>
      </c>
      <c r="G181" t="inlineStr">
        <is>
          <t>KARLSTAD</t>
        </is>
      </c>
      <c r="I181" t="n">
        <v>0.9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1296-2026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46031</v>
      </c>
      <c r="E182" s="1" t="n">
        <v>46298</v>
      </c>
      <c r="F182" t="inlineStr">
        <is>
          <t>VÄRMLANDS LÄN</t>
        </is>
      </c>
      <c r="G182" t="inlineStr">
        <is>
          <t>KARLSTAD</t>
        </is>
      </c>
      <c r="H182" t="inlineStr">
        <is>
          <t>Kyrkan</t>
        </is>
      </c>
      <c r="I182" t="n">
        <v>7.3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7370-2025</t>
        </is>
      </c>
      <c r="B183" t="inlineStr">
        <is>
          <t>avverkningsanmälan</t>
        </is>
      </c>
      <c r="C183" t="inlineStr">
        <is>
          <t>Avverkning för annat ändamål</t>
        </is>
      </c>
      <c r="D183" s="1" t="n">
        <v>45704</v>
      </c>
      <c r="E183" s="1" t="n">
        <v>46298</v>
      </c>
      <c r="F183" t="inlineStr">
        <is>
          <t>VÄRMLANDS LÄN</t>
        </is>
      </c>
      <c r="G183" t="inlineStr">
        <is>
          <t>KARLSTAD</t>
        </is>
      </c>
      <c r="I183" t="n">
        <v>0.8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1484-2026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46034</v>
      </c>
      <c r="E184" s="1" t="n">
        <v>46298</v>
      </c>
      <c r="F184" t="inlineStr">
        <is>
          <t>VÄRMLANDS LÄN</t>
        </is>
      </c>
      <c r="G184" t="inlineStr">
        <is>
          <t>KARLSTAD</t>
        </is>
      </c>
      <c r="H184" t="inlineStr">
        <is>
          <t>Kyrkan</t>
        </is>
      </c>
      <c r="I184" t="n">
        <v>3.4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45287-2023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45187</v>
      </c>
      <c r="E185" s="1" t="n">
        <v>46298</v>
      </c>
      <c r="F185" t="inlineStr">
        <is>
          <t>VÄRMLANDS LÄN</t>
        </is>
      </c>
      <c r="G185" t="inlineStr">
        <is>
          <t>KARLSTAD</t>
        </is>
      </c>
      <c r="I185" t="n">
        <v>1.8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37493-2025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45877</v>
      </c>
      <c r="E186" s="1" t="n">
        <v>46298</v>
      </c>
      <c r="F186" t="inlineStr">
        <is>
          <t>VÄRMLANDS LÄN</t>
        </is>
      </c>
      <c r="G186" t="inlineStr">
        <is>
          <t>KARLSTAD</t>
        </is>
      </c>
      <c r="I186" t="n">
        <v>1.9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42829-2025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45908</v>
      </c>
      <c r="E187" s="1" t="n">
        <v>46298</v>
      </c>
      <c r="F187" t="inlineStr">
        <is>
          <t>VÄRMLANDS LÄN</t>
        </is>
      </c>
      <c r="G187" t="inlineStr">
        <is>
          <t>KARLSTAD</t>
        </is>
      </c>
      <c r="I187" t="n">
        <v>2.5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40001-2023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45168</v>
      </c>
      <c r="E188" s="1" t="n">
        <v>46298</v>
      </c>
      <c r="F188" t="inlineStr">
        <is>
          <t>VÄRMLANDS LÄN</t>
        </is>
      </c>
      <c r="G188" t="inlineStr">
        <is>
          <t>KARLSTAD</t>
        </is>
      </c>
      <c r="I188" t="n">
        <v>1.1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55081-2024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45621</v>
      </c>
      <c r="E189" s="1" t="n">
        <v>46298</v>
      </c>
      <c r="F189" t="inlineStr">
        <is>
          <t>VÄRMLANDS LÄN</t>
        </is>
      </c>
      <c r="G189" t="inlineStr">
        <is>
          <t>KARLSTAD</t>
        </is>
      </c>
      <c r="I189" t="n">
        <v>3.3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3989-2026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46044</v>
      </c>
      <c r="E190" s="1" t="n">
        <v>46298</v>
      </c>
      <c r="F190" t="inlineStr">
        <is>
          <t>VÄRMLANDS LÄN</t>
        </is>
      </c>
      <c r="G190" t="inlineStr">
        <is>
          <t>KARLSTAD</t>
        </is>
      </c>
      <c r="I190" t="n">
        <v>3.9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43400-2025</t>
        </is>
      </c>
      <c r="B191" t="inlineStr">
        <is>
          <t>avverkningsanmälan</t>
        </is>
      </c>
      <c r="C191" t="inlineStr">
        <is>
          <t>Avverkning för annat ändamål</t>
        </is>
      </c>
      <c r="D191" s="1" t="n">
        <v>45911</v>
      </c>
      <c r="E191" s="1" t="n">
        <v>46298</v>
      </c>
      <c r="F191" t="inlineStr">
        <is>
          <t>VÄRMLANDS LÄN</t>
        </is>
      </c>
      <c r="G191" t="inlineStr">
        <is>
          <t>KARLSTAD</t>
        </is>
      </c>
      <c r="I191" t="n">
        <v>1.4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60281-2024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45642</v>
      </c>
      <c r="E192" s="1" t="n">
        <v>46298</v>
      </c>
      <c r="F192" t="inlineStr">
        <is>
          <t>VÄRMLANDS LÄN</t>
        </is>
      </c>
      <c r="G192" t="inlineStr">
        <is>
          <t>KARLSTAD</t>
        </is>
      </c>
      <c r="I192" t="n">
        <v>2.6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5124-2026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46049</v>
      </c>
      <c r="E193" s="1" t="n">
        <v>46298</v>
      </c>
      <c r="F193" t="inlineStr">
        <is>
          <t>VÄRMLANDS LÄN</t>
        </is>
      </c>
      <c r="G193" t="inlineStr">
        <is>
          <t>KARLSTAD</t>
        </is>
      </c>
      <c r="I193" t="n">
        <v>2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19166-2023</t>
        </is>
      </c>
      <c r="B194" t="inlineStr">
        <is>
          <t>avverkningsanmälan</t>
        </is>
      </c>
      <c r="C194" t="inlineStr">
        <is>
          <t>Avverkning för att bevara och utveckla /försöksver</t>
        </is>
      </c>
      <c r="D194" s="1" t="n">
        <v>45044</v>
      </c>
      <c r="E194" s="1" t="n">
        <v>46298</v>
      </c>
      <c r="F194" t="inlineStr">
        <is>
          <t>VÄRMLANDS LÄN</t>
        </is>
      </c>
      <c r="G194" t="inlineStr">
        <is>
          <t>KARLSTAD</t>
        </is>
      </c>
      <c r="H194" t="inlineStr">
        <is>
          <t>Övriga statliga verk och myndigheter</t>
        </is>
      </c>
      <c r="I194" t="n">
        <v>2.4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62902-2023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45272</v>
      </c>
      <c r="E195" s="1" t="n">
        <v>46298</v>
      </c>
      <c r="F195" t="inlineStr">
        <is>
          <t>VÄRMLANDS LÄN</t>
        </is>
      </c>
      <c r="G195" t="inlineStr">
        <is>
          <t>KARLSTAD</t>
        </is>
      </c>
      <c r="I195" t="n">
        <v>2.4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5152-2026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46049</v>
      </c>
      <c r="E196" s="1" t="n">
        <v>46298</v>
      </c>
      <c r="F196" t="inlineStr">
        <is>
          <t>VÄRMLANDS LÄN</t>
        </is>
      </c>
      <c r="G196" t="inlineStr">
        <is>
          <t>KARLSTAD</t>
        </is>
      </c>
      <c r="I196" t="n">
        <v>0.7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44615-2025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45917</v>
      </c>
      <c r="E197" s="1" t="n">
        <v>46298</v>
      </c>
      <c r="F197" t="inlineStr">
        <is>
          <t>VÄRMLANDS LÄN</t>
        </is>
      </c>
      <c r="G197" t="inlineStr">
        <is>
          <t>KARLSTAD</t>
        </is>
      </c>
      <c r="I197" t="n">
        <v>1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57503-2024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45630</v>
      </c>
      <c r="E198" s="1" t="n">
        <v>46298</v>
      </c>
      <c r="F198" t="inlineStr">
        <is>
          <t>VÄRMLANDS LÄN</t>
        </is>
      </c>
      <c r="G198" t="inlineStr">
        <is>
          <t>KARLSTAD</t>
        </is>
      </c>
      <c r="I198" t="n">
        <v>2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29655-2022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44754</v>
      </c>
      <c r="E199" s="1" t="n">
        <v>46298</v>
      </c>
      <c r="F199" t="inlineStr">
        <is>
          <t>VÄRMLANDS LÄN</t>
        </is>
      </c>
      <c r="G199" t="inlineStr">
        <is>
          <t>KARLSTAD</t>
        </is>
      </c>
      <c r="H199" t="inlineStr">
        <is>
          <t>Kommuner</t>
        </is>
      </c>
      <c r="I199" t="n">
        <v>0.7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25163-2025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45800</v>
      </c>
      <c r="E200" s="1" t="n">
        <v>46298</v>
      </c>
      <c r="F200" t="inlineStr">
        <is>
          <t>VÄRMLANDS LÄN</t>
        </is>
      </c>
      <c r="G200" t="inlineStr">
        <is>
          <t>KARLSTAD</t>
        </is>
      </c>
      <c r="I200" t="n">
        <v>1.2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5683-2026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46051</v>
      </c>
      <c r="E201" s="1" t="n">
        <v>46298</v>
      </c>
      <c r="F201" t="inlineStr">
        <is>
          <t>VÄRMLANDS LÄN</t>
        </is>
      </c>
      <c r="G201" t="inlineStr">
        <is>
          <t>KARLSTAD</t>
        </is>
      </c>
      <c r="I201" t="n">
        <v>0.7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32878-2023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45112</v>
      </c>
      <c r="E202" s="1" t="n">
        <v>46298</v>
      </c>
      <c r="F202" t="inlineStr">
        <is>
          <t>VÄRMLANDS LÄN</t>
        </is>
      </c>
      <c r="G202" t="inlineStr">
        <is>
          <t>KARLSTAD</t>
        </is>
      </c>
      <c r="I202" t="n">
        <v>8.199999999999999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46230-2025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45925</v>
      </c>
      <c r="E203" s="1" t="n">
        <v>46298</v>
      </c>
      <c r="F203" t="inlineStr">
        <is>
          <t>VÄRMLANDS LÄN</t>
        </is>
      </c>
      <c r="G203" t="inlineStr">
        <is>
          <t>KARLSTAD</t>
        </is>
      </c>
      <c r="I203" t="n">
        <v>0.6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46231-2025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45925</v>
      </c>
      <c r="E204" s="1" t="n">
        <v>46298</v>
      </c>
      <c r="F204" t="inlineStr">
        <is>
          <t>VÄRMLANDS LÄN</t>
        </is>
      </c>
      <c r="G204" t="inlineStr">
        <is>
          <t>KARLSTAD</t>
        </is>
      </c>
      <c r="I204" t="n">
        <v>0.2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6262-2025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45698</v>
      </c>
      <c r="E205" s="1" t="n">
        <v>46298</v>
      </c>
      <c r="F205" t="inlineStr">
        <is>
          <t>VÄRMLANDS LÄN</t>
        </is>
      </c>
      <c r="G205" t="inlineStr">
        <is>
          <t>KARLSTAD</t>
        </is>
      </c>
      <c r="I205" t="n">
        <v>6.1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27050-2023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45095</v>
      </c>
      <c r="E206" s="1" t="n">
        <v>46298</v>
      </c>
      <c r="F206" t="inlineStr">
        <is>
          <t>VÄRMLANDS LÄN</t>
        </is>
      </c>
      <c r="G206" t="inlineStr">
        <is>
          <t>KARLSTAD</t>
        </is>
      </c>
      <c r="I206" t="n">
        <v>3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59204-2023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45253</v>
      </c>
      <c r="E207" s="1" t="n">
        <v>46298</v>
      </c>
      <c r="F207" t="inlineStr">
        <is>
          <t>VÄRMLANDS LÄN</t>
        </is>
      </c>
      <c r="G207" t="inlineStr">
        <is>
          <t>KARLSTAD</t>
        </is>
      </c>
      <c r="H207" t="inlineStr">
        <is>
          <t>Kommuner</t>
        </is>
      </c>
      <c r="I207" t="n">
        <v>9.4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55819-2022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44888</v>
      </c>
      <c r="E208" s="1" t="n">
        <v>46298</v>
      </c>
      <c r="F208" t="inlineStr">
        <is>
          <t>VÄRMLANDS LÄN</t>
        </is>
      </c>
      <c r="G208" t="inlineStr">
        <is>
          <t>KARLSTAD</t>
        </is>
      </c>
      <c r="I208" t="n">
        <v>0.9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460-2022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44566</v>
      </c>
      <c r="E209" s="1" t="n">
        <v>46298</v>
      </c>
      <c r="F209" t="inlineStr">
        <is>
          <t>VÄRMLANDS LÄN</t>
        </is>
      </c>
      <c r="G209" t="inlineStr">
        <is>
          <t>KARLSTAD</t>
        </is>
      </c>
      <c r="I209" t="n">
        <v>4.7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16033-2024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45405</v>
      </c>
      <c r="E210" s="1" t="n">
        <v>46298</v>
      </c>
      <c r="F210" t="inlineStr">
        <is>
          <t>VÄRMLANDS LÄN</t>
        </is>
      </c>
      <c r="G210" t="inlineStr">
        <is>
          <t>KARLSTAD</t>
        </is>
      </c>
      <c r="I210" t="n">
        <v>1.5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8634-2025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45711</v>
      </c>
      <c r="E211" s="1" t="n">
        <v>46298</v>
      </c>
      <c r="F211" t="inlineStr">
        <is>
          <t>VÄRMLANDS LÄN</t>
        </is>
      </c>
      <c r="G211" t="inlineStr">
        <is>
          <t>KARLSTAD</t>
        </is>
      </c>
      <c r="I211" t="n">
        <v>7.7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9075-2026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46069</v>
      </c>
      <c r="E212" s="1" t="n">
        <v>46298</v>
      </c>
      <c r="F212" t="inlineStr">
        <is>
          <t>VÄRMLANDS LÄN</t>
        </is>
      </c>
      <c r="G212" t="inlineStr">
        <is>
          <t>KARLSTAD</t>
        </is>
      </c>
      <c r="I212" t="n">
        <v>8.6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8656-2026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46066</v>
      </c>
      <c r="E213" s="1" t="n">
        <v>46298</v>
      </c>
      <c r="F213" t="inlineStr">
        <is>
          <t>VÄRMLANDS LÄN</t>
        </is>
      </c>
      <c r="G213" t="inlineStr">
        <is>
          <t>KARLSTAD</t>
        </is>
      </c>
      <c r="I213" t="n">
        <v>0.8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48520-2025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45936</v>
      </c>
      <c r="E214" s="1" t="n">
        <v>46298</v>
      </c>
      <c r="F214" t="inlineStr">
        <is>
          <t>VÄRMLANDS LÄN</t>
        </is>
      </c>
      <c r="G214" t="inlineStr">
        <is>
          <t>KARLSTAD</t>
        </is>
      </c>
      <c r="I214" t="n">
        <v>0.7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48502-2025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45936</v>
      </c>
      <c r="E215" s="1" t="n">
        <v>46298</v>
      </c>
      <c r="F215" t="inlineStr">
        <is>
          <t>VÄRMLANDS LÄN</t>
        </is>
      </c>
      <c r="G215" t="inlineStr">
        <is>
          <t>KARLSTAD</t>
        </is>
      </c>
      <c r="I215" t="n">
        <v>1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55764-2022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44888</v>
      </c>
      <c r="E216" s="1" t="n">
        <v>46298</v>
      </c>
      <c r="F216" t="inlineStr">
        <is>
          <t>VÄRMLANDS LÄN</t>
        </is>
      </c>
      <c r="G216" t="inlineStr">
        <is>
          <t>KARLSTAD</t>
        </is>
      </c>
      <c r="I216" t="n">
        <v>3.1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  <c r="Z216">
        <f>HYPERLINK("https://klasma.github.io/Logging_1780/knärot/A 55764-2022 karta knärot.png", "A 55764-2022")</f>
        <v/>
      </c>
      <c r="AA216">
        <f>HYPERLINK("https://klasma.github.io/Logging_1780/klagomål/A 55764-2022 FSC-klagomål.docx", "A 55764-2022")</f>
        <v/>
      </c>
      <c r="AB216">
        <f>HYPERLINK("https://klasma.github.io/Logging_1780/klagomålsmail/A 55764-2022 FSC-klagomål mail.docx", "A 55764-2022")</f>
        <v/>
      </c>
      <c r="AC216">
        <f>HYPERLINK("https://klasma.github.io/Logging_1780/tillsyn/A 55764-2022 tillsynsbegäran.docx", "A 55764-2022")</f>
        <v/>
      </c>
      <c r="AD216">
        <f>HYPERLINK("https://klasma.github.io/Logging_1780/tillsynsmail/A 55764-2022 tillsynsbegäran mail.docx", "A 55764-2022")</f>
        <v/>
      </c>
    </row>
    <row r="217" ht="15" customHeight="1">
      <c r="A217" t="inlineStr">
        <is>
          <t>A 48517-2025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45936</v>
      </c>
      <c r="E217" s="1" t="n">
        <v>46298</v>
      </c>
      <c r="F217" t="inlineStr">
        <is>
          <t>VÄRMLANDS LÄN</t>
        </is>
      </c>
      <c r="G217" t="inlineStr">
        <is>
          <t>KARLSTAD</t>
        </is>
      </c>
      <c r="I217" t="n">
        <v>1.2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41376-2024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45559</v>
      </c>
      <c r="E218" s="1" t="n">
        <v>46298</v>
      </c>
      <c r="F218" t="inlineStr">
        <is>
          <t>VÄRMLANDS LÄN</t>
        </is>
      </c>
      <c r="G218" t="inlineStr">
        <is>
          <t>KARLSTAD</t>
        </is>
      </c>
      <c r="I218" t="n">
        <v>1.4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8642-2026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46066</v>
      </c>
      <c r="E219" s="1" t="n">
        <v>46298</v>
      </c>
      <c r="F219" t="inlineStr">
        <is>
          <t>VÄRMLANDS LÄN</t>
        </is>
      </c>
      <c r="G219" t="inlineStr">
        <is>
          <t>KARLSTAD</t>
        </is>
      </c>
      <c r="I219" t="n">
        <v>7.5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48776-2025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45937</v>
      </c>
      <c r="E220" s="1" t="n">
        <v>46298</v>
      </c>
      <c r="F220" t="inlineStr">
        <is>
          <t>VÄRMLANDS LÄN</t>
        </is>
      </c>
      <c r="G220" t="inlineStr">
        <is>
          <t>KARLSTAD</t>
        </is>
      </c>
      <c r="I220" t="n">
        <v>0.5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14467-2022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44654</v>
      </c>
      <c r="E221" s="1" t="n">
        <v>46298</v>
      </c>
      <c r="F221" t="inlineStr">
        <is>
          <t>VÄRMLANDS LÄN</t>
        </is>
      </c>
      <c r="G221" t="inlineStr">
        <is>
          <t>KARLSTAD</t>
        </is>
      </c>
      <c r="I221" t="n">
        <v>0.9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50309-2025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45944</v>
      </c>
      <c r="E222" s="1" t="n">
        <v>46298</v>
      </c>
      <c r="F222" t="inlineStr">
        <is>
          <t>VÄRMLANDS LÄN</t>
        </is>
      </c>
      <c r="G222" t="inlineStr">
        <is>
          <t>KARLSTAD</t>
        </is>
      </c>
      <c r="I222" t="n">
        <v>0.4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26861-2025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45810</v>
      </c>
      <c r="E223" s="1" t="n">
        <v>46298</v>
      </c>
      <c r="F223" t="inlineStr">
        <is>
          <t>VÄRMLANDS LÄN</t>
        </is>
      </c>
      <c r="G223" t="inlineStr">
        <is>
          <t>KARLSTAD</t>
        </is>
      </c>
      <c r="I223" t="n">
        <v>3.3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55621-2022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44888</v>
      </c>
      <c r="E224" s="1" t="n">
        <v>46298</v>
      </c>
      <c r="F224" t="inlineStr">
        <is>
          <t>VÄRMLANDS LÄN</t>
        </is>
      </c>
      <c r="G224" t="inlineStr">
        <is>
          <t>KARLSTAD</t>
        </is>
      </c>
      <c r="H224" t="inlineStr">
        <is>
          <t>Bergvik skog väst AB</t>
        </is>
      </c>
      <c r="I224" t="n">
        <v>8.300000000000001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50312-2025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45944</v>
      </c>
      <c r="E225" s="1" t="n">
        <v>46298</v>
      </c>
      <c r="F225" t="inlineStr">
        <is>
          <t>VÄRMLANDS LÄN</t>
        </is>
      </c>
      <c r="G225" t="inlineStr">
        <is>
          <t>KARLSTAD</t>
        </is>
      </c>
      <c r="I225" t="n">
        <v>0.5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50501-2025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45945</v>
      </c>
      <c r="E226" s="1" t="n">
        <v>46298</v>
      </c>
      <c r="F226" t="inlineStr">
        <is>
          <t>VÄRMLANDS LÄN</t>
        </is>
      </c>
      <c r="G226" t="inlineStr">
        <is>
          <t>KARLSTAD</t>
        </is>
      </c>
      <c r="I226" t="n">
        <v>2.3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13118-2023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45002</v>
      </c>
      <c r="E227" s="1" t="n">
        <v>46298</v>
      </c>
      <c r="F227" t="inlineStr">
        <is>
          <t>VÄRMLANDS LÄN</t>
        </is>
      </c>
      <c r="G227" t="inlineStr">
        <is>
          <t>KARLSTAD</t>
        </is>
      </c>
      <c r="I227" t="n">
        <v>4.5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10260-2025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45720</v>
      </c>
      <c r="E228" s="1" t="n">
        <v>46298</v>
      </c>
      <c r="F228" t="inlineStr">
        <is>
          <t>VÄRMLANDS LÄN</t>
        </is>
      </c>
      <c r="G228" t="inlineStr">
        <is>
          <t>KARLSTAD</t>
        </is>
      </c>
      <c r="I228" t="n">
        <v>1.9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16616-2024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45408</v>
      </c>
      <c r="E229" s="1" t="n">
        <v>46298</v>
      </c>
      <c r="F229" t="inlineStr">
        <is>
          <t>VÄRMLANDS LÄN</t>
        </is>
      </c>
      <c r="G229" t="inlineStr">
        <is>
          <t>KARLSTAD</t>
        </is>
      </c>
      <c r="I229" t="n">
        <v>3.2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41514-2024</t>
        </is>
      </c>
      <c r="B230" t="inlineStr">
        <is>
          <t>avverkningsanmälan</t>
        </is>
      </c>
      <c r="C230" t="inlineStr">
        <is>
          <t>Avverkning för annat ändamål</t>
        </is>
      </c>
      <c r="D230" s="1" t="n">
        <v>45560</v>
      </c>
      <c r="E230" s="1" t="n">
        <v>46298</v>
      </c>
      <c r="F230" t="inlineStr">
        <is>
          <t>VÄRMLANDS LÄN</t>
        </is>
      </c>
      <c r="G230" t="inlineStr">
        <is>
          <t>KARLSTAD</t>
        </is>
      </c>
      <c r="I230" t="n">
        <v>1.3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11342-2026</t>
        </is>
      </c>
      <c r="B231" t="inlineStr">
        <is>
          <t>avverkningsanmälan</t>
        </is>
      </c>
      <c r="C231" t="inlineStr">
        <is>
          <t>Avverkning för annat ändamål</t>
        </is>
      </c>
      <c r="D231" s="1" t="n">
        <v>46082</v>
      </c>
      <c r="E231" s="1" t="n">
        <v>46298</v>
      </c>
      <c r="F231" t="inlineStr">
        <is>
          <t>VÄRMLANDS LÄN</t>
        </is>
      </c>
      <c r="G231" t="inlineStr">
        <is>
          <t>KARLSTAD</t>
        </is>
      </c>
      <c r="I231" t="n">
        <v>0.6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19844-2024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45432</v>
      </c>
      <c r="E232" s="1" t="n">
        <v>46298</v>
      </c>
      <c r="F232" t="inlineStr">
        <is>
          <t>VÄRMLANDS LÄN</t>
        </is>
      </c>
      <c r="G232" t="inlineStr">
        <is>
          <t>KARLSTAD</t>
        </is>
      </c>
      <c r="I232" t="n">
        <v>3.4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48984-2022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44855</v>
      </c>
      <c r="E233" s="1" t="n">
        <v>46298</v>
      </c>
      <c r="F233" t="inlineStr">
        <is>
          <t>VÄRMLANDS LÄN</t>
        </is>
      </c>
      <c r="G233" t="inlineStr">
        <is>
          <t>KARLSTAD</t>
        </is>
      </c>
      <c r="I233" t="n">
        <v>7.2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27489-2025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45813</v>
      </c>
      <c r="E234" s="1" t="n">
        <v>46298</v>
      </c>
      <c r="F234" t="inlineStr">
        <is>
          <t>VÄRMLANDS LÄN</t>
        </is>
      </c>
      <c r="G234" t="inlineStr">
        <is>
          <t>KARLSTAD</t>
        </is>
      </c>
      <c r="I234" t="n">
        <v>0.3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27492-2025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45813</v>
      </c>
      <c r="E235" s="1" t="n">
        <v>46298</v>
      </c>
      <c r="F235" t="inlineStr">
        <is>
          <t>VÄRMLANDS LÄN</t>
        </is>
      </c>
      <c r="G235" t="inlineStr">
        <is>
          <t>KARLSTAD</t>
        </is>
      </c>
      <c r="I235" t="n">
        <v>0.7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16952-2024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45411</v>
      </c>
      <c r="E236" s="1" t="n">
        <v>46298</v>
      </c>
      <c r="F236" t="inlineStr">
        <is>
          <t>VÄRMLANDS LÄN</t>
        </is>
      </c>
      <c r="G236" t="inlineStr">
        <is>
          <t>KARLSTAD</t>
        </is>
      </c>
      <c r="I236" t="n">
        <v>0.7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13287-2024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45386</v>
      </c>
      <c r="E237" s="1" t="n">
        <v>46298</v>
      </c>
      <c r="F237" t="inlineStr">
        <is>
          <t>VÄRMLANDS LÄN</t>
        </is>
      </c>
      <c r="G237" t="inlineStr">
        <is>
          <t>KARLSTAD</t>
        </is>
      </c>
      <c r="I237" t="n">
        <v>0.7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47349-2022</t>
        </is>
      </c>
      <c r="B238" t="inlineStr">
        <is>
          <t>avverkningsanmälan</t>
        </is>
      </c>
      <c r="C238" t="inlineStr">
        <is>
          <t>Avverkning för annat ändamål</t>
        </is>
      </c>
      <c r="D238" s="1" t="n">
        <v>44852</v>
      </c>
      <c r="E238" s="1" t="n">
        <v>46298</v>
      </c>
      <c r="F238" t="inlineStr">
        <is>
          <t>VÄRMLANDS LÄN</t>
        </is>
      </c>
      <c r="G238" t="inlineStr">
        <is>
          <t>KARLSTAD</t>
        </is>
      </c>
      <c r="I238" t="n">
        <v>2.7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12103-2026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46086</v>
      </c>
      <c r="E239" s="1" t="n">
        <v>46298</v>
      </c>
      <c r="F239" t="inlineStr">
        <is>
          <t>VÄRMLANDS LÄN</t>
        </is>
      </c>
      <c r="G239" t="inlineStr">
        <is>
          <t>KARLSTAD</t>
        </is>
      </c>
      <c r="I239" t="n">
        <v>6.1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27493-2025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45813</v>
      </c>
      <c r="E240" s="1" t="n">
        <v>46298</v>
      </c>
      <c r="F240" t="inlineStr">
        <is>
          <t>VÄRMLANDS LÄN</t>
        </is>
      </c>
      <c r="G240" t="inlineStr">
        <is>
          <t>KARLSTAD</t>
        </is>
      </c>
      <c r="I240" t="n">
        <v>0.4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27495-2025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45813</v>
      </c>
      <c r="E241" s="1" t="n">
        <v>46298</v>
      </c>
      <c r="F241" t="inlineStr">
        <is>
          <t>VÄRMLANDS LÄN</t>
        </is>
      </c>
      <c r="G241" t="inlineStr">
        <is>
          <t>KARLSTAD</t>
        </is>
      </c>
      <c r="I241" t="n">
        <v>1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57441-2022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44896</v>
      </c>
      <c r="E242" s="1" t="n">
        <v>46298</v>
      </c>
      <c r="F242" t="inlineStr">
        <is>
          <t>VÄRMLANDS LÄN</t>
        </is>
      </c>
      <c r="G242" t="inlineStr">
        <is>
          <t>KARLSTAD</t>
        </is>
      </c>
      <c r="I242" t="n">
        <v>1.6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3961-2023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44952</v>
      </c>
      <c r="E243" s="1" t="n">
        <v>46298</v>
      </c>
      <c r="F243" t="inlineStr">
        <is>
          <t>VÄRMLANDS LÄN</t>
        </is>
      </c>
      <c r="G243" t="inlineStr">
        <is>
          <t>KARLSTAD</t>
        </is>
      </c>
      <c r="I243" t="n">
        <v>10.7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13325-2023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45005</v>
      </c>
      <c r="E244" s="1" t="n">
        <v>46298</v>
      </c>
      <c r="F244" t="inlineStr">
        <is>
          <t>VÄRMLANDS LÄN</t>
        </is>
      </c>
      <c r="G244" t="inlineStr">
        <is>
          <t>KARLSTAD</t>
        </is>
      </c>
      <c r="I244" t="n">
        <v>2.9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46335-2024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45582</v>
      </c>
      <c r="E245" s="1" t="n">
        <v>46298</v>
      </c>
      <c r="F245" t="inlineStr">
        <is>
          <t>VÄRMLANDS LÄN</t>
        </is>
      </c>
      <c r="G245" t="inlineStr">
        <is>
          <t>KARLSTAD</t>
        </is>
      </c>
      <c r="I245" t="n">
        <v>1.9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46336-2024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45582</v>
      </c>
      <c r="E246" s="1" t="n">
        <v>46298</v>
      </c>
      <c r="F246" t="inlineStr">
        <is>
          <t>VÄRMLANDS LÄN</t>
        </is>
      </c>
      <c r="G246" t="inlineStr">
        <is>
          <t>KARLSTAD</t>
        </is>
      </c>
      <c r="I246" t="n">
        <v>0.7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12878-2026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46092</v>
      </c>
      <c r="E247" s="1" t="n">
        <v>46298</v>
      </c>
      <c r="F247" t="inlineStr">
        <is>
          <t>VÄRMLANDS LÄN</t>
        </is>
      </c>
      <c r="G247" t="inlineStr">
        <is>
          <t>KARLSTAD</t>
        </is>
      </c>
      <c r="H247" t="inlineStr">
        <is>
          <t>Bergvik skog väst AB</t>
        </is>
      </c>
      <c r="I247" t="n">
        <v>5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54296-2025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45964</v>
      </c>
      <c r="E248" s="1" t="n">
        <v>46298</v>
      </c>
      <c r="F248" t="inlineStr">
        <is>
          <t>VÄRMLANDS LÄN</t>
        </is>
      </c>
      <c r="G248" t="inlineStr">
        <is>
          <t>KARLSTAD</t>
        </is>
      </c>
      <c r="I248" t="n">
        <v>0.6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12903-2026</t>
        </is>
      </c>
      <c r="B249" t="inlineStr">
        <is>
          <t>avverkningsanmälan</t>
        </is>
      </c>
      <c r="C249" t="inlineStr">
        <is>
          <t>Avverkning för att bevara och utveckla /försöksver</t>
        </is>
      </c>
      <c r="D249" s="1" t="n">
        <v>46092</v>
      </c>
      <c r="E249" s="1" t="n">
        <v>46298</v>
      </c>
      <c r="F249" t="inlineStr">
        <is>
          <t>VÄRMLANDS LÄN</t>
        </is>
      </c>
      <c r="G249" t="inlineStr">
        <is>
          <t>KARLSTAD</t>
        </is>
      </c>
      <c r="H249" t="inlineStr">
        <is>
          <t>Bergvik skog väst AB</t>
        </is>
      </c>
      <c r="I249" t="n">
        <v>1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13343-2026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46094</v>
      </c>
      <c r="E250" s="1" t="n">
        <v>46298</v>
      </c>
      <c r="F250" t="inlineStr">
        <is>
          <t>VÄRMLANDS LÄN</t>
        </is>
      </c>
      <c r="G250" t="inlineStr">
        <is>
          <t>KARLSTAD</t>
        </is>
      </c>
      <c r="H250" t="inlineStr">
        <is>
          <t>Bergvik skog väst AB</t>
        </is>
      </c>
      <c r="I250" t="n">
        <v>3.4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13322-2026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46094</v>
      </c>
      <c r="E251" s="1" t="n">
        <v>46298</v>
      </c>
      <c r="F251" t="inlineStr">
        <is>
          <t>VÄRMLANDS LÄN</t>
        </is>
      </c>
      <c r="G251" t="inlineStr">
        <is>
          <t>KARLSTAD</t>
        </is>
      </c>
      <c r="I251" t="n">
        <v>2.7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57780-2021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44484</v>
      </c>
      <c r="E252" s="1" t="n">
        <v>46298</v>
      </c>
      <c r="F252" t="inlineStr">
        <is>
          <t>VÄRMLANDS LÄN</t>
        </is>
      </c>
      <c r="G252" t="inlineStr">
        <is>
          <t>KARLSTAD</t>
        </is>
      </c>
      <c r="H252" t="inlineStr">
        <is>
          <t>Kommuner</t>
        </is>
      </c>
      <c r="I252" t="n">
        <v>2.5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904-2025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45665</v>
      </c>
      <c r="E253" s="1" t="n">
        <v>46298</v>
      </c>
      <c r="F253" t="inlineStr">
        <is>
          <t>VÄRMLANDS LÄN</t>
        </is>
      </c>
      <c r="G253" t="inlineStr">
        <is>
          <t>KARLSTAD</t>
        </is>
      </c>
      <c r="I253" t="n">
        <v>4.3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55419-2025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45971</v>
      </c>
      <c r="E254" s="1" t="n">
        <v>46298</v>
      </c>
      <c r="F254" t="inlineStr">
        <is>
          <t>VÄRMLANDS LÄN</t>
        </is>
      </c>
      <c r="G254" t="inlineStr">
        <is>
          <t>KARLSTAD</t>
        </is>
      </c>
      <c r="I254" t="n">
        <v>5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58656-2024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45635</v>
      </c>
      <c r="E255" s="1" t="n">
        <v>46298</v>
      </c>
      <c r="F255" t="inlineStr">
        <is>
          <t>VÄRMLANDS LÄN</t>
        </is>
      </c>
      <c r="G255" t="inlineStr">
        <is>
          <t>KARLSTAD</t>
        </is>
      </c>
      <c r="I255" t="n">
        <v>0.6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14433-2026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46100</v>
      </c>
      <c r="E256" s="1" t="n">
        <v>46298</v>
      </c>
      <c r="F256" t="inlineStr">
        <is>
          <t>VÄRMLANDS LÄN</t>
        </is>
      </c>
      <c r="G256" t="inlineStr">
        <is>
          <t>KARLSTAD</t>
        </is>
      </c>
      <c r="H256" t="inlineStr">
        <is>
          <t>Bergvik skog väst AB</t>
        </is>
      </c>
      <c r="I256" t="n">
        <v>5.1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14076-2026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46099</v>
      </c>
      <c r="E257" s="1" t="n">
        <v>46298</v>
      </c>
      <c r="F257" t="inlineStr">
        <is>
          <t>VÄRMLANDS LÄN</t>
        </is>
      </c>
      <c r="G257" t="inlineStr">
        <is>
          <t>KARLSTAD</t>
        </is>
      </c>
      <c r="I257" t="n">
        <v>3.8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32875-2023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45112</v>
      </c>
      <c r="E258" s="1" t="n">
        <v>46298</v>
      </c>
      <c r="F258" t="inlineStr">
        <is>
          <t>VÄRMLANDS LÄN</t>
        </is>
      </c>
      <c r="G258" t="inlineStr">
        <is>
          <t>KARLSTAD</t>
        </is>
      </c>
      <c r="I258" t="n">
        <v>9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14079-2026</t>
        </is>
      </c>
      <c r="B259" t="inlineStr">
        <is>
          <t>avverkningsanmälan</t>
        </is>
      </c>
      <c r="C259" t="inlineStr">
        <is>
          <t>Avverkning för att bevara och utveckla /försöksver</t>
        </is>
      </c>
      <c r="D259" s="1" t="n">
        <v>46099</v>
      </c>
      <c r="E259" s="1" t="n">
        <v>46298</v>
      </c>
      <c r="F259" t="inlineStr">
        <is>
          <t>VÄRMLANDS LÄN</t>
        </is>
      </c>
      <c r="G259" t="inlineStr">
        <is>
          <t>KARLSTAD</t>
        </is>
      </c>
      <c r="H259" t="inlineStr">
        <is>
          <t>Bergvik skog väst AB</t>
        </is>
      </c>
      <c r="I259" t="n">
        <v>4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55910-2025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45972</v>
      </c>
      <c r="E260" s="1" t="n">
        <v>46298</v>
      </c>
      <c r="F260" t="inlineStr">
        <is>
          <t>VÄRMLANDS LÄN</t>
        </is>
      </c>
      <c r="G260" t="inlineStr">
        <is>
          <t>KARLSTAD</t>
        </is>
      </c>
      <c r="I260" t="n">
        <v>2.4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9762-2023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44984</v>
      </c>
      <c r="E261" s="1" t="n">
        <v>46298</v>
      </c>
      <c r="F261" t="inlineStr">
        <is>
          <t>VÄRMLANDS LÄN</t>
        </is>
      </c>
      <c r="G261" t="inlineStr">
        <is>
          <t>KARLSTAD</t>
        </is>
      </c>
      <c r="I261" t="n">
        <v>2.7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14468-2026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46100</v>
      </c>
      <c r="E262" s="1" t="n">
        <v>46298</v>
      </c>
      <c r="F262" t="inlineStr">
        <is>
          <t>VÄRMLANDS LÄN</t>
        </is>
      </c>
      <c r="G262" t="inlineStr">
        <is>
          <t>KARLSTAD</t>
        </is>
      </c>
      <c r="H262" t="inlineStr">
        <is>
          <t>Bergvik skog väst AB</t>
        </is>
      </c>
      <c r="I262" t="n">
        <v>10.9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61070-2023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45260</v>
      </c>
      <c r="E263" s="1" t="n">
        <v>46298</v>
      </c>
      <c r="F263" t="inlineStr">
        <is>
          <t>VÄRMLANDS LÄN</t>
        </is>
      </c>
      <c r="G263" t="inlineStr">
        <is>
          <t>KARLSTAD</t>
        </is>
      </c>
      <c r="I263" t="n">
        <v>7.5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19292-2023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45049</v>
      </c>
      <c r="E264" s="1" t="n">
        <v>46298</v>
      </c>
      <c r="F264" t="inlineStr">
        <is>
          <t>VÄRMLANDS LÄN</t>
        </is>
      </c>
      <c r="G264" t="inlineStr">
        <is>
          <t>KARLSTAD</t>
        </is>
      </c>
      <c r="I264" t="n">
        <v>2.2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54254-2024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45616</v>
      </c>
      <c r="E265" s="1" t="n">
        <v>46298</v>
      </c>
      <c r="F265" t="inlineStr">
        <is>
          <t>VÄRMLANDS LÄN</t>
        </is>
      </c>
      <c r="G265" t="inlineStr">
        <is>
          <t>KARLSTAD</t>
        </is>
      </c>
      <c r="I265" t="n">
        <v>4.8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14890-2026</t>
        </is>
      </c>
      <c r="B266" t="inlineStr">
        <is>
          <t>avverkningsanmälan</t>
        </is>
      </c>
      <c r="C266" t="inlineStr">
        <is>
          <t>Avverkning för att bevara och utveckla /försöksver</t>
        </is>
      </c>
      <c r="D266" s="1" t="n">
        <v>46104</v>
      </c>
      <c r="E266" s="1" t="n">
        <v>46298</v>
      </c>
      <c r="F266" t="inlineStr">
        <is>
          <t>VÄRMLANDS LÄN</t>
        </is>
      </c>
      <c r="G266" t="inlineStr">
        <is>
          <t>KARLSTAD</t>
        </is>
      </c>
      <c r="H266" t="inlineStr">
        <is>
          <t>Bergvik skog väst AB</t>
        </is>
      </c>
      <c r="I266" t="n">
        <v>1.5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33804-2024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45520</v>
      </c>
      <c r="E267" s="1" t="n">
        <v>46298</v>
      </c>
      <c r="F267" t="inlineStr">
        <is>
          <t>VÄRMLANDS LÄN</t>
        </is>
      </c>
      <c r="G267" t="inlineStr">
        <is>
          <t>KARLSTAD</t>
        </is>
      </c>
      <c r="I267" t="n">
        <v>1.8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28433-2025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45819</v>
      </c>
      <c r="E268" s="1" t="n">
        <v>46298</v>
      </c>
      <c r="F268" t="inlineStr">
        <is>
          <t>VÄRMLANDS LÄN</t>
        </is>
      </c>
      <c r="G268" t="inlineStr">
        <is>
          <t>KARLSTAD</t>
        </is>
      </c>
      <c r="I268" t="n">
        <v>3.2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56795-2025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45978</v>
      </c>
      <c r="E269" s="1" t="n">
        <v>46298</v>
      </c>
      <c r="F269" t="inlineStr">
        <is>
          <t>VÄRMLANDS LÄN</t>
        </is>
      </c>
      <c r="G269" t="inlineStr">
        <is>
          <t>KARLSTAD</t>
        </is>
      </c>
      <c r="H269" t="inlineStr">
        <is>
          <t>Naturvårdsverket</t>
        </is>
      </c>
      <c r="I269" t="n">
        <v>16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56871-2025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45978</v>
      </c>
      <c r="E270" s="1" t="n">
        <v>46298</v>
      </c>
      <c r="F270" t="inlineStr">
        <is>
          <t>VÄRMLANDS LÄN</t>
        </is>
      </c>
      <c r="G270" t="inlineStr">
        <is>
          <t>KARLSTAD</t>
        </is>
      </c>
      <c r="I270" t="n">
        <v>1.8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36072-2024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45533</v>
      </c>
      <c r="E271" s="1" t="n">
        <v>46298</v>
      </c>
      <c r="F271" t="inlineStr">
        <is>
          <t>VÄRMLANDS LÄN</t>
        </is>
      </c>
      <c r="G271" t="inlineStr">
        <is>
          <t>KARLSTAD</t>
        </is>
      </c>
      <c r="I271" t="n">
        <v>1.6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56872-2025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45978</v>
      </c>
      <c r="E272" s="1" t="n">
        <v>46298</v>
      </c>
      <c r="F272" t="inlineStr">
        <is>
          <t>VÄRMLANDS LÄN</t>
        </is>
      </c>
      <c r="G272" t="inlineStr">
        <is>
          <t>KARLSTAD</t>
        </is>
      </c>
      <c r="I272" t="n">
        <v>2.5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57146-2024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45629</v>
      </c>
      <c r="E273" s="1" t="n">
        <v>46298</v>
      </c>
      <c r="F273" t="inlineStr">
        <is>
          <t>VÄRMLANDS LÄN</t>
        </is>
      </c>
      <c r="G273" t="inlineStr">
        <is>
          <t>KARLSTAD</t>
        </is>
      </c>
      <c r="I273" t="n">
        <v>9.300000000000001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57466-2025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45980</v>
      </c>
      <c r="E274" s="1" t="n">
        <v>46298</v>
      </c>
      <c r="F274" t="inlineStr">
        <is>
          <t>VÄRMLANDS LÄN</t>
        </is>
      </c>
      <c r="G274" t="inlineStr">
        <is>
          <t>KARLSTAD</t>
        </is>
      </c>
      <c r="I274" t="n">
        <v>1.1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  <c r="Z274">
        <f>HYPERLINK("https://klasma.github.io/Logging_1780/knärot/A 57466-2025 karta knärot.png", "A 57466-2025")</f>
        <v/>
      </c>
      <c r="AA274">
        <f>HYPERLINK("https://klasma.github.io/Logging_1780/klagomål/A 57466-2025 FSC-klagomål.docx", "A 57466-2025")</f>
        <v/>
      </c>
      <c r="AB274">
        <f>HYPERLINK("https://klasma.github.io/Logging_1780/klagomålsmail/A 57466-2025 FSC-klagomål mail.docx", "A 57466-2025")</f>
        <v/>
      </c>
      <c r="AC274">
        <f>HYPERLINK("https://klasma.github.io/Logging_1780/tillsyn/A 57466-2025 tillsynsbegäran.docx", "A 57466-2025")</f>
        <v/>
      </c>
      <c r="AD274">
        <f>HYPERLINK("https://klasma.github.io/Logging_1780/tillsynsmail/A 57466-2025 tillsynsbegäran mail.docx", "A 57466-2025")</f>
        <v/>
      </c>
    </row>
    <row r="275" ht="15" customHeight="1">
      <c r="A275" t="inlineStr">
        <is>
          <t>A 15772-2026</t>
        </is>
      </c>
      <c r="B275" t="inlineStr">
        <is>
          <t>avverkningsanmälan</t>
        </is>
      </c>
      <c r="C275" t="inlineStr">
        <is>
          <t>Avverkning för att bevara och utveckla /försöksver</t>
        </is>
      </c>
      <c r="D275" s="1" t="n">
        <v>46107</v>
      </c>
      <c r="E275" s="1" t="n">
        <v>46298</v>
      </c>
      <c r="F275" t="inlineStr">
        <is>
          <t>VÄRMLANDS LÄN</t>
        </is>
      </c>
      <c r="G275" t="inlineStr">
        <is>
          <t>KARLSTAD</t>
        </is>
      </c>
      <c r="H275" t="inlineStr">
        <is>
          <t>Bergvik skog väst AB</t>
        </is>
      </c>
      <c r="I275" t="n">
        <v>2.9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55666-2024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45622</v>
      </c>
      <c r="E276" s="1" t="n">
        <v>46298</v>
      </c>
      <c r="F276" t="inlineStr">
        <is>
          <t>VÄRMLANDS LÄN</t>
        </is>
      </c>
      <c r="G276" t="inlineStr">
        <is>
          <t>KARLSTAD</t>
        </is>
      </c>
      <c r="I276" t="n">
        <v>1.1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15729-2026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46107</v>
      </c>
      <c r="E277" s="1" t="n">
        <v>46298</v>
      </c>
      <c r="F277" t="inlineStr">
        <is>
          <t>VÄRMLANDS LÄN</t>
        </is>
      </c>
      <c r="G277" t="inlineStr">
        <is>
          <t>KARLSTAD</t>
        </is>
      </c>
      <c r="H277" t="inlineStr">
        <is>
          <t>Bergvik skog väst AB</t>
        </is>
      </c>
      <c r="I277" t="n">
        <v>0.9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31316-2023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45114</v>
      </c>
      <c r="E278" s="1" t="n">
        <v>46298</v>
      </c>
      <c r="F278" t="inlineStr">
        <is>
          <t>VÄRMLANDS LÄN</t>
        </is>
      </c>
      <c r="G278" t="inlineStr">
        <is>
          <t>KARLSTAD</t>
        </is>
      </c>
      <c r="I278" t="n">
        <v>0.5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58912-2025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45986</v>
      </c>
      <c r="E279" s="1" t="n">
        <v>46298</v>
      </c>
      <c r="F279" t="inlineStr">
        <is>
          <t>VÄRMLANDS LÄN</t>
        </is>
      </c>
      <c r="G279" t="inlineStr">
        <is>
          <t>KARLSTAD</t>
        </is>
      </c>
      <c r="I279" t="n">
        <v>4.9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50955-2025</t>
        </is>
      </c>
      <c r="B280" t="inlineStr">
        <is>
          <t>avverkningsanmälan</t>
        </is>
      </c>
      <c r="C280" t="inlineStr">
        <is>
          <t>Avverkning för annat ändamål</t>
        </is>
      </c>
      <c r="D280" s="1" t="n">
        <v>45946</v>
      </c>
      <c r="E280" s="1" t="n">
        <v>46298</v>
      </c>
      <c r="F280" t="inlineStr">
        <is>
          <t>VÄRMLANDS LÄN</t>
        </is>
      </c>
      <c r="G280" t="inlineStr">
        <is>
          <t>KARLSTAD</t>
        </is>
      </c>
      <c r="I280" t="n">
        <v>10.3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1165-2024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45302</v>
      </c>
      <c r="E281" s="1" t="n">
        <v>46298</v>
      </c>
      <c r="F281" t="inlineStr">
        <is>
          <t>VÄRMLANDS LÄN</t>
        </is>
      </c>
      <c r="G281" t="inlineStr">
        <is>
          <t>KARLSTAD</t>
        </is>
      </c>
      <c r="I281" t="n">
        <v>6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53656-2024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45615</v>
      </c>
      <c r="E282" s="1" t="n">
        <v>46298</v>
      </c>
      <c r="F282" t="inlineStr">
        <is>
          <t>VÄRMLANDS LÄN</t>
        </is>
      </c>
      <c r="G282" t="inlineStr">
        <is>
          <t>KARLSTAD</t>
        </is>
      </c>
      <c r="I282" t="n">
        <v>1.5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17108-2026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46114</v>
      </c>
      <c r="E283" s="1" t="n">
        <v>46298</v>
      </c>
      <c r="F283" t="inlineStr">
        <is>
          <t>VÄRMLANDS LÄN</t>
        </is>
      </c>
      <c r="G283" t="inlineStr">
        <is>
          <t>KARLSTAD</t>
        </is>
      </c>
      <c r="I283" t="n">
        <v>2.7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36884-2022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44805</v>
      </c>
      <c r="E284" s="1" t="n">
        <v>46298</v>
      </c>
      <c r="F284" t="inlineStr">
        <is>
          <t>VÄRMLANDS LÄN</t>
        </is>
      </c>
      <c r="G284" t="inlineStr">
        <is>
          <t>KARLSTAD</t>
        </is>
      </c>
      <c r="I284" t="n">
        <v>2.6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29192-2025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45822</v>
      </c>
      <c r="E285" s="1" t="n">
        <v>46298</v>
      </c>
      <c r="F285" t="inlineStr">
        <is>
          <t>VÄRMLANDS LÄN</t>
        </is>
      </c>
      <c r="G285" t="inlineStr">
        <is>
          <t>KARLSTAD</t>
        </is>
      </c>
      <c r="I285" t="n">
        <v>23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2978-2023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44945</v>
      </c>
      <c r="E286" s="1" t="n">
        <v>46298</v>
      </c>
      <c r="F286" t="inlineStr">
        <is>
          <t>VÄRMLANDS LÄN</t>
        </is>
      </c>
      <c r="G286" t="inlineStr">
        <is>
          <t>KARLSTAD</t>
        </is>
      </c>
      <c r="I286" t="n">
        <v>6.8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59295-2022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44904</v>
      </c>
      <c r="E287" s="1" t="n">
        <v>46298</v>
      </c>
      <c r="F287" t="inlineStr">
        <is>
          <t>VÄRMLANDS LÄN</t>
        </is>
      </c>
      <c r="G287" t="inlineStr">
        <is>
          <t>KARLSTAD</t>
        </is>
      </c>
      <c r="I287" t="n">
        <v>2.3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18163-2026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46125</v>
      </c>
      <c r="E288" s="1" t="n">
        <v>46298</v>
      </c>
      <c r="F288" t="inlineStr">
        <is>
          <t>VÄRMLANDS LÄN</t>
        </is>
      </c>
      <c r="G288" t="inlineStr">
        <is>
          <t>KARLSTAD</t>
        </is>
      </c>
      <c r="H288" t="inlineStr">
        <is>
          <t>Bergvik skog väst AB</t>
        </is>
      </c>
      <c r="I288" t="n">
        <v>2.7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38023-2023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45160</v>
      </c>
      <c r="E289" s="1" t="n">
        <v>46298</v>
      </c>
      <c r="F289" t="inlineStr">
        <is>
          <t>VÄRMLANDS LÄN</t>
        </is>
      </c>
      <c r="G289" t="inlineStr">
        <is>
          <t>KARLSTAD</t>
        </is>
      </c>
      <c r="I289" t="n">
        <v>7.3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60434-2025</t>
        </is>
      </c>
      <c r="B290" t="inlineStr">
        <is>
          <t>avverkningsanmälan</t>
        </is>
      </c>
      <c r="C290" t="inlineStr">
        <is>
          <t>Avverkning för annat ändamål</t>
        </is>
      </c>
      <c r="D290" s="1" t="n">
        <v>45995</v>
      </c>
      <c r="E290" s="1" t="n">
        <v>46298</v>
      </c>
      <c r="F290" t="inlineStr">
        <is>
          <t>VÄRMLANDS LÄN</t>
        </is>
      </c>
      <c r="G290" t="inlineStr">
        <is>
          <t>KARLSTAD</t>
        </is>
      </c>
      <c r="I290" t="n">
        <v>1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68011-2021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44525</v>
      </c>
      <c r="E291" s="1" t="n">
        <v>46298</v>
      </c>
      <c r="F291" t="inlineStr">
        <is>
          <t>VÄRMLANDS LÄN</t>
        </is>
      </c>
      <c r="G291" t="inlineStr">
        <is>
          <t>KARLSTAD</t>
        </is>
      </c>
      <c r="I291" t="n">
        <v>6.2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60609-2023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45260</v>
      </c>
      <c r="E292" s="1" t="n">
        <v>46298</v>
      </c>
      <c r="F292" t="inlineStr">
        <is>
          <t>VÄRMLANDS LÄN</t>
        </is>
      </c>
      <c r="G292" t="inlineStr">
        <is>
          <t>KARLSTAD</t>
        </is>
      </c>
      <c r="I292" t="n">
        <v>3.6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21629-2023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45062</v>
      </c>
      <c r="E293" s="1" t="n">
        <v>46298</v>
      </c>
      <c r="F293" t="inlineStr">
        <is>
          <t>VÄRMLANDS LÄN</t>
        </is>
      </c>
      <c r="G293" t="inlineStr">
        <is>
          <t>KARLSTAD</t>
        </is>
      </c>
      <c r="I293" t="n">
        <v>1.1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19196-2026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46132</v>
      </c>
      <c r="E294" s="1" t="n">
        <v>46298</v>
      </c>
      <c r="F294" t="inlineStr">
        <is>
          <t>VÄRMLANDS LÄN</t>
        </is>
      </c>
      <c r="G294" t="inlineStr">
        <is>
          <t>KARLSTAD</t>
        </is>
      </c>
      <c r="I294" t="n">
        <v>4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19157-2026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46132</v>
      </c>
      <c r="E295" s="1" t="n">
        <v>46298</v>
      </c>
      <c r="F295" t="inlineStr">
        <is>
          <t>VÄRMLANDS LÄN</t>
        </is>
      </c>
      <c r="G295" t="inlineStr">
        <is>
          <t>KARLSTAD</t>
        </is>
      </c>
      <c r="I295" t="n">
        <v>1.4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42684-2025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45908</v>
      </c>
      <c r="E296" s="1" t="n">
        <v>46298</v>
      </c>
      <c r="F296" t="inlineStr">
        <is>
          <t>VÄRMLANDS LÄN</t>
        </is>
      </c>
      <c r="G296" t="inlineStr">
        <is>
          <t>KARLSTAD</t>
        </is>
      </c>
      <c r="I296" t="n">
        <v>1.2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11620-2023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44994</v>
      </c>
      <c r="E297" s="1" t="n">
        <v>46298</v>
      </c>
      <c r="F297" t="inlineStr">
        <is>
          <t>VÄRMLANDS LÄN</t>
        </is>
      </c>
      <c r="G297" t="inlineStr">
        <is>
          <t>KARLSTAD</t>
        </is>
      </c>
      <c r="H297" t="inlineStr">
        <is>
          <t>Kommuner</t>
        </is>
      </c>
      <c r="I297" t="n">
        <v>1.7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6323-2022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44600</v>
      </c>
      <c r="E298" s="1" t="n">
        <v>46298</v>
      </c>
      <c r="F298" t="inlineStr">
        <is>
          <t>VÄRMLANDS LÄN</t>
        </is>
      </c>
      <c r="G298" t="inlineStr">
        <is>
          <t>KARLSTAD</t>
        </is>
      </c>
      <c r="I298" t="n">
        <v>2.1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31422-2025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45833</v>
      </c>
      <c r="E299" s="1" t="n">
        <v>46298</v>
      </c>
      <c r="F299" t="inlineStr">
        <is>
          <t>VÄRMLANDS LÄN</t>
        </is>
      </c>
      <c r="G299" t="inlineStr">
        <is>
          <t>KARLSTAD</t>
        </is>
      </c>
      <c r="I299" t="n">
        <v>1.8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618-2024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45299</v>
      </c>
      <c r="E300" s="1" t="n">
        <v>46298</v>
      </c>
      <c r="F300" t="inlineStr">
        <is>
          <t>VÄRMLANDS LÄN</t>
        </is>
      </c>
      <c r="G300" t="inlineStr">
        <is>
          <t>KARLSTAD</t>
        </is>
      </c>
      <c r="I300" t="n">
        <v>10.9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46097-2023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45196</v>
      </c>
      <c r="E301" s="1" t="n">
        <v>46298</v>
      </c>
      <c r="F301" t="inlineStr">
        <is>
          <t>VÄRMLANDS LÄN</t>
        </is>
      </c>
      <c r="G301" t="inlineStr">
        <is>
          <t>KARLSTAD</t>
        </is>
      </c>
      <c r="I301" t="n">
        <v>6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31833-2025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45834</v>
      </c>
      <c r="E302" s="1" t="n">
        <v>46298</v>
      </c>
      <c r="F302" t="inlineStr">
        <is>
          <t>VÄRMLANDS LÄN</t>
        </is>
      </c>
      <c r="G302" t="inlineStr">
        <is>
          <t>KARLSTAD</t>
        </is>
      </c>
      <c r="I302" t="n">
        <v>1.6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38770-2022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44816</v>
      </c>
      <c r="E303" s="1" t="n">
        <v>46298</v>
      </c>
      <c r="F303" t="inlineStr">
        <is>
          <t>VÄRMLANDS LÄN</t>
        </is>
      </c>
      <c r="G303" t="inlineStr">
        <is>
          <t>KARLSTAD</t>
        </is>
      </c>
      <c r="I303" t="n">
        <v>1.5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32590-2025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45838</v>
      </c>
      <c r="E304" s="1" t="n">
        <v>46298</v>
      </c>
      <c r="F304" t="inlineStr">
        <is>
          <t>VÄRMLANDS LÄN</t>
        </is>
      </c>
      <c r="G304" t="inlineStr">
        <is>
          <t>KARLSTAD</t>
        </is>
      </c>
      <c r="I304" t="n">
        <v>0.4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45265-2023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45187</v>
      </c>
      <c r="E305" s="1" t="n">
        <v>46298</v>
      </c>
      <c r="F305" t="inlineStr">
        <is>
          <t>VÄRMLANDS LÄN</t>
        </is>
      </c>
      <c r="G305" t="inlineStr">
        <is>
          <t>KARLSTAD</t>
        </is>
      </c>
      <c r="I305" t="n">
        <v>0.9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32591-2025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45838</v>
      </c>
      <c r="E306" s="1" t="n">
        <v>46298</v>
      </c>
      <c r="F306" t="inlineStr">
        <is>
          <t>VÄRMLANDS LÄN</t>
        </is>
      </c>
      <c r="G306" t="inlineStr">
        <is>
          <t>KARLSTAD</t>
        </is>
      </c>
      <c r="I306" t="n">
        <v>0.4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32333-2025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45836</v>
      </c>
      <c r="E307" s="1" t="n">
        <v>46298</v>
      </c>
      <c r="F307" t="inlineStr">
        <is>
          <t>VÄRMLANDS LÄN</t>
        </is>
      </c>
      <c r="G307" t="inlineStr">
        <is>
          <t>KARLSTAD</t>
        </is>
      </c>
      <c r="I307" t="n">
        <v>2.3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16421-2025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45751</v>
      </c>
      <c r="E308" s="1" t="n">
        <v>46298</v>
      </c>
      <c r="F308" t="inlineStr">
        <is>
          <t>VÄRMLANDS LÄN</t>
        </is>
      </c>
      <c r="G308" t="inlineStr">
        <is>
          <t>KARLSTAD</t>
        </is>
      </c>
      <c r="I308" t="n">
        <v>2.9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34321-2024</t>
        </is>
      </c>
      <c r="B309" t="inlineStr">
        <is>
          <t>avverkningsanmälan</t>
        </is>
      </c>
      <c r="C309" t="inlineStr">
        <is>
          <t>Avverkning för annat ändamål</t>
        </is>
      </c>
      <c r="D309" s="1" t="n">
        <v>45524</v>
      </c>
      <c r="E309" s="1" t="n">
        <v>46298</v>
      </c>
      <c r="F309" t="inlineStr">
        <is>
          <t>VÄRMLANDS LÄN</t>
        </is>
      </c>
      <c r="G309" t="inlineStr">
        <is>
          <t>KARLSTAD</t>
        </is>
      </c>
      <c r="I309" t="n">
        <v>1.4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3885-2024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45322</v>
      </c>
      <c r="E310" s="1" t="n">
        <v>46298</v>
      </c>
      <c r="F310" t="inlineStr">
        <is>
          <t>VÄRMLANDS LÄN</t>
        </is>
      </c>
      <c r="G310" t="inlineStr">
        <is>
          <t>KARLSTAD</t>
        </is>
      </c>
      <c r="I310" t="n">
        <v>2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25558-2025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45803</v>
      </c>
      <c r="E311" s="1" t="n">
        <v>46298</v>
      </c>
      <c r="F311" t="inlineStr">
        <is>
          <t>VÄRMLANDS LÄN</t>
        </is>
      </c>
      <c r="G311" t="inlineStr">
        <is>
          <t>KARLSTAD</t>
        </is>
      </c>
      <c r="I311" t="n">
        <v>1.4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47608-2023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45203</v>
      </c>
      <c r="E312" s="1" t="n">
        <v>46298</v>
      </c>
      <c r="F312" t="inlineStr">
        <is>
          <t>VÄRMLANDS LÄN</t>
        </is>
      </c>
      <c r="G312" t="inlineStr">
        <is>
          <t>KARLSTAD</t>
        </is>
      </c>
      <c r="I312" t="n">
        <v>0.6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42343-2025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45877</v>
      </c>
      <c r="E313" s="1" t="n">
        <v>46298</v>
      </c>
      <c r="F313" t="inlineStr">
        <is>
          <t>VÄRMLANDS LÄN</t>
        </is>
      </c>
      <c r="G313" t="inlineStr">
        <is>
          <t>KARLSTAD</t>
        </is>
      </c>
      <c r="I313" t="n">
        <v>1.5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41654-2024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45560</v>
      </c>
      <c r="E314" s="1" t="n">
        <v>46298</v>
      </c>
      <c r="F314" t="inlineStr">
        <is>
          <t>VÄRMLANDS LÄN</t>
        </is>
      </c>
      <c r="G314" t="inlineStr">
        <is>
          <t>KARLSTAD</t>
        </is>
      </c>
      <c r="I314" t="n">
        <v>2.4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1982-2024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45308</v>
      </c>
      <c r="E315" s="1" t="n">
        <v>46298</v>
      </c>
      <c r="F315" t="inlineStr">
        <is>
          <t>VÄRMLANDS LÄN</t>
        </is>
      </c>
      <c r="G315" t="inlineStr">
        <is>
          <t>KARLSTAD</t>
        </is>
      </c>
      <c r="I315" t="n">
        <v>3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12316-2025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45729</v>
      </c>
      <c r="E316" s="1" t="n">
        <v>46298</v>
      </c>
      <c r="F316" t="inlineStr">
        <is>
          <t>VÄRMLANDS LÄN</t>
        </is>
      </c>
      <c r="G316" t="inlineStr">
        <is>
          <t>KARLSTAD</t>
        </is>
      </c>
      <c r="I316" t="n">
        <v>4.1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62225-2021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44503</v>
      </c>
      <c r="E317" s="1" t="n">
        <v>46298</v>
      </c>
      <c r="F317" t="inlineStr">
        <is>
          <t>VÄRMLANDS LÄN</t>
        </is>
      </c>
      <c r="G317" t="inlineStr">
        <is>
          <t>KARLSTAD</t>
        </is>
      </c>
      <c r="I317" t="n">
        <v>1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53048-2022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44876</v>
      </c>
      <c r="E318" s="1" t="n">
        <v>46298</v>
      </c>
      <c r="F318" t="inlineStr">
        <is>
          <t>VÄRMLANDS LÄN</t>
        </is>
      </c>
      <c r="G318" t="inlineStr">
        <is>
          <t>KARLSTAD</t>
        </is>
      </c>
      <c r="I318" t="n">
        <v>2.7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24772-2025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45799</v>
      </c>
      <c r="E319" s="1" t="n">
        <v>46298</v>
      </c>
      <c r="F319" t="inlineStr">
        <is>
          <t>VÄRMLANDS LÄN</t>
        </is>
      </c>
      <c r="G319" t="inlineStr">
        <is>
          <t>KARLSTAD</t>
        </is>
      </c>
      <c r="I319" t="n">
        <v>1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7491-2022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44607</v>
      </c>
      <c r="E320" s="1" t="n">
        <v>46298</v>
      </c>
      <c r="F320" t="inlineStr">
        <is>
          <t>VÄRMLANDS LÄN</t>
        </is>
      </c>
      <c r="G320" t="inlineStr">
        <is>
          <t>KARLSTAD</t>
        </is>
      </c>
      <c r="I320" t="n">
        <v>1.5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11700-2022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44634</v>
      </c>
      <c r="E321" s="1" t="n">
        <v>46298</v>
      </c>
      <c r="F321" t="inlineStr">
        <is>
          <t>VÄRMLANDS LÄN</t>
        </is>
      </c>
      <c r="G321" t="inlineStr">
        <is>
          <t>KARLSTAD</t>
        </is>
      </c>
      <c r="I321" t="n">
        <v>3.4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66642-2021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44519</v>
      </c>
      <c r="E322" s="1" t="n">
        <v>46298</v>
      </c>
      <c r="F322" t="inlineStr">
        <is>
          <t>VÄRMLANDS LÄN</t>
        </is>
      </c>
      <c r="G322" t="inlineStr">
        <is>
          <t>KARLSTAD</t>
        </is>
      </c>
      <c r="I322" t="n">
        <v>18.2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4373-2022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44589</v>
      </c>
      <c r="E323" s="1" t="n">
        <v>46298</v>
      </c>
      <c r="F323" t="inlineStr">
        <is>
          <t>VÄRMLANDS LÄN</t>
        </is>
      </c>
      <c r="G323" t="inlineStr">
        <is>
          <t>KARLSTAD</t>
        </is>
      </c>
      <c r="H323" t="inlineStr">
        <is>
          <t>Bergvik skog väst AB</t>
        </is>
      </c>
      <c r="I323" t="n">
        <v>17.9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29265-2025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45824</v>
      </c>
      <c r="E324" s="1" t="n">
        <v>46298</v>
      </c>
      <c r="F324" t="inlineStr">
        <is>
          <t>VÄRMLANDS LÄN</t>
        </is>
      </c>
      <c r="G324" t="inlineStr">
        <is>
          <t>KARLSTAD</t>
        </is>
      </c>
      <c r="I324" t="n">
        <v>1.5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46096-2023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45196</v>
      </c>
      <c r="E325" s="1" t="n">
        <v>46298</v>
      </c>
      <c r="F325" t="inlineStr">
        <is>
          <t>VÄRMLANDS LÄN</t>
        </is>
      </c>
      <c r="G325" t="inlineStr">
        <is>
          <t>KARLSTAD</t>
        </is>
      </c>
      <c r="I325" t="n">
        <v>7.2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56327-2023</t>
        </is>
      </c>
      <c r="B326" t="inlineStr">
        <is>
          <t>avverkningsanmälan</t>
        </is>
      </c>
      <c r="C326" t="inlineStr">
        <is>
          <t>Avverkning för annat ändamål</t>
        </is>
      </c>
      <c r="D326" s="1" t="n">
        <v>45243</v>
      </c>
      <c r="E326" s="1" t="n">
        <v>46298</v>
      </c>
      <c r="F326" t="inlineStr">
        <is>
          <t>VÄRMLANDS LÄN</t>
        </is>
      </c>
      <c r="G326" t="inlineStr">
        <is>
          <t>KARLSTAD</t>
        </is>
      </c>
      <c r="I326" t="n">
        <v>0.8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15836-2022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44664</v>
      </c>
      <c r="E327" s="1" t="n">
        <v>46298</v>
      </c>
      <c r="F327" t="inlineStr">
        <is>
          <t>VÄRMLANDS LÄN</t>
        </is>
      </c>
      <c r="G327" t="inlineStr">
        <is>
          <t>KARLSTAD</t>
        </is>
      </c>
      <c r="I327" t="n">
        <v>5.6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61095-2023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45260</v>
      </c>
      <c r="E328" s="1" t="n">
        <v>46298</v>
      </c>
      <c r="F328" t="inlineStr">
        <is>
          <t>VÄRMLANDS LÄN</t>
        </is>
      </c>
      <c r="G328" t="inlineStr">
        <is>
          <t>KARLSTAD</t>
        </is>
      </c>
      <c r="I328" t="n">
        <v>10.4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46967-2023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45201</v>
      </c>
      <c r="E329" s="1" t="n">
        <v>46298</v>
      </c>
      <c r="F329" t="inlineStr">
        <is>
          <t>VÄRMLANDS LÄN</t>
        </is>
      </c>
      <c r="G329" t="inlineStr">
        <is>
          <t>KARLSTAD</t>
        </is>
      </c>
      <c r="I329" t="n">
        <v>2.2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596-2024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45299</v>
      </c>
      <c r="E330" s="1" t="n">
        <v>46298</v>
      </c>
      <c r="F330" t="inlineStr">
        <is>
          <t>VÄRMLANDS LÄN</t>
        </is>
      </c>
      <c r="G330" t="inlineStr">
        <is>
          <t>KARLSTAD</t>
        </is>
      </c>
      <c r="I330" t="n">
        <v>1.2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24656-2025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45798</v>
      </c>
      <c r="E331" s="1" t="n">
        <v>46298</v>
      </c>
      <c r="F331" t="inlineStr">
        <is>
          <t>VÄRMLANDS LÄN</t>
        </is>
      </c>
      <c r="G331" t="inlineStr">
        <is>
          <t>KARLSTAD</t>
        </is>
      </c>
      <c r="I331" t="n">
        <v>1.2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1446-2023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44937</v>
      </c>
      <c r="E332" s="1" t="n">
        <v>46298</v>
      </c>
      <c r="F332" t="inlineStr">
        <is>
          <t>VÄRMLANDS LÄN</t>
        </is>
      </c>
      <c r="G332" t="inlineStr">
        <is>
          <t>KARLSTAD</t>
        </is>
      </c>
      <c r="I332" t="n">
        <v>2.9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37627-2025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45880</v>
      </c>
      <c r="E333" s="1" t="n">
        <v>46298</v>
      </c>
      <c r="F333" t="inlineStr">
        <is>
          <t>VÄRMLANDS LÄN</t>
        </is>
      </c>
      <c r="G333" t="inlineStr">
        <is>
          <t>KARLSTAD</t>
        </is>
      </c>
      <c r="I333" t="n">
        <v>0.7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A 36399-2023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45149</v>
      </c>
      <c r="E334" s="1" t="n">
        <v>46298</v>
      </c>
      <c r="F334" t="inlineStr">
        <is>
          <t>VÄRMLANDS LÄN</t>
        </is>
      </c>
      <c r="G334" t="inlineStr">
        <is>
          <t>KARLSTAD</t>
        </is>
      </c>
      <c r="I334" t="n">
        <v>4.2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A 57445-2022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44896</v>
      </c>
      <c r="E335" s="1" t="n">
        <v>46298</v>
      </c>
      <c r="F335" t="inlineStr">
        <is>
          <t>VÄRMLANDS LÄN</t>
        </is>
      </c>
      <c r="G335" t="inlineStr">
        <is>
          <t>KARLSTAD</t>
        </is>
      </c>
      <c r="I335" t="n">
        <v>3.2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A 45265-2023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45187</v>
      </c>
      <c r="E336" s="1" t="n">
        <v>46298</v>
      </c>
      <c r="F336" t="inlineStr">
        <is>
          <t>VÄRMLANDS LÄN</t>
        </is>
      </c>
      <c r="G336" t="inlineStr">
        <is>
          <t>KARLSTAD</t>
        </is>
      </c>
      <c r="I336" t="n">
        <v>0.4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A 42174-2025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45904</v>
      </c>
      <c r="E337" s="1" t="n">
        <v>46298</v>
      </c>
      <c r="F337" t="inlineStr">
        <is>
          <t>VÄRMLANDS LÄN</t>
        </is>
      </c>
      <c r="G337" t="inlineStr">
        <is>
          <t>KARLSTAD</t>
        </is>
      </c>
      <c r="I337" t="n">
        <v>2.2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A 37487-2025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45877</v>
      </c>
      <c r="E338" s="1" t="n">
        <v>46298</v>
      </c>
      <c r="F338" t="inlineStr">
        <is>
          <t>VÄRMLANDS LÄN</t>
        </is>
      </c>
      <c r="G338" t="inlineStr">
        <is>
          <t>KARLSTAD</t>
        </is>
      </c>
      <c r="I338" t="n">
        <v>6.1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A 8664-2026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46066</v>
      </c>
      <c r="E339" s="1" t="n">
        <v>46298</v>
      </c>
      <c r="F339" t="inlineStr">
        <is>
          <t>VÄRMLANDS LÄN</t>
        </is>
      </c>
      <c r="G339" t="inlineStr">
        <is>
          <t>KARLSTAD</t>
        </is>
      </c>
      <c r="I339" t="n">
        <v>1.5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 ht="15" customHeight="1">
      <c r="A340" t="inlineStr">
        <is>
          <t>A 1675-2023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44938</v>
      </c>
      <c r="E340" s="1" t="n">
        <v>46298</v>
      </c>
      <c r="F340" t="inlineStr">
        <is>
          <t>VÄRMLANDS LÄN</t>
        </is>
      </c>
      <c r="G340" t="inlineStr">
        <is>
          <t>KARLSTAD</t>
        </is>
      </c>
      <c r="I340" t="n">
        <v>2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  <row r="341" ht="15" customHeight="1">
      <c r="A341" t="inlineStr">
        <is>
          <t>A 12881-2026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46091</v>
      </c>
      <c r="E341" s="1" t="n">
        <v>46298</v>
      </c>
      <c r="F341" t="inlineStr">
        <is>
          <t>VÄRMLANDS LÄN</t>
        </is>
      </c>
      <c r="G341" t="inlineStr">
        <is>
          <t>KARLSTAD</t>
        </is>
      </c>
      <c r="I341" t="n">
        <v>3.4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s="2" t="inlineStr"/>
    </row>
    <row r="342" ht="15" customHeight="1">
      <c r="A342" t="inlineStr">
        <is>
          <t>A 6641-2025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45700</v>
      </c>
      <c r="E342" s="1" t="n">
        <v>46298</v>
      </c>
      <c r="F342" t="inlineStr">
        <is>
          <t>VÄRMLANDS LÄN</t>
        </is>
      </c>
      <c r="G342" t="inlineStr">
        <is>
          <t>KARLSTAD</t>
        </is>
      </c>
      <c r="I342" t="n">
        <v>6.9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s="2" t="inlineStr"/>
    </row>
    <row r="343" ht="15" customHeight="1">
      <c r="A343" t="inlineStr">
        <is>
          <t>A 55765-2024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45623</v>
      </c>
      <c r="E343" s="1" t="n">
        <v>46298</v>
      </c>
      <c r="F343" t="inlineStr">
        <is>
          <t>VÄRMLANDS LÄN</t>
        </is>
      </c>
      <c r="G343" t="inlineStr">
        <is>
          <t>KARLSTAD</t>
        </is>
      </c>
      <c r="I343" t="n">
        <v>8.699999999999999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s="2" t="inlineStr"/>
    </row>
    <row r="344" ht="15" customHeight="1">
      <c r="A344" t="inlineStr">
        <is>
          <t>A 9405-2025</t>
        </is>
      </c>
      <c r="B344" t="inlineStr">
        <is>
          <t>avverkningsanmälan</t>
        </is>
      </c>
      <c r="C344" t="inlineStr">
        <is>
          <t>Avverkning för annat ändamål</t>
        </is>
      </c>
      <c r="D344" s="1" t="n">
        <v>45715</v>
      </c>
      <c r="E344" s="1" t="n">
        <v>46298</v>
      </c>
      <c r="F344" t="inlineStr">
        <is>
          <t>VÄRMLANDS LÄN</t>
        </is>
      </c>
      <c r="G344" t="inlineStr">
        <is>
          <t>KARLSTAD</t>
        </is>
      </c>
      <c r="I344" t="n">
        <v>0.6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s="2" t="inlineStr"/>
    </row>
    <row r="345" ht="15" customHeight="1">
      <c r="A345" t="inlineStr">
        <is>
          <t>A 34726-2023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45141</v>
      </c>
      <c r="E345" s="1" t="n">
        <v>46298</v>
      </c>
      <c r="F345" t="inlineStr">
        <is>
          <t>VÄRMLANDS LÄN</t>
        </is>
      </c>
      <c r="G345" t="inlineStr">
        <is>
          <t>KARLSTAD</t>
        </is>
      </c>
      <c r="I345" t="n">
        <v>0.5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t="n">
        <v>0</v>
      </c>
      <c r="V345" s="2" t="inlineStr"/>
    </row>
    <row r="346" ht="15" customHeight="1">
      <c r="A346" t="inlineStr">
        <is>
          <t>A 34727-2023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45141</v>
      </c>
      <c r="E346" s="1" t="n">
        <v>46298</v>
      </c>
      <c r="F346" t="inlineStr">
        <is>
          <t>VÄRMLANDS LÄN</t>
        </is>
      </c>
      <c r="G346" t="inlineStr">
        <is>
          <t>KARLSTAD</t>
        </is>
      </c>
      <c r="I346" t="n">
        <v>1.5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t="n">
        <v>0</v>
      </c>
      <c r="V346" s="2" t="inlineStr"/>
    </row>
    <row r="347" ht="15" customHeight="1">
      <c r="A347" t="inlineStr">
        <is>
          <t>A 24104-2025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45796</v>
      </c>
      <c r="E347" s="1" t="n">
        <v>46298</v>
      </c>
      <c r="F347" t="inlineStr">
        <is>
          <t>VÄRMLANDS LÄN</t>
        </is>
      </c>
      <c r="G347" t="inlineStr">
        <is>
          <t>KARLSTAD</t>
        </is>
      </c>
      <c r="I347" t="n">
        <v>1.7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t="n">
        <v>0</v>
      </c>
      <c r="V347" s="2" t="inlineStr"/>
    </row>
    <row r="348" ht="15" customHeight="1">
      <c r="A348" t="inlineStr">
        <is>
          <t>A 4723-2025</t>
        </is>
      </c>
      <c r="B348" t="inlineStr">
        <is>
          <t>avverkningsanmälan</t>
        </is>
      </c>
      <c r="C348" t="inlineStr">
        <is>
          <t>Föryngringsavverkning</t>
        </is>
      </c>
      <c r="D348" s="1" t="n">
        <v>45688</v>
      </c>
      <c r="E348" s="1" t="n">
        <v>46298</v>
      </c>
      <c r="F348" t="inlineStr">
        <is>
          <t>VÄRMLANDS LÄN</t>
        </is>
      </c>
      <c r="G348" t="inlineStr">
        <is>
          <t>KARLSTAD</t>
        </is>
      </c>
      <c r="I348" t="n">
        <v>2.4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t="n">
        <v>0</v>
      </c>
      <c r="V348" s="2" t="inlineStr"/>
    </row>
    <row r="349" ht="15" customHeight="1">
      <c r="A349" t="inlineStr">
        <is>
          <t>A 29550-2023</t>
        </is>
      </c>
      <c r="B349" t="inlineStr">
        <is>
          <t>avverkningsanmälan</t>
        </is>
      </c>
      <c r="C349" t="inlineStr">
        <is>
          <t>Föryngringsavverkning</t>
        </is>
      </c>
      <c r="D349" s="1" t="n">
        <v>45098</v>
      </c>
      <c r="E349" s="1" t="n">
        <v>46298</v>
      </c>
      <c r="F349" t="inlineStr">
        <is>
          <t>VÄRMLANDS LÄN</t>
        </is>
      </c>
      <c r="G349" t="inlineStr">
        <is>
          <t>KARLSTAD</t>
        </is>
      </c>
      <c r="I349" t="n">
        <v>6.9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t="n">
        <v>0</v>
      </c>
      <c r="V349" s="2" t="inlineStr"/>
    </row>
    <row r="350" ht="15" customHeight="1">
      <c r="A350" t="inlineStr">
        <is>
          <t>A 33807-2024</t>
        </is>
      </c>
      <c r="B350" t="inlineStr">
        <is>
          <t>avverkningsanmälan</t>
        </is>
      </c>
      <c r="C350" t="inlineStr">
        <is>
          <t>Föryngringsavverkning</t>
        </is>
      </c>
      <c r="D350" s="1" t="n">
        <v>45520</v>
      </c>
      <c r="E350" s="1" t="n">
        <v>46298</v>
      </c>
      <c r="F350" t="inlineStr">
        <is>
          <t>VÄRMLANDS LÄN</t>
        </is>
      </c>
      <c r="G350" t="inlineStr">
        <is>
          <t>KARLSTAD</t>
        </is>
      </c>
      <c r="I350" t="n">
        <v>1.1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t="n">
        <v>0</v>
      </c>
      <c r="V350" s="2" t="inlineStr"/>
    </row>
    <row r="351" ht="15" customHeight="1">
      <c r="A351" t="inlineStr">
        <is>
          <t>A 33809-2024</t>
        </is>
      </c>
      <c r="B351" t="inlineStr">
        <is>
          <t>avverkningsanmälan</t>
        </is>
      </c>
      <c r="C351" t="inlineStr">
        <is>
          <t>Föryngringsavverkning</t>
        </is>
      </c>
      <c r="D351" s="1" t="n">
        <v>45520</v>
      </c>
      <c r="E351" s="1" t="n">
        <v>46298</v>
      </c>
      <c r="F351" t="inlineStr">
        <is>
          <t>VÄRMLANDS LÄN</t>
        </is>
      </c>
      <c r="G351" t="inlineStr">
        <is>
          <t>KARLSTAD</t>
        </is>
      </c>
      <c r="I351" t="n">
        <v>1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t="n">
        <v>0</v>
      </c>
      <c r="V351" s="2" t="inlineStr"/>
    </row>
    <row r="352" ht="15" customHeight="1">
      <c r="A352" t="inlineStr">
        <is>
          <t>A 61009-2023</t>
        </is>
      </c>
      <c r="B352" t="inlineStr">
        <is>
          <t>avverkningsanmälan</t>
        </is>
      </c>
      <c r="C352" t="inlineStr">
        <is>
          <t>Föryngringsavverkning</t>
        </is>
      </c>
      <c r="D352" s="1" t="n">
        <v>45261</v>
      </c>
      <c r="E352" s="1" t="n">
        <v>46298</v>
      </c>
      <c r="F352" t="inlineStr">
        <is>
          <t>VÄRMLANDS LÄN</t>
        </is>
      </c>
      <c r="G352" t="inlineStr">
        <is>
          <t>KARLSTAD</t>
        </is>
      </c>
      <c r="I352" t="n">
        <v>0.5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t="n">
        <v>0</v>
      </c>
      <c r="V352" s="2" t="inlineStr"/>
    </row>
    <row r="353" ht="15" customHeight="1">
      <c r="A353" t="inlineStr">
        <is>
          <t>A 12214-2025</t>
        </is>
      </c>
      <c r="B353" t="inlineStr">
        <is>
          <t>avverkningsanmälan</t>
        </is>
      </c>
      <c r="C353" t="inlineStr">
        <is>
          <t>Föryngringsavverkning</t>
        </is>
      </c>
      <c r="D353" s="1" t="n">
        <v>45729</v>
      </c>
      <c r="E353" s="1" t="n">
        <v>46298</v>
      </c>
      <c r="F353" t="inlineStr">
        <is>
          <t>VÄRMLANDS LÄN</t>
        </is>
      </c>
      <c r="G353" t="inlineStr">
        <is>
          <t>KARLSTAD</t>
        </is>
      </c>
      <c r="I353" t="n">
        <v>6.6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t="n">
        <v>0</v>
      </c>
      <c r="V353" s="2" t="inlineStr"/>
    </row>
    <row r="354" ht="15" customHeight="1">
      <c r="A354" t="inlineStr">
        <is>
          <t>A 13063-2025</t>
        </is>
      </c>
      <c r="B354" t="inlineStr">
        <is>
          <t>avverkningsanmälan</t>
        </is>
      </c>
      <c r="C354" t="inlineStr">
        <is>
          <t>Föryngringsavverkning</t>
        </is>
      </c>
      <c r="D354" s="1" t="n">
        <v>45734</v>
      </c>
      <c r="E354" s="1" t="n">
        <v>46298</v>
      </c>
      <c r="F354" t="inlineStr">
        <is>
          <t>VÄRMLANDS LÄN</t>
        </is>
      </c>
      <c r="G354" t="inlineStr">
        <is>
          <t>KARLSTAD</t>
        </is>
      </c>
      <c r="I354" t="n">
        <v>1.2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t="n">
        <v>0</v>
      </c>
      <c r="V354" s="2" t="inlineStr"/>
    </row>
    <row r="355" ht="15" customHeight="1">
      <c r="A355" t="inlineStr">
        <is>
          <t>A 28201-2023</t>
        </is>
      </c>
      <c r="B355" t="inlineStr">
        <is>
          <t>avverkningsanmälan</t>
        </is>
      </c>
      <c r="C355" t="inlineStr">
        <is>
          <t>Föryngringsavverkning</t>
        </is>
      </c>
      <c r="D355" s="1" t="n">
        <v>45099</v>
      </c>
      <c r="E355" s="1" t="n">
        <v>46298</v>
      </c>
      <c r="F355" t="inlineStr">
        <is>
          <t>VÄRMLANDS LÄN</t>
        </is>
      </c>
      <c r="G355" t="inlineStr">
        <is>
          <t>KARLSTAD</t>
        </is>
      </c>
      <c r="I355" t="n">
        <v>2.7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t="n">
        <v>0</v>
      </c>
      <c r="V355" s="2" t="inlineStr"/>
    </row>
    <row r="356" ht="15" customHeight="1">
      <c r="A356" t="inlineStr">
        <is>
          <t>A 7840-2023</t>
        </is>
      </c>
      <c r="B356" t="inlineStr">
        <is>
          <t>avverkningsanmälan</t>
        </is>
      </c>
      <c r="C356" t="inlineStr">
        <is>
          <t>Föryngringsavverkning</t>
        </is>
      </c>
      <c r="D356" s="1" t="n">
        <v>44973</v>
      </c>
      <c r="E356" s="1" t="n">
        <v>46298</v>
      </c>
      <c r="F356" t="inlineStr">
        <is>
          <t>VÄRMLANDS LÄN</t>
        </is>
      </c>
      <c r="G356" t="inlineStr">
        <is>
          <t>KARLSTAD</t>
        </is>
      </c>
      <c r="I356" t="n">
        <v>2.4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t="n">
        <v>0</v>
      </c>
      <c r="V356" s="2" t="inlineStr"/>
    </row>
    <row r="357" ht="15" customHeight="1">
      <c r="A357" t="inlineStr">
        <is>
          <t>A 15733-2023</t>
        </is>
      </c>
      <c r="B357" t="inlineStr">
        <is>
          <t>avverkningsanmälan</t>
        </is>
      </c>
      <c r="C357" t="inlineStr">
        <is>
          <t>Föryngringsavverkning</t>
        </is>
      </c>
      <c r="D357" s="1" t="n">
        <v>45020</v>
      </c>
      <c r="E357" s="1" t="n">
        <v>46298</v>
      </c>
      <c r="F357" t="inlineStr">
        <is>
          <t>VÄRMLANDS LÄN</t>
        </is>
      </c>
      <c r="G357" t="inlineStr">
        <is>
          <t>KARLSTAD</t>
        </is>
      </c>
      <c r="I357" t="n">
        <v>1.8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t="n">
        <v>0</v>
      </c>
      <c r="V357" s="2" t="inlineStr"/>
    </row>
    <row r="358" ht="15" customHeight="1">
      <c r="A358" t="inlineStr">
        <is>
          <t>A 20855-2026</t>
        </is>
      </c>
      <c r="B358" t="inlineStr">
        <is>
          <t>avverkningsanmälan</t>
        </is>
      </c>
      <c r="C358" t="inlineStr">
        <is>
          <t>Föryngringsavverkning</t>
        </is>
      </c>
      <c r="D358" s="1" t="n">
        <v>46142</v>
      </c>
      <c r="E358" s="1" t="n">
        <v>46298</v>
      </c>
      <c r="F358" t="inlineStr">
        <is>
          <t>VÄRMLANDS LÄN</t>
        </is>
      </c>
      <c r="G358" t="inlineStr">
        <is>
          <t>KARLSTAD</t>
        </is>
      </c>
      <c r="I358" t="n">
        <v>2.1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t="n">
        <v>0</v>
      </c>
      <c r="V358" s="2" t="inlineStr"/>
    </row>
    <row r="359" ht="15" customHeight="1">
      <c r="A359" t="inlineStr">
        <is>
          <t>A 51760-2023</t>
        </is>
      </c>
      <c r="B359" t="inlineStr">
        <is>
          <t>avverkningsanmälan</t>
        </is>
      </c>
      <c r="C359" t="inlineStr">
        <is>
          <t>Föryngringsavverkning</t>
        </is>
      </c>
      <c r="D359" s="1" t="n">
        <v>45222</v>
      </c>
      <c r="E359" s="1" t="n">
        <v>46298</v>
      </c>
      <c r="F359" t="inlineStr">
        <is>
          <t>VÄRMLANDS LÄN</t>
        </is>
      </c>
      <c r="G359" t="inlineStr">
        <is>
          <t>KARLSTAD</t>
        </is>
      </c>
      <c r="I359" t="n">
        <v>0.6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t="n">
        <v>0</v>
      </c>
      <c r="V359" s="2" t="inlineStr"/>
    </row>
    <row r="360" ht="15" customHeight="1">
      <c r="A360" t="inlineStr">
        <is>
          <t>A 21220-2026</t>
        </is>
      </c>
      <c r="B360" t="inlineStr">
        <is>
          <t>avverkningsanmälan</t>
        </is>
      </c>
      <c r="C360" t="inlineStr">
        <is>
          <t>Föryngringsavverkning</t>
        </is>
      </c>
      <c r="D360" s="1" t="n">
        <v>46146</v>
      </c>
      <c r="E360" s="1" t="n">
        <v>46298</v>
      </c>
      <c r="F360" t="inlineStr">
        <is>
          <t>VÄRMLANDS LÄN</t>
        </is>
      </c>
      <c r="G360" t="inlineStr">
        <is>
          <t>KARLSTAD</t>
        </is>
      </c>
      <c r="I360" t="n">
        <v>0.9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t="n">
        <v>0</v>
      </c>
      <c r="V360" s="2" t="inlineStr"/>
    </row>
    <row r="361" ht="15" customHeight="1">
      <c r="A361" t="inlineStr">
        <is>
          <t>A 21217-2026</t>
        </is>
      </c>
      <c r="B361" t="inlineStr">
        <is>
          <t>avverkningsanmälan</t>
        </is>
      </c>
      <c r="C361" t="inlineStr">
        <is>
          <t>Föryngringsavverkning</t>
        </is>
      </c>
      <c r="D361" s="1" t="n">
        <v>46146</v>
      </c>
      <c r="E361" s="1" t="n">
        <v>46298</v>
      </c>
      <c r="F361" t="inlineStr">
        <is>
          <t>VÄRMLANDS LÄN</t>
        </is>
      </c>
      <c r="G361" t="inlineStr">
        <is>
          <t>KARLSTAD</t>
        </is>
      </c>
      <c r="I361" t="n">
        <v>1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t="n">
        <v>0</v>
      </c>
      <c r="V361" s="2" t="inlineStr"/>
    </row>
    <row r="362" ht="15" customHeight="1">
      <c r="A362" t="inlineStr">
        <is>
          <t>A 15128-2026</t>
        </is>
      </c>
      <c r="B362" t="inlineStr">
        <is>
          <t>avverkningsanmälan</t>
        </is>
      </c>
      <c r="C362" t="inlineStr">
        <is>
          <t>Föryngringsavverkning</t>
        </is>
      </c>
      <c r="D362" s="1" t="n">
        <v>46105</v>
      </c>
      <c r="E362" s="1" t="n">
        <v>46298</v>
      </c>
      <c r="F362" t="inlineStr">
        <is>
          <t>VÄRMLANDS LÄN</t>
        </is>
      </c>
      <c r="G362" t="inlineStr">
        <is>
          <t>KARLSTAD</t>
        </is>
      </c>
      <c r="I362" t="n">
        <v>3.5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t="n">
        <v>0</v>
      </c>
      <c r="V362" s="2" t="inlineStr"/>
    </row>
    <row r="363" ht="15" customHeight="1">
      <c r="A363" t="inlineStr">
        <is>
          <t>A 29359-2023</t>
        </is>
      </c>
      <c r="B363" t="inlineStr">
        <is>
          <t>avverkningsanmälan</t>
        </is>
      </c>
      <c r="C363" t="inlineStr">
        <is>
          <t>Föryngringsavverkning</t>
        </is>
      </c>
      <c r="D363" s="1" t="n">
        <v>45106</v>
      </c>
      <c r="E363" s="1" t="n">
        <v>46298</v>
      </c>
      <c r="F363" t="inlineStr">
        <is>
          <t>VÄRMLANDS LÄN</t>
        </is>
      </c>
      <c r="G363" t="inlineStr">
        <is>
          <t>KARLSTAD</t>
        </is>
      </c>
      <c r="I363" t="n">
        <v>4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t="n">
        <v>0</v>
      </c>
      <c r="V363" s="2" t="inlineStr"/>
    </row>
    <row r="364" ht="15" customHeight="1">
      <c r="A364" t="inlineStr">
        <is>
          <t>A 18471-2022</t>
        </is>
      </c>
      <c r="B364" t="inlineStr">
        <is>
          <t>avverkningsanmälan</t>
        </is>
      </c>
      <c r="C364" t="inlineStr">
        <is>
          <t>Föryngringsavverkning</t>
        </is>
      </c>
      <c r="D364" s="1" t="n">
        <v>44686</v>
      </c>
      <c r="E364" s="1" t="n">
        <v>46298</v>
      </c>
      <c r="F364" t="inlineStr">
        <is>
          <t>VÄRMLANDS LÄN</t>
        </is>
      </c>
      <c r="G364" t="inlineStr">
        <is>
          <t>KARLSTAD</t>
        </is>
      </c>
      <c r="I364" t="n">
        <v>2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t="n">
        <v>0</v>
      </c>
      <c r="V364" s="2" t="inlineStr"/>
    </row>
    <row r="365" ht="15" customHeight="1">
      <c r="A365" t="inlineStr">
        <is>
          <t>A 28530-2023</t>
        </is>
      </c>
      <c r="B365" t="inlineStr">
        <is>
          <t>avverkningsanmälan</t>
        </is>
      </c>
      <c r="C365" t="inlineStr">
        <is>
          <t>Föryngringsavverkning</t>
        </is>
      </c>
      <c r="D365" s="1" t="n">
        <v>45103</v>
      </c>
      <c r="E365" s="1" t="n">
        <v>46298</v>
      </c>
      <c r="F365" t="inlineStr">
        <is>
          <t>VÄRMLANDS LÄN</t>
        </is>
      </c>
      <c r="G365" t="inlineStr">
        <is>
          <t>KARLSTAD</t>
        </is>
      </c>
      <c r="I365" t="n">
        <v>3.3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t="n">
        <v>0</v>
      </c>
      <c r="V365" s="2" t="inlineStr"/>
    </row>
    <row r="366" ht="15" customHeight="1">
      <c r="A366" t="inlineStr">
        <is>
          <t>A 56869-2025</t>
        </is>
      </c>
      <c r="B366" t="inlineStr">
        <is>
          <t>avverkningsanmälan</t>
        </is>
      </c>
      <c r="C366" t="inlineStr">
        <is>
          <t>Föryngringsavverkning</t>
        </is>
      </c>
      <c r="D366" s="1" t="n">
        <v>45978</v>
      </c>
      <c r="E366" s="1" t="n">
        <v>46298</v>
      </c>
      <c r="F366" t="inlineStr">
        <is>
          <t>VÄRMLANDS LÄN</t>
        </is>
      </c>
      <c r="G366" t="inlineStr">
        <is>
          <t>KARLSTAD</t>
        </is>
      </c>
      <c r="I366" t="n">
        <v>6.5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t="n">
        <v>0</v>
      </c>
      <c r="V366" s="2" t="inlineStr"/>
    </row>
    <row r="367" ht="15" customHeight="1">
      <c r="A367" t="inlineStr">
        <is>
          <t>A 22258-2026</t>
        </is>
      </c>
      <c r="B367" t="inlineStr">
        <is>
          <t>avverkningsanmälan</t>
        </is>
      </c>
      <c r="C367" t="inlineStr">
        <is>
          <t>Föryngringsavverkning</t>
        </is>
      </c>
      <c r="D367" s="1" t="n">
        <v>46154</v>
      </c>
      <c r="E367" s="1" t="n">
        <v>46298</v>
      </c>
      <c r="F367" t="inlineStr">
        <is>
          <t>VÄRMLANDS LÄN</t>
        </is>
      </c>
      <c r="G367" t="inlineStr">
        <is>
          <t>KARLSTAD</t>
        </is>
      </c>
      <c r="I367" t="n">
        <v>3.8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t="n">
        <v>0</v>
      </c>
      <c r="V367" s="2" t="inlineStr"/>
    </row>
    <row r="368" ht="15" customHeight="1">
      <c r="A368" t="inlineStr">
        <is>
          <t>A 65086-2023</t>
        </is>
      </c>
      <c r="B368" t="inlineStr">
        <is>
          <t>avverkningsanmälan</t>
        </is>
      </c>
      <c r="C368" t="inlineStr">
        <is>
          <t>Föryngringsavverkning</t>
        </is>
      </c>
      <c r="D368" s="1" t="n">
        <v>45288</v>
      </c>
      <c r="E368" s="1" t="n">
        <v>46298</v>
      </c>
      <c r="F368" t="inlineStr">
        <is>
          <t>VÄRMLANDS LÄN</t>
        </is>
      </c>
      <c r="G368" t="inlineStr">
        <is>
          <t>KARLSTAD</t>
        </is>
      </c>
      <c r="I368" t="n">
        <v>2.2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t="n">
        <v>0</v>
      </c>
      <c r="V368" s="2" t="inlineStr"/>
    </row>
    <row r="369" ht="15" customHeight="1">
      <c r="A369" t="inlineStr">
        <is>
          <t>A 22302-2026</t>
        </is>
      </c>
      <c r="B369" t="inlineStr">
        <is>
          <t>avverkningsanmälan</t>
        </is>
      </c>
      <c r="C369" t="inlineStr">
        <is>
          <t>Föryngringsavverkning</t>
        </is>
      </c>
      <c r="D369" s="1" t="n">
        <v>46154</v>
      </c>
      <c r="E369" s="1" t="n">
        <v>46298</v>
      </c>
      <c r="F369" t="inlineStr">
        <is>
          <t>VÄRMLANDS LÄN</t>
        </is>
      </c>
      <c r="G369" t="inlineStr">
        <is>
          <t>KARLSTAD</t>
        </is>
      </c>
      <c r="I369" t="n">
        <v>0.5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t="n">
        <v>0</v>
      </c>
      <c r="V369" s="2" t="inlineStr"/>
    </row>
    <row r="370" ht="15" customHeight="1">
      <c r="A370" t="inlineStr">
        <is>
          <t>A 59890-2024</t>
        </is>
      </c>
      <c r="B370" t="inlineStr">
        <is>
          <t>avverkningsanmälan</t>
        </is>
      </c>
      <c r="C370" t="inlineStr">
        <is>
          <t>Föryngringsavverkning</t>
        </is>
      </c>
      <c r="D370" s="1" t="n">
        <v>45641</v>
      </c>
      <c r="E370" s="1" t="n">
        <v>46298</v>
      </c>
      <c r="F370" t="inlineStr">
        <is>
          <t>VÄRMLANDS LÄN</t>
        </is>
      </c>
      <c r="G370" t="inlineStr">
        <is>
          <t>KARLSTAD</t>
        </is>
      </c>
      <c r="I370" t="n">
        <v>0.7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t="n">
        <v>0</v>
      </c>
      <c r="V370" s="2" t="inlineStr"/>
    </row>
    <row r="371" ht="15" customHeight="1">
      <c r="A371" t="inlineStr">
        <is>
          <t>A 70127-2021</t>
        </is>
      </c>
      <c r="B371" t="inlineStr">
        <is>
          <t>avverkningsanmälan</t>
        </is>
      </c>
      <c r="C371" t="inlineStr">
        <is>
          <t>Föryngringsavverkning</t>
        </is>
      </c>
      <c r="D371" s="1" t="n">
        <v>44533</v>
      </c>
      <c r="E371" s="1" t="n">
        <v>46298</v>
      </c>
      <c r="F371" t="inlineStr">
        <is>
          <t>VÄRMLANDS LÄN</t>
        </is>
      </c>
      <c r="G371" t="inlineStr">
        <is>
          <t>KARLSTAD</t>
        </is>
      </c>
      <c r="I371" t="n">
        <v>0.9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t="n">
        <v>0</v>
      </c>
      <c r="V371" s="2" t="inlineStr"/>
    </row>
    <row r="372" ht="15" customHeight="1">
      <c r="A372" t="inlineStr">
        <is>
          <t>A 3550-2024</t>
        </is>
      </c>
      <c r="B372" t="inlineStr">
        <is>
          <t>avverkningsanmälan</t>
        </is>
      </c>
      <c r="C372" t="inlineStr">
        <is>
          <t>Föryngringsavverkning</t>
        </is>
      </c>
      <c r="D372" s="1" t="n">
        <v>45320</v>
      </c>
      <c r="E372" s="1" t="n">
        <v>46298</v>
      </c>
      <c r="F372" t="inlineStr">
        <is>
          <t>VÄRMLANDS LÄN</t>
        </is>
      </c>
      <c r="G372" t="inlineStr">
        <is>
          <t>KARLSTAD</t>
        </is>
      </c>
      <c r="I372" t="n">
        <v>1.3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t="n">
        <v>0</v>
      </c>
      <c r="V372" s="2" t="inlineStr"/>
    </row>
    <row r="373" ht="15" customHeight="1">
      <c r="A373" t="inlineStr">
        <is>
          <t>A 35879-2023</t>
        </is>
      </c>
      <c r="B373" t="inlineStr">
        <is>
          <t>avverkningsanmälan</t>
        </is>
      </c>
      <c r="C373" t="inlineStr">
        <is>
          <t>Föryngringsavverkning</t>
        </is>
      </c>
      <c r="D373" s="1" t="n">
        <v>45148</v>
      </c>
      <c r="E373" s="1" t="n">
        <v>46298</v>
      </c>
      <c r="F373" t="inlineStr">
        <is>
          <t>VÄRMLANDS LÄN</t>
        </is>
      </c>
      <c r="G373" t="inlineStr">
        <is>
          <t>KARLSTAD</t>
        </is>
      </c>
      <c r="I373" t="n">
        <v>2.4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t="n">
        <v>0</v>
      </c>
      <c r="V373" s="2" t="inlineStr"/>
    </row>
    <row r="374" ht="15" customHeight="1">
      <c r="A374" t="inlineStr">
        <is>
          <t>A 22242-2025</t>
        </is>
      </c>
      <c r="B374" t="inlineStr">
        <is>
          <t>avverkningsanmälan</t>
        </is>
      </c>
      <c r="C374" t="inlineStr">
        <is>
          <t>Föryngringsavverkning</t>
        </is>
      </c>
      <c r="D374" s="1" t="n">
        <v>45785</v>
      </c>
      <c r="E374" s="1" t="n">
        <v>46298</v>
      </c>
      <c r="F374" t="inlineStr">
        <is>
          <t>VÄRMLANDS LÄN</t>
        </is>
      </c>
      <c r="G374" t="inlineStr">
        <is>
          <t>KARLSTAD</t>
        </is>
      </c>
      <c r="I374" t="n">
        <v>0.9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t="n">
        <v>0</v>
      </c>
      <c r="V374" s="2" t="inlineStr"/>
    </row>
    <row r="375" ht="15" customHeight="1">
      <c r="A375" t="inlineStr">
        <is>
          <t>A 16154-2022</t>
        </is>
      </c>
      <c r="B375" t="inlineStr">
        <is>
          <t>avverkningsanmälan</t>
        </is>
      </c>
      <c r="C375" t="inlineStr">
        <is>
          <t>Föryngringsavverkning</t>
        </is>
      </c>
      <c r="D375" s="1" t="n">
        <v>44666</v>
      </c>
      <c r="E375" s="1" t="n">
        <v>46298</v>
      </c>
      <c r="F375" t="inlineStr">
        <is>
          <t>VÄRMLANDS LÄN</t>
        </is>
      </c>
      <c r="G375" t="inlineStr">
        <is>
          <t>KARLSTAD</t>
        </is>
      </c>
      <c r="I375" t="n">
        <v>3.1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t="n">
        <v>0</v>
      </c>
      <c r="S375" t="n">
        <v>0</v>
      </c>
      <c r="T375" t="n">
        <v>0</v>
      </c>
      <c r="U375" t="n">
        <v>0</v>
      </c>
      <c r="V375" s="2" t="inlineStr"/>
    </row>
    <row r="376" ht="15" customHeight="1">
      <c r="A376" t="inlineStr">
        <is>
          <t>A 53654-2024</t>
        </is>
      </c>
      <c r="B376" t="inlineStr">
        <is>
          <t>avverkningsanmälan</t>
        </is>
      </c>
      <c r="C376" t="inlineStr">
        <is>
          <t>Föryngringsavverkning</t>
        </is>
      </c>
      <c r="D376" s="1" t="n">
        <v>45615</v>
      </c>
      <c r="E376" s="1" t="n">
        <v>46298</v>
      </c>
      <c r="F376" t="inlineStr">
        <is>
          <t>VÄRMLANDS LÄN</t>
        </is>
      </c>
      <c r="G376" t="inlineStr">
        <is>
          <t>KARLSTAD</t>
        </is>
      </c>
      <c r="I376" t="n">
        <v>1.5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t="n">
        <v>0</v>
      </c>
      <c r="S376" t="n">
        <v>0</v>
      </c>
      <c r="T376" t="n">
        <v>0</v>
      </c>
      <c r="U376" t="n">
        <v>0</v>
      </c>
      <c r="V376" s="2" t="inlineStr"/>
    </row>
    <row r="377" ht="15" customHeight="1">
      <c r="A377" t="inlineStr">
        <is>
          <t>A 41510-2023</t>
        </is>
      </c>
      <c r="B377" t="inlineStr">
        <is>
          <t>avverkningsanmälan</t>
        </is>
      </c>
      <c r="C377" t="inlineStr">
        <is>
          <t>Föryngringsavverkning</t>
        </is>
      </c>
      <c r="D377" s="1" t="n">
        <v>45175</v>
      </c>
      <c r="E377" s="1" t="n">
        <v>46298</v>
      </c>
      <c r="F377" t="inlineStr">
        <is>
          <t>VÄRMLANDS LÄN</t>
        </is>
      </c>
      <c r="G377" t="inlineStr">
        <is>
          <t>KARLSTAD</t>
        </is>
      </c>
      <c r="I377" t="n">
        <v>0.5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t="n">
        <v>0</v>
      </c>
      <c r="S377" t="n">
        <v>0</v>
      </c>
      <c r="T377" t="n">
        <v>0</v>
      </c>
      <c r="U377" t="n">
        <v>0</v>
      </c>
      <c r="V377" s="2" t="inlineStr"/>
    </row>
    <row r="378" ht="15" customHeight="1">
      <c r="A378" t="inlineStr">
        <is>
          <t>A 12613-2024</t>
        </is>
      </c>
      <c r="B378" t="inlineStr">
        <is>
          <t>avverkningsanmälan</t>
        </is>
      </c>
      <c r="C378" t="inlineStr">
        <is>
          <t>Föryngringsavverkning</t>
        </is>
      </c>
      <c r="D378" s="1" t="n">
        <v>45382</v>
      </c>
      <c r="E378" s="1" t="n">
        <v>46298</v>
      </c>
      <c r="F378" t="inlineStr">
        <is>
          <t>VÄRMLANDS LÄN</t>
        </is>
      </c>
      <c r="G378" t="inlineStr">
        <is>
          <t>KARLSTAD</t>
        </is>
      </c>
      <c r="I378" t="n">
        <v>5.1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t="n">
        <v>0</v>
      </c>
      <c r="S378" t="n">
        <v>0</v>
      </c>
      <c r="T378" t="n">
        <v>0</v>
      </c>
      <c r="U378" t="n">
        <v>0</v>
      </c>
      <c r="V378" s="2" t="inlineStr"/>
    </row>
    <row r="379" ht="15" customHeight="1">
      <c r="A379" t="inlineStr">
        <is>
          <t>A 48777-2025</t>
        </is>
      </c>
      <c r="B379" t="inlineStr">
        <is>
          <t>avverkningsanmälan</t>
        </is>
      </c>
      <c r="C379" t="inlineStr">
        <is>
          <t>Föryngringsavverkning</t>
        </is>
      </c>
      <c r="D379" s="1" t="n">
        <v>45937</v>
      </c>
      <c r="E379" s="1" t="n">
        <v>46298</v>
      </c>
      <c r="F379" t="inlineStr">
        <is>
          <t>VÄRMLANDS LÄN</t>
        </is>
      </c>
      <c r="G379" t="inlineStr">
        <is>
          <t>KARLSTAD</t>
        </is>
      </c>
      <c r="I379" t="n">
        <v>1.9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t="n">
        <v>0</v>
      </c>
      <c r="S379" t="n">
        <v>0</v>
      </c>
      <c r="T379" t="n">
        <v>0</v>
      </c>
      <c r="U379" t="n">
        <v>0</v>
      </c>
      <c r="V379" s="2" t="inlineStr"/>
    </row>
    <row r="380" ht="15" customHeight="1">
      <c r="A380" t="inlineStr">
        <is>
          <t>A 21094-2023</t>
        </is>
      </c>
      <c r="B380" t="inlineStr">
        <is>
          <t>avverkningsanmälan</t>
        </is>
      </c>
      <c r="C380" t="inlineStr">
        <is>
          <t>Föryngringsavverkning</t>
        </is>
      </c>
      <c r="D380" s="1" t="n">
        <v>45061</v>
      </c>
      <c r="E380" s="1" t="n">
        <v>46298</v>
      </c>
      <c r="F380" t="inlineStr">
        <is>
          <t>VÄRMLANDS LÄN</t>
        </is>
      </c>
      <c r="G380" t="inlineStr">
        <is>
          <t>KARLSTAD</t>
        </is>
      </c>
      <c r="I380" t="n">
        <v>2.9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t="n">
        <v>0</v>
      </c>
      <c r="S380" t="n">
        <v>0</v>
      </c>
      <c r="T380" t="n">
        <v>0</v>
      </c>
      <c r="U380" t="n">
        <v>0</v>
      </c>
      <c r="V380" s="2" t="inlineStr"/>
    </row>
    <row r="381" ht="15" customHeight="1">
      <c r="A381" t="inlineStr">
        <is>
          <t>A 72772-2021</t>
        </is>
      </c>
      <c r="B381" t="inlineStr">
        <is>
          <t>avverkningsanmälan</t>
        </is>
      </c>
      <c r="C381" t="inlineStr">
        <is>
          <t>Föryngringsavverkning</t>
        </is>
      </c>
      <c r="D381" s="1" t="n">
        <v>44547</v>
      </c>
      <c r="E381" s="1" t="n">
        <v>46298</v>
      </c>
      <c r="F381" t="inlineStr">
        <is>
          <t>VÄRMLANDS LÄN</t>
        </is>
      </c>
      <c r="G381" t="inlineStr">
        <is>
          <t>KARLSTAD</t>
        </is>
      </c>
      <c r="I381" t="n">
        <v>2.5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t="n">
        <v>0</v>
      </c>
      <c r="S381" t="n">
        <v>0</v>
      </c>
      <c r="T381" t="n">
        <v>0</v>
      </c>
      <c r="U381" t="n">
        <v>0</v>
      </c>
      <c r="V381" s="2" t="inlineStr"/>
    </row>
    <row r="382" ht="15" customHeight="1">
      <c r="A382" t="inlineStr">
        <is>
          <t>A 26515-2023</t>
        </is>
      </c>
      <c r="B382" t="inlineStr">
        <is>
          <t>avverkningsanmälan</t>
        </is>
      </c>
      <c r="C382" t="inlineStr">
        <is>
          <t>Föryngringsavverkning</t>
        </is>
      </c>
      <c r="D382" s="1" t="n">
        <v>45092</v>
      </c>
      <c r="E382" s="1" t="n">
        <v>46298</v>
      </c>
      <c r="F382" t="inlineStr">
        <is>
          <t>VÄRMLANDS LÄN</t>
        </is>
      </c>
      <c r="G382" t="inlineStr">
        <is>
          <t>KARLSTAD</t>
        </is>
      </c>
      <c r="I382" t="n">
        <v>6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t="n">
        <v>0</v>
      </c>
      <c r="S382" t="n">
        <v>0</v>
      </c>
      <c r="T382" t="n">
        <v>0</v>
      </c>
      <c r="U382" t="n">
        <v>0</v>
      </c>
      <c r="V382" s="2" t="inlineStr"/>
    </row>
    <row r="383" ht="15" customHeight="1">
      <c r="A383" t="inlineStr">
        <is>
          <t>A 35867-2025</t>
        </is>
      </c>
      <c r="B383" t="inlineStr">
        <is>
          <t>avverkningsanmälan</t>
        </is>
      </c>
      <c r="C383" t="inlineStr">
        <is>
          <t>Föryngringsavverkning</t>
        </is>
      </c>
      <c r="D383" s="1" t="n">
        <v>45861</v>
      </c>
      <c r="E383" s="1" t="n">
        <v>46298</v>
      </c>
      <c r="F383" t="inlineStr">
        <is>
          <t>VÄRMLANDS LÄN</t>
        </is>
      </c>
      <c r="G383" t="inlineStr">
        <is>
          <t>KARLSTAD</t>
        </is>
      </c>
      <c r="I383" t="n">
        <v>1.7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t="n">
        <v>0</v>
      </c>
      <c r="S383" t="n">
        <v>0</v>
      </c>
      <c r="T383" t="n">
        <v>0</v>
      </c>
      <c r="U383" t="n">
        <v>0</v>
      </c>
      <c r="V383" s="2" t="inlineStr"/>
    </row>
    <row r="384" ht="15" customHeight="1">
      <c r="A384" t="inlineStr">
        <is>
          <t>A 50236-2024</t>
        </is>
      </c>
      <c r="B384" t="inlineStr">
        <is>
          <t>avverkningsanmälan</t>
        </is>
      </c>
      <c r="C384" t="inlineStr">
        <is>
          <t>Avverkning för annat ändamål</t>
        </is>
      </c>
      <c r="D384" s="1" t="n">
        <v>45600</v>
      </c>
      <c r="E384" s="1" t="n">
        <v>46298</v>
      </c>
      <c r="F384" t="inlineStr">
        <is>
          <t>VÄRMLANDS LÄN</t>
        </is>
      </c>
      <c r="G384" t="inlineStr">
        <is>
          <t>KARLSTAD</t>
        </is>
      </c>
      <c r="I384" t="n">
        <v>5.3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t="n">
        <v>0</v>
      </c>
      <c r="S384" t="n">
        <v>0</v>
      </c>
      <c r="T384" t="n">
        <v>0</v>
      </c>
      <c r="U384" t="n">
        <v>0</v>
      </c>
      <c r="V384" s="2" t="inlineStr"/>
    </row>
    <row r="385" ht="15" customHeight="1">
      <c r="A385" t="inlineStr">
        <is>
          <t>A 72072-2021</t>
        </is>
      </c>
      <c r="B385" t="inlineStr">
        <is>
          <t>avverkningsanmälan</t>
        </is>
      </c>
      <c r="C385" t="inlineStr">
        <is>
          <t>Föryngringsavverkning</t>
        </is>
      </c>
      <c r="D385" s="1" t="n">
        <v>44544</v>
      </c>
      <c r="E385" s="1" t="n">
        <v>46298</v>
      </c>
      <c r="F385" t="inlineStr">
        <is>
          <t>VÄRMLANDS LÄN</t>
        </is>
      </c>
      <c r="G385" t="inlineStr">
        <is>
          <t>KARLSTAD</t>
        </is>
      </c>
      <c r="H385" t="inlineStr">
        <is>
          <t>Kommuner</t>
        </is>
      </c>
      <c r="I385" t="n">
        <v>3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t="n">
        <v>0</v>
      </c>
      <c r="S385" t="n">
        <v>0</v>
      </c>
      <c r="T385" t="n">
        <v>0</v>
      </c>
      <c r="U385" t="n">
        <v>0</v>
      </c>
      <c r="V385" s="2" t="inlineStr"/>
    </row>
    <row r="386" ht="15" customHeight="1">
      <c r="A386" t="inlineStr">
        <is>
          <t>A 17082-2025</t>
        </is>
      </c>
      <c r="B386" t="inlineStr">
        <is>
          <t>avverkningsanmälan</t>
        </is>
      </c>
      <c r="C386" t="inlineStr">
        <is>
          <t>Föryngringsavverkning</t>
        </is>
      </c>
      <c r="D386" s="1" t="n">
        <v>45755</v>
      </c>
      <c r="E386" s="1" t="n">
        <v>46298</v>
      </c>
      <c r="F386" t="inlineStr">
        <is>
          <t>VÄRMLANDS LÄN</t>
        </is>
      </c>
      <c r="G386" t="inlineStr">
        <is>
          <t>KARLSTAD</t>
        </is>
      </c>
      <c r="I386" t="n">
        <v>2.2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t="n">
        <v>0</v>
      </c>
      <c r="S386" t="n">
        <v>0</v>
      </c>
      <c r="T386" t="n">
        <v>0</v>
      </c>
      <c r="U386" t="n">
        <v>0</v>
      </c>
      <c r="V386" s="2" t="inlineStr"/>
    </row>
    <row r="387" ht="15" customHeight="1">
      <c r="A387" t="inlineStr">
        <is>
          <t>A 18169-2025</t>
        </is>
      </c>
      <c r="B387" t="inlineStr">
        <is>
          <t>avverkningsanmälan</t>
        </is>
      </c>
      <c r="C387" t="inlineStr">
        <is>
          <t>Föryngringsavverkning</t>
        </is>
      </c>
      <c r="D387" s="1" t="n">
        <v>45761</v>
      </c>
      <c r="E387" s="1" t="n">
        <v>46298</v>
      </c>
      <c r="F387" t="inlineStr">
        <is>
          <t>VÄRMLANDS LÄN</t>
        </is>
      </c>
      <c r="G387" t="inlineStr">
        <is>
          <t>KARLSTAD</t>
        </is>
      </c>
      <c r="I387" t="n">
        <v>2.3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t="n">
        <v>0</v>
      </c>
      <c r="S387" t="n">
        <v>0</v>
      </c>
      <c r="T387" t="n">
        <v>0</v>
      </c>
      <c r="U387" t="n">
        <v>0</v>
      </c>
      <c r="V387" s="2" t="inlineStr"/>
    </row>
    <row r="388" ht="15" customHeight="1">
      <c r="A388" t="inlineStr">
        <is>
          <t>A 11179-2022</t>
        </is>
      </c>
      <c r="B388" t="inlineStr">
        <is>
          <t>avverkningsanmälan</t>
        </is>
      </c>
      <c r="C388" t="inlineStr">
        <is>
          <t>Föryngringsavverkning</t>
        </is>
      </c>
      <c r="D388" s="1" t="n">
        <v>44629</v>
      </c>
      <c r="E388" s="1" t="n">
        <v>46298</v>
      </c>
      <c r="F388" t="inlineStr">
        <is>
          <t>VÄRMLANDS LÄN</t>
        </is>
      </c>
      <c r="G388" t="inlineStr">
        <is>
          <t>KARLSTAD</t>
        </is>
      </c>
      <c r="I388" t="n">
        <v>3.5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t="n">
        <v>0</v>
      </c>
      <c r="S388" t="n">
        <v>0</v>
      </c>
      <c r="T388" t="n">
        <v>0</v>
      </c>
      <c r="U388" t="n">
        <v>0</v>
      </c>
      <c r="V388" s="2" t="inlineStr"/>
    </row>
    <row r="389" ht="15" customHeight="1">
      <c r="A389" t="inlineStr">
        <is>
          <t>A 11370-2023</t>
        </is>
      </c>
      <c r="B389" t="inlineStr">
        <is>
          <t>avverkningsanmälan</t>
        </is>
      </c>
      <c r="C389" t="inlineStr">
        <is>
          <t>Föryngringsavverkning</t>
        </is>
      </c>
      <c r="D389" s="1" t="n">
        <v>44985</v>
      </c>
      <c r="E389" s="1" t="n">
        <v>46298</v>
      </c>
      <c r="F389" t="inlineStr">
        <is>
          <t>VÄRMLANDS LÄN</t>
        </is>
      </c>
      <c r="G389" t="inlineStr">
        <is>
          <t>KARLSTAD</t>
        </is>
      </c>
      <c r="I389" t="n">
        <v>1.5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t="n">
        <v>0</v>
      </c>
      <c r="S389" t="n">
        <v>0</v>
      </c>
      <c r="T389" t="n">
        <v>0</v>
      </c>
      <c r="U389" t="n">
        <v>0</v>
      </c>
      <c r="V389" s="2" t="inlineStr"/>
    </row>
    <row r="390" ht="15" customHeight="1">
      <c r="A390" t="inlineStr">
        <is>
          <t>A 37724-2025</t>
        </is>
      </c>
      <c r="B390" t="inlineStr">
        <is>
          <t>avverkningsanmälan</t>
        </is>
      </c>
      <c r="C390" t="inlineStr">
        <is>
          <t>Föryngringsavverkning</t>
        </is>
      </c>
      <c r="D390" s="1" t="n">
        <v>45880</v>
      </c>
      <c r="E390" s="1" t="n">
        <v>46298</v>
      </c>
      <c r="F390" t="inlineStr">
        <is>
          <t>VÄRMLANDS LÄN</t>
        </is>
      </c>
      <c r="G390" t="inlineStr">
        <is>
          <t>KARLSTAD</t>
        </is>
      </c>
      <c r="I390" t="n">
        <v>0.5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t="n">
        <v>0</v>
      </c>
      <c r="S390" t="n">
        <v>0</v>
      </c>
      <c r="T390" t="n">
        <v>0</v>
      </c>
      <c r="U390" t="n">
        <v>0</v>
      </c>
      <c r="V390" s="2" t="inlineStr"/>
    </row>
    <row r="391" ht="15" customHeight="1">
      <c r="A391" t="inlineStr">
        <is>
          <t>A 37932-2025</t>
        </is>
      </c>
      <c r="B391" t="inlineStr">
        <is>
          <t>avverkningsanmälan</t>
        </is>
      </c>
      <c r="C391" t="inlineStr">
        <is>
          <t>Avverkning för att bevara och utveckla /försöksver</t>
        </is>
      </c>
      <c r="D391" s="1" t="n">
        <v>45881</v>
      </c>
      <c r="E391" s="1" t="n">
        <v>46298</v>
      </c>
      <c r="F391" t="inlineStr">
        <is>
          <t>VÄRMLANDS LÄN</t>
        </is>
      </c>
      <c r="G391" t="inlineStr">
        <is>
          <t>KARLSTAD</t>
        </is>
      </c>
      <c r="H391" t="inlineStr">
        <is>
          <t>Bergvik skog väst AB</t>
        </is>
      </c>
      <c r="I391" t="n">
        <v>1.6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t="n">
        <v>0</v>
      </c>
      <c r="S391" t="n">
        <v>0</v>
      </c>
      <c r="T391" t="n">
        <v>0</v>
      </c>
      <c r="U391" t="n">
        <v>0</v>
      </c>
      <c r="V391" s="2" t="inlineStr"/>
    </row>
    <row r="392" ht="15" customHeight="1">
      <c r="A392" t="inlineStr">
        <is>
          <t>A 37758-2025</t>
        </is>
      </c>
      <c r="B392" t="inlineStr">
        <is>
          <t>avverkningsanmälan</t>
        </is>
      </c>
      <c r="C392" t="inlineStr">
        <is>
          <t>Föryngringsavverkning</t>
        </is>
      </c>
      <c r="D392" s="1" t="n">
        <v>45880</v>
      </c>
      <c r="E392" s="1" t="n">
        <v>46298</v>
      </c>
      <c r="F392" t="inlineStr">
        <is>
          <t>VÄRMLANDS LÄN</t>
        </is>
      </c>
      <c r="G392" t="inlineStr">
        <is>
          <t>KARLSTAD</t>
        </is>
      </c>
      <c r="I392" t="n">
        <v>0.5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t="n">
        <v>0</v>
      </c>
      <c r="S392" t="n">
        <v>0</v>
      </c>
      <c r="T392" t="n">
        <v>0</v>
      </c>
      <c r="U392" t="n">
        <v>0</v>
      </c>
      <c r="V392" s="2" t="inlineStr"/>
    </row>
    <row r="393" ht="15" customHeight="1">
      <c r="A393" t="inlineStr">
        <is>
          <t>A 24592-2026</t>
        </is>
      </c>
      <c r="B393" t="inlineStr">
        <is>
          <t>avverkningsanmälan</t>
        </is>
      </c>
      <c r="C393" t="inlineStr">
        <is>
          <t>Föryngringsavverkning</t>
        </is>
      </c>
      <c r="D393" s="1" t="n">
        <v>46170</v>
      </c>
      <c r="E393" s="1" t="n">
        <v>46298</v>
      </c>
      <c r="F393" t="inlineStr">
        <is>
          <t>VÄRMLANDS LÄN</t>
        </is>
      </c>
      <c r="G393" t="inlineStr">
        <is>
          <t>KARLSTAD</t>
        </is>
      </c>
      <c r="I393" t="n">
        <v>5.2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t="n">
        <v>0</v>
      </c>
      <c r="S393" t="n">
        <v>0</v>
      </c>
      <c r="T393" t="n">
        <v>0</v>
      </c>
      <c r="U393" t="n">
        <v>0</v>
      </c>
      <c r="V393" s="2" t="inlineStr"/>
    </row>
    <row r="394" ht="15" customHeight="1">
      <c r="A394" t="inlineStr">
        <is>
          <t>A 24556-2026</t>
        </is>
      </c>
      <c r="B394" t="inlineStr">
        <is>
          <t>avverkningsanmälan</t>
        </is>
      </c>
      <c r="C394" t="inlineStr">
        <is>
          <t>Föryngringsavverkning</t>
        </is>
      </c>
      <c r="D394" s="1" t="n">
        <v>46170</v>
      </c>
      <c r="E394" s="1" t="n">
        <v>46298</v>
      </c>
      <c r="F394" t="inlineStr">
        <is>
          <t>VÄRMLANDS LÄN</t>
        </is>
      </c>
      <c r="G394" t="inlineStr">
        <is>
          <t>KARLSTAD</t>
        </is>
      </c>
      <c r="I394" t="n">
        <v>0.6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t="n">
        <v>0</v>
      </c>
      <c r="S394" t="n">
        <v>0</v>
      </c>
      <c r="T394" t="n">
        <v>0</v>
      </c>
      <c r="U394" t="n">
        <v>0</v>
      </c>
      <c r="V394" s="2" t="inlineStr"/>
    </row>
    <row r="395" ht="15" customHeight="1">
      <c r="A395" t="inlineStr">
        <is>
          <t>A 30533-2023</t>
        </is>
      </c>
      <c r="B395" t="inlineStr">
        <is>
          <t>avverkningsanmälan</t>
        </is>
      </c>
      <c r="C395" t="inlineStr">
        <is>
          <t>Föryngringsavverkning</t>
        </is>
      </c>
      <c r="D395" s="1" t="n">
        <v>45111</v>
      </c>
      <c r="E395" s="1" t="n">
        <v>46298</v>
      </c>
      <c r="F395" t="inlineStr">
        <is>
          <t>VÄRMLANDS LÄN</t>
        </is>
      </c>
      <c r="G395" t="inlineStr">
        <is>
          <t>KARLSTAD</t>
        </is>
      </c>
      <c r="I395" t="n">
        <v>1.3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t="n">
        <v>0</v>
      </c>
      <c r="S395" t="n">
        <v>0</v>
      </c>
      <c r="T395" t="n">
        <v>0</v>
      </c>
      <c r="U395" t="n">
        <v>0</v>
      </c>
      <c r="V395" s="2" t="inlineStr"/>
    </row>
    <row r="396" ht="15" customHeight="1">
      <c r="A396" t="inlineStr">
        <is>
          <t>A 60724-2022</t>
        </is>
      </c>
      <c r="B396" t="inlineStr">
        <is>
          <t>avverkningsanmälan</t>
        </is>
      </c>
      <c r="C396" t="inlineStr">
        <is>
          <t>Avverkning för annat ändamål</t>
        </is>
      </c>
      <c r="D396" s="1" t="n">
        <v>44913</v>
      </c>
      <c r="E396" s="1" t="n">
        <v>46298</v>
      </c>
      <c r="F396" t="inlineStr">
        <is>
          <t>VÄRMLANDS LÄN</t>
        </is>
      </c>
      <c r="G396" t="inlineStr">
        <is>
          <t>KARLSTAD</t>
        </is>
      </c>
      <c r="I396" t="n">
        <v>2.8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t="n">
        <v>0</v>
      </c>
      <c r="S396" t="n">
        <v>0</v>
      </c>
      <c r="T396" t="n">
        <v>0</v>
      </c>
      <c r="U396" t="n">
        <v>0</v>
      </c>
      <c r="V396" s="2" t="inlineStr"/>
    </row>
    <row r="397" ht="15" customHeight="1">
      <c r="A397" t="inlineStr">
        <is>
          <t>A 16560-2022</t>
        </is>
      </c>
      <c r="B397" t="inlineStr">
        <is>
          <t>avverkningsanmälan</t>
        </is>
      </c>
      <c r="C397" t="inlineStr">
        <is>
          <t>Föryngringsavverkning</t>
        </is>
      </c>
      <c r="D397" s="1" t="n">
        <v>44672</v>
      </c>
      <c r="E397" s="1" t="n">
        <v>46298</v>
      </c>
      <c r="F397" t="inlineStr">
        <is>
          <t>VÄRMLANDS LÄN</t>
        </is>
      </c>
      <c r="G397" t="inlineStr">
        <is>
          <t>KARLSTAD</t>
        </is>
      </c>
      <c r="I397" t="n">
        <v>7.7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t="n">
        <v>0</v>
      </c>
      <c r="S397" t="n">
        <v>0</v>
      </c>
      <c r="T397" t="n">
        <v>0</v>
      </c>
      <c r="U397" t="n">
        <v>0</v>
      </c>
      <c r="V397" s="2" t="inlineStr"/>
    </row>
    <row r="398" ht="15" customHeight="1">
      <c r="A398" t="inlineStr">
        <is>
          <t>A 50526-2023</t>
        </is>
      </c>
      <c r="B398" t="inlineStr">
        <is>
          <t>avverkningsanmälan</t>
        </is>
      </c>
      <c r="C398" t="inlineStr">
        <is>
          <t>Föryngringsavverkning</t>
        </is>
      </c>
      <c r="D398" s="1" t="n">
        <v>45217</v>
      </c>
      <c r="E398" s="1" t="n">
        <v>46298</v>
      </c>
      <c r="F398" t="inlineStr">
        <is>
          <t>VÄRMLANDS LÄN</t>
        </is>
      </c>
      <c r="G398" t="inlineStr">
        <is>
          <t>KARLSTAD</t>
        </is>
      </c>
      <c r="I398" t="n">
        <v>1.6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t="n">
        <v>0</v>
      </c>
      <c r="S398" t="n">
        <v>0</v>
      </c>
      <c r="T398" t="n">
        <v>0</v>
      </c>
      <c r="U398" t="n">
        <v>0</v>
      </c>
      <c r="V398" s="2" t="inlineStr"/>
    </row>
    <row r="399" ht="15" customHeight="1">
      <c r="A399" t="inlineStr">
        <is>
          <t>A 25068-2026</t>
        </is>
      </c>
      <c r="B399" t="inlineStr">
        <is>
          <t>avverkningsanmälan</t>
        </is>
      </c>
      <c r="C399" t="inlineStr">
        <is>
          <t>Föryngringsavverkning</t>
        </is>
      </c>
      <c r="D399" s="1" t="n">
        <v>46174</v>
      </c>
      <c r="E399" s="1" t="n">
        <v>46298</v>
      </c>
      <c r="F399" t="inlineStr">
        <is>
          <t>VÄRMLANDS LÄN</t>
        </is>
      </c>
      <c r="G399" t="inlineStr">
        <is>
          <t>KARLSTAD</t>
        </is>
      </c>
      <c r="I399" t="n">
        <v>5.4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t="n">
        <v>0</v>
      </c>
      <c r="S399" t="n">
        <v>0</v>
      </c>
      <c r="T399" t="n">
        <v>0</v>
      </c>
      <c r="U399" t="n">
        <v>0</v>
      </c>
      <c r="V399" s="2" t="inlineStr"/>
    </row>
    <row r="400" ht="15" customHeight="1">
      <c r="A400" t="inlineStr">
        <is>
          <t>A 1496-2022</t>
        </is>
      </c>
      <c r="B400" t="inlineStr">
        <is>
          <t>avverkningsanmälan</t>
        </is>
      </c>
      <c r="C400" t="inlineStr">
        <is>
          <t>Föryngringsavverkning</t>
        </is>
      </c>
      <c r="D400" s="1" t="n">
        <v>44573</v>
      </c>
      <c r="E400" s="1" t="n">
        <v>46298</v>
      </c>
      <c r="F400" t="inlineStr">
        <is>
          <t>VÄRMLANDS LÄN</t>
        </is>
      </c>
      <c r="G400" t="inlineStr">
        <is>
          <t>KARLSTAD</t>
        </is>
      </c>
      <c r="I400" t="n">
        <v>1.4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t="n">
        <v>0</v>
      </c>
      <c r="S400" t="n">
        <v>0</v>
      </c>
      <c r="T400" t="n">
        <v>0</v>
      </c>
      <c r="U400" t="n">
        <v>0</v>
      </c>
      <c r="V400" s="2" t="inlineStr"/>
    </row>
    <row r="401" ht="15" customHeight="1">
      <c r="A401" t="inlineStr">
        <is>
          <t>A 25109-2026</t>
        </is>
      </c>
      <c r="B401" t="inlineStr">
        <is>
          <t>avverkningsanmälan</t>
        </is>
      </c>
      <c r="C401" t="inlineStr">
        <is>
          <t>Föryngringsavverkning</t>
        </is>
      </c>
      <c r="D401" s="1" t="n">
        <v>46175</v>
      </c>
      <c r="E401" s="1" t="n">
        <v>46298</v>
      </c>
      <c r="F401" t="inlineStr">
        <is>
          <t>VÄRMLANDS LÄN</t>
        </is>
      </c>
      <c r="G401" t="inlineStr">
        <is>
          <t>KARLSTAD</t>
        </is>
      </c>
      <c r="I401" t="n">
        <v>1.5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t="n">
        <v>0</v>
      </c>
      <c r="S401" t="n">
        <v>0</v>
      </c>
      <c r="T401" t="n">
        <v>0</v>
      </c>
      <c r="U401" t="n">
        <v>0</v>
      </c>
      <c r="V401" s="2" t="inlineStr"/>
    </row>
    <row r="402" ht="15" customHeight="1">
      <c r="A402" t="inlineStr">
        <is>
          <t>A 25785-2026</t>
        </is>
      </c>
      <c r="B402" t="inlineStr">
        <is>
          <t>avverkningsanmälan</t>
        </is>
      </c>
      <c r="C402" t="inlineStr">
        <is>
          <t>Föryngringsavverkning</t>
        </is>
      </c>
      <c r="D402" s="1" t="n">
        <v>46178</v>
      </c>
      <c r="E402" s="1" t="n">
        <v>46298</v>
      </c>
      <c r="F402" t="inlineStr">
        <is>
          <t>VÄRMLANDS LÄN</t>
        </is>
      </c>
      <c r="G402" t="inlineStr">
        <is>
          <t>KARLSTAD</t>
        </is>
      </c>
      <c r="H402" t="inlineStr">
        <is>
          <t>Bergvik skog väst AB</t>
        </is>
      </c>
      <c r="I402" t="n">
        <v>6.7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t="n">
        <v>0</v>
      </c>
      <c r="S402" t="n">
        <v>0</v>
      </c>
      <c r="T402" t="n">
        <v>0</v>
      </c>
      <c r="U402" t="n">
        <v>0</v>
      </c>
      <c r="V402" s="2" t="inlineStr"/>
    </row>
    <row r="403" ht="15" customHeight="1">
      <c r="A403" t="inlineStr">
        <is>
          <t>A 25796-2026</t>
        </is>
      </c>
      <c r="B403" t="inlineStr">
        <is>
          <t>avverkningsanmälan</t>
        </is>
      </c>
      <c r="C403" t="inlineStr">
        <is>
          <t>Föryngringsavverkning</t>
        </is>
      </c>
      <c r="D403" s="1" t="n">
        <v>46178</v>
      </c>
      <c r="E403" s="1" t="n">
        <v>46298</v>
      </c>
      <c r="F403" t="inlineStr">
        <is>
          <t>VÄRMLANDS LÄN</t>
        </is>
      </c>
      <c r="G403" t="inlineStr">
        <is>
          <t>KARLSTAD</t>
        </is>
      </c>
      <c r="I403" t="n">
        <v>0.8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t="n">
        <v>0</v>
      </c>
      <c r="S403" t="n">
        <v>0</v>
      </c>
      <c r="T403" t="n">
        <v>0</v>
      </c>
      <c r="U403" t="n">
        <v>0</v>
      </c>
      <c r="V403" s="2" t="inlineStr"/>
    </row>
    <row r="404" ht="15" customHeight="1">
      <c r="A404" t="inlineStr">
        <is>
          <t>A 25945-2026</t>
        </is>
      </c>
      <c r="B404" t="inlineStr">
        <is>
          <t>avverkningsanmälan</t>
        </is>
      </c>
      <c r="C404" t="inlineStr">
        <is>
          <t>Föryngringsavverkning</t>
        </is>
      </c>
      <c r="D404" s="1" t="n">
        <v>46181</v>
      </c>
      <c r="E404" s="1" t="n">
        <v>46298</v>
      </c>
      <c r="F404" t="inlineStr">
        <is>
          <t>VÄRMLANDS LÄN</t>
        </is>
      </c>
      <c r="G404" t="inlineStr">
        <is>
          <t>KARLSTAD</t>
        </is>
      </c>
      <c r="I404" t="n">
        <v>4.4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t="n">
        <v>0</v>
      </c>
      <c r="S404" t="n">
        <v>0</v>
      </c>
      <c r="T404" t="n">
        <v>0</v>
      </c>
      <c r="U404" t="n">
        <v>0</v>
      </c>
      <c r="V404" s="2" t="inlineStr"/>
    </row>
    <row r="405" ht="15" customHeight="1">
      <c r="A405" t="inlineStr">
        <is>
          <t>A 26076-2026</t>
        </is>
      </c>
      <c r="B405" t="inlineStr">
        <is>
          <t>avverkningsanmälan</t>
        </is>
      </c>
      <c r="C405" t="inlineStr">
        <is>
          <t>Föryngringsavverkning</t>
        </is>
      </c>
      <c r="D405" s="1" t="n">
        <v>46181</v>
      </c>
      <c r="E405" s="1" t="n">
        <v>46298</v>
      </c>
      <c r="F405" t="inlineStr">
        <is>
          <t>VÄRMLANDS LÄN</t>
        </is>
      </c>
      <c r="G405" t="inlineStr">
        <is>
          <t>KARLSTAD</t>
        </is>
      </c>
      <c r="I405" t="n">
        <v>5.7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t="n">
        <v>0</v>
      </c>
      <c r="S405" t="n">
        <v>0</v>
      </c>
      <c r="T405" t="n">
        <v>0</v>
      </c>
      <c r="U405" t="n">
        <v>0</v>
      </c>
      <c r="V405" s="2" t="inlineStr"/>
    </row>
    <row r="406" ht="15" customHeight="1">
      <c r="A406" t="inlineStr">
        <is>
          <t>A 54292-2024</t>
        </is>
      </c>
      <c r="B406" t="inlineStr">
        <is>
          <t>avverkningsanmälan</t>
        </is>
      </c>
      <c r="C406" t="inlineStr">
        <is>
          <t>Föryngringsavverkning</t>
        </is>
      </c>
      <c r="D406" s="1" t="n">
        <v>45617</v>
      </c>
      <c r="E406" s="1" t="n">
        <v>46298</v>
      </c>
      <c r="F406" t="inlineStr">
        <is>
          <t>VÄRMLANDS LÄN</t>
        </is>
      </c>
      <c r="G406" t="inlineStr">
        <is>
          <t>KARLSTAD</t>
        </is>
      </c>
      <c r="I406" t="n">
        <v>0.7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t="n">
        <v>0</v>
      </c>
      <c r="S406" t="n">
        <v>0</v>
      </c>
      <c r="T406" t="n">
        <v>0</v>
      </c>
      <c r="U406" t="n">
        <v>0</v>
      </c>
      <c r="V406" s="2" t="inlineStr"/>
    </row>
    <row r="407" ht="15" customHeight="1">
      <c r="A407" t="inlineStr">
        <is>
          <t>A 26079-2026</t>
        </is>
      </c>
      <c r="B407" t="inlineStr">
        <is>
          <t>avverkningsanmälan</t>
        </is>
      </c>
      <c r="C407" t="inlineStr">
        <is>
          <t>Föryngringsavverkning</t>
        </is>
      </c>
      <c r="D407" s="1" t="n">
        <v>46181</v>
      </c>
      <c r="E407" s="1" t="n">
        <v>46298</v>
      </c>
      <c r="F407" t="inlineStr">
        <is>
          <t>VÄRMLANDS LÄN</t>
        </is>
      </c>
      <c r="G407" t="inlineStr">
        <is>
          <t>KARLSTAD</t>
        </is>
      </c>
      <c r="I407" t="n">
        <v>1.7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t="n">
        <v>0</v>
      </c>
      <c r="S407" t="n">
        <v>0</v>
      </c>
      <c r="T407" t="n">
        <v>0</v>
      </c>
      <c r="U407" t="n">
        <v>0</v>
      </c>
      <c r="V407" s="2" t="inlineStr"/>
    </row>
    <row r="408" ht="15" customHeight="1">
      <c r="A408" t="inlineStr">
        <is>
          <t>A 26078-2026</t>
        </is>
      </c>
      <c r="B408" t="inlineStr">
        <is>
          <t>avverkningsanmälan</t>
        </is>
      </c>
      <c r="C408" t="inlineStr">
        <is>
          <t>Föryngringsavverkning</t>
        </is>
      </c>
      <c r="D408" s="1" t="n">
        <v>46181</v>
      </c>
      <c r="E408" s="1" t="n">
        <v>46298</v>
      </c>
      <c r="F408" t="inlineStr">
        <is>
          <t>VÄRMLANDS LÄN</t>
        </is>
      </c>
      <c r="G408" t="inlineStr">
        <is>
          <t>KARLSTAD</t>
        </is>
      </c>
      <c r="I408" t="n">
        <v>2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t="n">
        <v>0</v>
      </c>
      <c r="S408" t="n">
        <v>0</v>
      </c>
      <c r="T408" t="n">
        <v>0</v>
      </c>
      <c r="U408" t="n">
        <v>0</v>
      </c>
      <c r="V408" s="2" t="inlineStr"/>
    </row>
    <row r="409" ht="15" customHeight="1">
      <c r="A409" t="inlineStr">
        <is>
          <t>A 12611-2024</t>
        </is>
      </c>
      <c r="B409" t="inlineStr">
        <is>
          <t>avverkningsanmälan</t>
        </is>
      </c>
      <c r="C409" t="inlineStr">
        <is>
          <t>Föryngringsavverkning</t>
        </is>
      </c>
      <c r="D409" s="1" t="n">
        <v>45382</v>
      </c>
      <c r="E409" s="1" t="n">
        <v>46298</v>
      </c>
      <c r="F409" t="inlineStr">
        <is>
          <t>VÄRMLANDS LÄN</t>
        </is>
      </c>
      <c r="G409" t="inlineStr">
        <is>
          <t>KARLSTAD</t>
        </is>
      </c>
      <c r="I409" t="n">
        <v>6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t="n">
        <v>0</v>
      </c>
      <c r="S409" t="n">
        <v>0</v>
      </c>
      <c r="T409" t="n">
        <v>0</v>
      </c>
      <c r="U409" t="n">
        <v>0</v>
      </c>
      <c r="V409" s="2" t="inlineStr"/>
    </row>
    <row r="410" ht="15" customHeight="1">
      <c r="A410" t="inlineStr">
        <is>
          <t>A 58653-2024</t>
        </is>
      </c>
      <c r="B410" t="inlineStr">
        <is>
          <t>avverkningsanmälan</t>
        </is>
      </c>
      <c r="C410" t="inlineStr">
        <is>
          <t>Föryngringsavverkning</t>
        </is>
      </c>
      <c r="D410" s="1" t="n">
        <v>45635</v>
      </c>
      <c r="E410" s="1" t="n">
        <v>46298</v>
      </c>
      <c r="F410" t="inlineStr">
        <is>
          <t>VÄRMLANDS LÄN</t>
        </is>
      </c>
      <c r="G410" t="inlineStr">
        <is>
          <t>KARLSTAD</t>
        </is>
      </c>
      <c r="I410" t="n">
        <v>18.5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t="n">
        <v>0</v>
      </c>
      <c r="S410" t="n">
        <v>0</v>
      </c>
      <c r="T410" t="n">
        <v>0</v>
      </c>
      <c r="U410" t="n">
        <v>0</v>
      </c>
      <c r="V410" s="2" t="inlineStr"/>
    </row>
    <row r="411" ht="15" customHeight="1">
      <c r="A411" t="inlineStr">
        <is>
          <t>A 10651-2025</t>
        </is>
      </c>
      <c r="B411" t="inlineStr">
        <is>
          <t>avverkningsanmälan</t>
        </is>
      </c>
      <c r="C411" t="inlineStr">
        <is>
          <t>Föryngringsavverkning</t>
        </is>
      </c>
      <c r="D411" s="1" t="n">
        <v>45721</v>
      </c>
      <c r="E411" s="1" t="n">
        <v>46298</v>
      </c>
      <c r="F411" t="inlineStr">
        <is>
          <t>VÄRMLANDS LÄN</t>
        </is>
      </c>
      <c r="G411" t="inlineStr">
        <is>
          <t>KARLSTAD</t>
        </is>
      </c>
      <c r="I411" t="n">
        <v>1.1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t="n">
        <v>0</v>
      </c>
      <c r="S411" t="n">
        <v>0</v>
      </c>
      <c r="T411" t="n">
        <v>0</v>
      </c>
      <c r="U411" t="n">
        <v>0</v>
      </c>
      <c r="V411" s="2" t="inlineStr"/>
    </row>
    <row r="412" ht="15" customHeight="1">
      <c r="A412" t="inlineStr">
        <is>
          <t>A 57587-2024</t>
        </is>
      </c>
      <c r="B412" t="inlineStr">
        <is>
          <t>avverkningsanmälan</t>
        </is>
      </c>
      <c r="C412" t="inlineStr">
        <is>
          <t>Föryngringsavverkning</t>
        </is>
      </c>
      <c r="D412" s="1" t="n">
        <v>45630</v>
      </c>
      <c r="E412" s="1" t="n">
        <v>46298</v>
      </c>
      <c r="F412" t="inlineStr">
        <is>
          <t>VÄRMLANDS LÄN</t>
        </is>
      </c>
      <c r="G412" t="inlineStr">
        <is>
          <t>KARLSTAD</t>
        </is>
      </c>
      <c r="I412" t="n">
        <v>2.6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t="n">
        <v>0</v>
      </c>
      <c r="S412" t="n">
        <v>0</v>
      </c>
      <c r="T412" t="n">
        <v>0</v>
      </c>
      <c r="U412" t="n">
        <v>0</v>
      </c>
      <c r="V412" s="2" t="inlineStr"/>
    </row>
    <row r="413" ht="15" customHeight="1">
      <c r="A413" t="inlineStr">
        <is>
          <t>A 27583-2026</t>
        </is>
      </c>
      <c r="B413" t="inlineStr">
        <is>
          <t>avverkningsanmälan</t>
        </is>
      </c>
      <c r="C413" t="inlineStr">
        <is>
          <t>Föryngringsavverkning</t>
        </is>
      </c>
      <c r="D413" s="1" t="n">
        <v>46190</v>
      </c>
      <c r="E413" s="1" t="n">
        <v>46298</v>
      </c>
      <c r="F413" t="inlineStr">
        <is>
          <t>VÄRMLANDS LÄN</t>
        </is>
      </c>
      <c r="G413" t="inlineStr">
        <is>
          <t>KARLSTAD</t>
        </is>
      </c>
      <c r="I413" t="n">
        <v>1.6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t="n">
        <v>0</v>
      </c>
      <c r="S413" t="n">
        <v>0</v>
      </c>
      <c r="T413" t="n">
        <v>0</v>
      </c>
      <c r="U413" t="n">
        <v>0</v>
      </c>
      <c r="V413" s="2" t="inlineStr"/>
    </row>
    <row r="414" ht="15" customHeight="1">
      <c r="A414" t="inlineStr">
        <is>
          <t>A 27576-2026</t>
        </is>
      </c>
      <c r="B414" t="inlineStr">
        <is>
          <t>avverkningsanmälan</t>
        </is>
      </c>
      <c r="C414" t="inlineStr">
        <is>
          <t>Föryngringsavverkning</t>
        </is>
      </c>
      <c r="D414" s="1" t="n">
        <v>46190</v>
      </c>
      <c r="E414" s="1" t="n">
        <v>46298</v>
      </c>
      <c r="F414" t="inlineStr">
        <is>
          <t>VÄRMLANDS LÄN</t>
        </is>
      </c>
      <c r="G414" t="inlineStr">
        <is>
          <t>KARLSTAD</t>
        </is>
      </c>
      <c r="I414" t="n">
        <v>2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t="n">
        <v>0</v>
      </c>
      <c r="S414" t="n">
        <v>0</v>
      </c>
      <c r="T414" t="n">
        <v>0</v>
      </c>
      <c r="U414" t="n">
        <v>0</v>
      </c>
      <c r="V414" s="2" t="inlineStr"/>
    </row>
    <row r="415" ht="15" customHeight="1">
      <c r="A415" t="inlineStr">
        <is>
          <t>A 27559-2026</t>
        </is>
      </c>
      <c r="B415" t="inlineStr">
        <is>
          <t>avverkningsanmälan</t>
        </is>
      </c>
      <c r="C415" t="inlineStr">
        <is>
          <t>Föryngringsavverkning</t>
        </is>
      </c>
      <c r="D415" s="1" t="n">
        <v>46190</v>
      </c>
      <c r="E415" s="1" t="n">
        <v>46298</v>
      </c>
      <c r="F415" t="inlineStr">
        <is>
          <t>VÄRMLANDS LÄN</t>
        </is>
      </c>
      <c r="G415" t="inlineStr">
        <is>
          <t>KARLSTAD</t>
        </is>
      </c>
      <c r="I415" t="n">
        <v>2.5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t="n">
        <v>0</v>
      </c>
      <c r="S415" t="n">
        <v>0</v>
      </c>
      <c r="T415" t="n">
        <v>0</v>
      </c>
      <c r="U415" t="n">
        <v>0</v>
      </c>
      <c r="V415" s="2" t="inlineStr"/>
    </row>
    <row r="416" ht="15" customHeight="1">
      <c r="A416" t="inlineStr">
        <is>
          <t>A 64061-2023</t>
        </is>
      </c>
      <c r="B416" t="inlineStr">
        <is>
          <t>avverkningsanmälan</t>
        </is>
      </c>
      <c r="C416" t="inlineStr">
        <is>
          <t>Föryngringsavverkning</t>
        </is>
      </c>
      <c r="D416" s="1" t="n">
        <v>45279</v>
      </c>
      <c r="E416" s="1" t="n">
        <v>46298</v>
      </c>
      <c r="F416" t="inlineStr">
        <is>
          <t>VÄRMLANDS LÄN</t>
        </is>
      </c>
      <c r="G416" t="inlineStr">
        <is>
          <t>KARLSTAD</t>
        </is>
      </c>
      <c r="I416" t="n">
        <v>9.300000000000001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t="n">
        <v>0</v>
      </c>
      <c r="S416" t="n">
        <v>0</v>
      </c>
      <c r="T416" t="n">
        <v>0</v>
      </c>
      <c r="U416" t="n">
        <v>0</v>
      </c>
      <c r="V416" s="2" t="inlineStr"/>
    </row>
    <row r="417" ht="15" customHeight="1">
      <c r="A417" t="inlineStr">
        <is>
          <t>A 27571-2026</t>
        </is>
      </c>
      <c r="B417" t="inlineStr">
        <is>
          <t>avverkningsanmälan</t>
        </is>
      </c>
      <c r="C417" t="inlineStr">
        <is>
          <t>Föryngringsavverkning</t>
        </is>
      </c>
      <c r="D417" s="1" t="n">
        <v>46190</v>
      </c>
      <c r="E417" s="1" t="n">
        <v>46298</v>
      </c>
      <c r="F417" t="inlineStr">
        <is>
          <t>VÄRMLANDS LÄN</t>
        </is>
      </c>
      <c r="G417" t="inlineStr">
        <is>
          <t>KARLSTAD</t>
        </is>
      </c>
      <c r="I417" t="n">
        <v>6.7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t="n">
        <v>0</v>
      </c>
      <c r="S417" t="n">
        <v>0</v>
      </c>
      <c r="T417" t="n">
        <v>0</v>
      </c>
      <c r="U417" t="n">
        <v>0</v>
      </c>
      <c r="V417" s="2" t="inlineStr"/>
    </row>
    <row r="418" ht="15" customHeight="1">
      <c r="A418" t="inlineStr">
        <is>
          <t>A 61441-2024</t>
        </is>
      </c>
      <c r="B418" t="inlineStr">
        <is>
          <t>avverkningsanmälan</t>
        </is>
      </c>
      <c r="C418" t="inlineStr">
        <is>
          <t>Föryngringsavverkning</t>
        </is>
      </c>
      <c r="D418" s="1" t="n">
        <v>45646</v>
      </c>
      <c r="E418" s="1" t="n">
        <v>46298</v>
      </c>
      <c r="F418" t="inlineStr">
        <is>
          <t>VÄRMLANDS LÄN</t>
        </is>
      </c>
      <c r="G418" t="inlineStr">
        <is>
          <t>KARLSTAD</t>
        </is>
      </c>
      <c r="I418" t="n">
        <v>1.5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t="n">
        <v>0</v>
      </c>
      <c r="S418" t="n">
        <v>0</v>
      </c>
      <c r="T418" t="n">
        <v>0</v>
      </c>
      <c r="U418" t="n">
        <v>0</v>
      </c>
      <c r="V418" s="2" t="inlineStr"/>
    </row>
    <row r="419" ht="15" customHeight="1">
      <c r="A419" t="inlineStr">
        <is>
          <t>A 24648-2022</t>
        </is>
      </c>
      <c r="B419" t="inlineStr">
        <is>
          <t>avverkningsanmälan</t>
        </is>
      </c>
      <c r="C419" t="inlineStr">
        <is>
          <t>Föryngringsavverkning</t>
        </is>
      </c>
      <c r="D419" s="1" t="n">
        <v>44727</v>
      </c>
      <c r="E419" s="1" t="n">
        <v>46298</v>
      </c>
      <c r="F419" t="inlineStr">
        <is>
          <t>VÄRMLANDS LÄN</t>
        </is>
      </c>
      <c r="G419" t="inlineStr">
        <is>
          <t>KARLSTAD</t>
        </is>
      </c>
      <c r="I419" t="n">
        <v>1.2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t="n">
        <v>0</v>
      </c>
      <c r="S419" t="n">
        <v>0</v>
      </c>
      <c r="T419" t="n">
        <v>0</v>
      </c>
      <c r="U419" t="n">
        <v>0</v>
      </c>
      <c r="V419" s="2" t="inlineStr"/>
    </row>
    <row r="420" ht="15" customHeight="1">
      <c r="A420" t="inlineStr">
        <is>
          <t>A 27344-2023</t>
        </is>
      </c>
      <c r="B420" t="inlineStr">
        <is>
          <t>avverkningsanmälan</t>
        </is>
      </c>
      <c r="C420" t="inlineStr">
        <is>
          <t>Föryngringsavverkning</t>
        </is>
      </c>
      <c r="D420" s="1" t="n">
        <v>45096</v>
      </c>
      <c r="E420" s="1" t="n">
        <v>46298</v>
      </c>
      <c r="F420" t="inlineStr">
        <is>
          <t>VÄRMLANDS LÄN</t>
        </is>
      </c>
      <c r="G420" t="inlineStr">
        <is>
          <t>KARLSTAD</t>
        </is>
      </c>
      <c r="I420" t="n">
        <v>4.7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t="n">
        <v>0</v>
      </c>
      <c r="S420" t="n">
        <v>0</v>
      </c>
      <c r="T420" t="n">
        <v>0</v>
      </c>
      <c r="U420" t="n">
        <v>0</v>
      </c>
      <c r="V420" s="2" t="inlineStr"/>
    </row>
    <row r="421" ht="15" customHeight="1">
      <c r="A421" t="inlineStr">
        <is>
          <t>A 45231-2024</t>
        </is>
      </c>
      <c r="B421" t="inlineStr">
        <is>
          <t>avverkningsanmälan</t>
        </is>
      </c>
      <c r="C421" t="inlineStr">
        <is>
          <t>Föryngringsavverkning</t>
        </is>
      </c>
      <c r="D421" s="1" t="n">
        <v>45575</v>
      </c>
      <c r="E421" s="1" t="n">
        <v>46298</v>
      </c>
      <c r="F421" t="inlineStr">
        <is>
          <t>VÄRMLANDS LÄN</t>
        </is>
      </c>
      <c r="G421" t="inlineStr">
        <is>
          <t>KARLSTAD</t>
        </is>
      </c>
      <c r="I421" t="n">
        <v>2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t="n">
        <v>0</v>
      </c>
      <c r="S421" t="n">
        <v>0</v>
      </c>
      <c r="T421" t="n">
        <v>0</v>
      </c>
      <c r="U421" t="n">
        <v>0</v>
      </c>
      <c r="V421" s="2" t="inlineStr"/>
    </row>
    <row r="422" ht="15" customHeight="1">
      <c r="A422" t="inlineStr">
        <is>
          <t>A 26323-2022</t>
        </is>
      </c>
      <c r="B422" t="inlineStr">
        <is>
          <t>avverkningsanmälan</t>
        </is>
      </c>
      <c r="C422" t="inlineStr">
        <is>
          <t>Föryngringsavverkning</t>
        </is>
      </c>
      <c r="D422" s="1" t="n">
        <v>44735</v>
      </c>
      <c r="E422" s="1" t="n">
        <v>46298</v>
      </c>
      <c r="F422" t="inlineStr">
        <is>
          <t>VÄRMLANDS LÄN</t>
        </is>
      </c>
      <c r="G422" t="inlineStr">
        <is>
          <t>KARLSTAD</t>
        </is>
      </c>
      <c r="I422" t="n">
        <v>2.3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t="n">
        <v>0</v>
      </c>
      <c r="S422" t="n">
        <v>0</v>
      </c>
      <c r="T422" t="n">
        <v>0</v>
      </c>
      <c r="U422" t="n">
        <v>0</v>
      </c>
      <c r="V422" s="2" t="inlineStr"/>
    </row>
    <row r="423" ht="15" customHeight="1">
      <c r="A423" t="inlineStr">
        <is>
          <t>A 53038-2022</t>
        </is>
      </c>
      <c r="B423" t="inlineStr">
        <is>
          <t>avverkningsanmälan</t>
        </is>
      </c>
      <c r="C423" t="inlineStr">
        <is>
          <t>Föryngringsavverkning</t>
        </is>
      </c>
      <c r="D423" s="1" t="n">
        <v>44873</v>
      </c>
      <c r="E423" s="1" t="n">
        <v>46298</v>
      </c>
      <c r="F423" t="inlineStr">
        <is>
          <t>VÄRMLANDS LÄN</t>
        </is>
      </c>
      <c r="G423" t="inlineStr">
        <is>
          <t>KARLSTAD</t>
        </is>
      </c>
      <c r="I423" t="n">
        <v>1.5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t="n">
        <v>0</v>
      </c>
      <c r="S423" t="n">
        <v>0</v>
      </c>
      <c r="T423" t="n">
        <v>0</v>
      </c>
      <c r="U423" t="n">
        <v>0</v>
      </c>
      <c r="V423" s="2" t="inlineStr"/>
    </row>
    <row r="424" ht="15" customHeight="1">
      <c r="A424" t="inlineStr">
        <is>
          <t>A 29388-2026</t>
        </is>
      </c>
      <c r="B424" t="inlineStr">
        <is>
          <t>avverkningsanmälan</t>
        </is>
      </c>
      <c r="C424" t="inlineStr">
        <is>
          <t>Föryngringsavverkning</t>
        </is>
      </c>
      <c r="D424" s="1" t="n">
        <v>46203</v>
      </c>
      <c r="E424" s="1" t="n">
        <v>46298</v>
      </c>
      <c r="F424" t="inlineStr">
        <is>
          <t>VÄRMLANDS LÄN</t>
        </is>
      </c>
      <c r="G424" t="inlineStr">
        <is>
          <t>KARLSTAD</t>
        </is>
      </c>
      <c r="I424" t="n">
        <v>2.3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t="n">
        <v>0</v>
      </c>
      <c r="S424" t="n">
        <v>0</v>
      </c>
      <c r="T424" t="n">
        <v>0</v>
      </c>
      <c r="U424" t="n">
        <v>0</v>
      </c>
      <c r="V424" s="2" t="inlineStr"/>
    </row>
    <row r="425" ht="15" customHeight="1">
      <c r="A425" t="inlineStr">
        <is>
          <t>A 29573-2026</t>
        </is>
      </c>
      <c r="B425" t="inlineStr">
        <is>
          <t>avverkningsanmälan</t>
        </is>
      </c>
      <c r="C425" t="inlineStr">
        <is>
          <t>Föryngringsavverkning</t>
        </is>
      </c>
      <c r="D425" s="1" t="n">
        <v>46204</v>
      </c>
      <c r="E425" s="1" t="n">
        <v>46298</v>
      </c>
      <c r="F425" t="inlineStr">
        <is>
          <t>VÄRMLANDS LÄN</t>
        </is>
      </c>
      <c r="G425" t="inlineStr">
        <is>
          <t>KARLSTAD</t>
        </is>
      </c>
      <c r="I425" t="n">
        <v>5.9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t="n">
        <v>0</v>
      </c>
      <c r="S425" t="n">
        <v>0</v>
      </c>
      <c r="T425" t="n">
        <v>0</v>
      </c>
      <c r="U425" t="n">
        <v>0</v>
      </c>
      <c r="V425" s="2" t="inlineStr"/>
    </row>
    <row r="426" ht="15" customHeight="1">
      <c r="A426" t="inlineStr">
        <is>
          <t>A 29899-2026</t>
        </is>
      </c>
      <c r="B426" t="inlineStr">
        <is>
          <t>avverkningsanmälan</t>
        </is>
      </c>
      <c r="C426" t="inlineStr">
        <is>
          <t>Föryngringsavverkning</t>
        </is>
      </c>
      <c r="D426" s="1" t="n">
        <v>46205</v>
      </c>
      <c r="E426" s="1" t="n">
        <v>46298</v>
      </c>
      <c r="F426" t="inlineStr">
        <is>
          <t>VÄRMLANDS LÄN</t>
        </is>
      </c>
      <c r="G426" t="inlineStr">
        <is>
          <t>KARLSTAD</t>
        </is>
      </c>
      <c r="I426" t="n">
        <v>10.7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t="n">
        <v>0</v>
      </c>
      <c r="S426" t="n">
        <v>0</v>
      </c>
      <c r="T426" t="n">
        <v>0</v>
      </c>
      <c r="U426" t="n">
        <v>0</v>
      </c>
      <c r="V426" s="2" t="inlineStr"/>
    </row>
    <row r="427" ht="15" customHeight="1">
      <c r="A427" t="inlineStr">
        <is>
          <t>A 59055-2024</t>
        </is>
      </c>
      <c r="B427" t="inlineStr">
        <is>
          <t>avverkningsanmälan</t>
        </is>
      </c>
      <c r="C427" t="inlineStr">
        <is>
          <t>Föryngringsavverkning</t>
        </is>
      </c>
      <c r="D427" s="1" t="n">
        <v>45636</v>
      </c>
      <c r="E427" s="1" t="n">
        <v>46298</v>
      </c>
      <c r="F427" t="inlineStr">
        <is>
          <t>VÄRMLANDS LÄN</t>
        </is>
      </c>
      <c r="G427" t="inlineStr">
        <is>
          <t>KARLSTAD</t>
        </is>
      </c>
      <c r="I427" t="n">
        <v>7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t="n">
        <v>0</v>
      </c>
      <c r="S427" t="n">
        <v>0</v>
      </c>
      <c r="T427" t="n">
        <v>0</v>
      </c>
      <c r="U427" t="n">
        <v>0</v>
      </c>
      <c r="V427" s="2" t="inlineStr"/>
    </row>
    <row r="428" ht="15" customHeight="1">
      <c r="A428" t="inlineStr">
        <is>
          <t>A 52799-2023</t>
        </is>
      </c>
      <c r="B428" t="inlineStr">
        <is>
          <t>avverkningsanmälan</t>
        </is>
      </c>
      <c r="C428" t="inlineStr">
        <is>
          <t>Föryngringsavverkning</t>
        </is>
      </c>
      <c r="D428" s="1" t="n">
        <v>45219</v>
      </c>
      <c r="E428" s="1" t="n">
        <v>46298</v>
      </c>
      <c r="F428" t="inlineStr">
        <is>
          <t>VÄRMLANDS LÄN</t>
        </is>
      </c>
      <c r="G428" t="inlineStr">
        <is>
          <t>KARLSTAD</t>
        </is>
      </c>
      <c r="I428" t="n">
        <v>4.3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t="n">
        <v>0</v>
      </c>
      <c r="S428" t="n">
        <v>0</v>
      </c>
      <c r="T428" t="n">
        <v>0</v>
      </c>
      <c r="U428" t="n">
        <v>0</v>
      </c>
      <c r="V428" s="2" t="inlineStr"/>
    </row>
    <row r="429" ht="15" customHeight="1">
      <c r="A429" t="inlineStr">
        <is>
          <t>A 63282-2023</t>
        </is>
      </c>
      <c r="B429" t="inlineStr">
        <is>
          <t>avverkningsanmälan</t>
        </is>
      </c>
      <c r="C429" t="inlineStr">
        <is>
          <t>Föryngringsavverkning</t>
        </is>
      </c>
      <c r="D429" s="1" t="n">
        <v>45273</v>
      </c>
      <c r="E429" s="1" t="n">
        <v>46298</v>
      </c>
      <c r="F429" t="inlineStr">
        <is>
          <t>VÄRMLANDS LÄN</t>
        </is>
      </c>
      <c r="G429" t="inlineStr">
        <is>
          <t>KARLSTAD</t>
        </is>
      </c>
      <c r="I429" t="n">
        <v>1.8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t="n">
        <v>0</v>
      </c>
      <c r="S429" t="n">
        <v>0</v>
      </c>
      <c r="T429" t="n">
        <v>0</v>
      </c>
      <c r="U429" t="n">
        <v>0</v>
      </c>
      <c r="V429" s="2" t="inlineStr"/>
    </row>
    <row r="430" ht="15" customHeight="1">
      <c r="A430" t="inlineStr">
        <is>
          <t>A 55250-2022</t>
        </is>
      </c>
      <c r="B430" t="inlineStr">
        <is>
          <t>avverkningsanmälan</t>
        </is>
      </c>
      <c r="C430" t="inlineStr">
        <is>
          <t>Avverkning för annat ändamål</t>
        </is>
      </c>
      <c r="D430" s="1" t="n">
        <v>44887</v>
      </c>
      <c r="E430" s="1" t="n">
        <v>46298</v>
      </c>
      <c r="F430" t="inlineStr">
        <is>
          <t>VÄRMLANDS LÄN</t>
        </is>
      </c>
      <c r="G430" t="inlineStr">
        <is>
          <t>KARLSTAD</t>
        </is>
      </c>
      <c r="I430" t="n">
        <v>1.1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t="n">
        <v>0</v>
      </c>
      <c r="S430" t="n">
        <v>0</v>
      </c>
      <c r="T430" t="n">
        <v>0</v>
      </c>
      <c r="U430" t="n">
        <v>0</v>
      </c>
      <c r="V430" s="2" t="inlineStr"/>
    </row>
    <row r="431" ht="15" customHeight="1">
      <c r="A431" t="inlineStr">
        <is>
          <t>A 18356-2023</t>
        </is>
      </c>
      <c r="B431" t="inlineStr">
        <is>
          <t>avverkningsanmälan</t>
        </is>
      </c>
      <c r="C431" t="inlineStr">
        <is>
          <t>Föryngringsavverkning</t>
        </is>
      </c>
      <c r="D431" s="1" t="n">
        <v>45041</v>
      </c>
      <c r="E431" s="1" t="n">
        <v>46298</v>
      </c>
      <c r="F431" t="inlineStr">
        <is>
          <t>VÄRMLANDS LÄN</t>
        </is>
      </c>
      <c r="G431" t="inlineStr">
        <is>
          <t>KARLSTAD</t>
        </is>
      </c>
      <c r="I431" t="n">
        <v>3.3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t="n">
        <v>0</v>
      </c>
      <c r="S431" t="n">
        <v>0</v>
      </c>
      <c r="T431" t="n">
        <v>0</v>
      </c>
      <c r="U431" t="n">
        <v>0</v>
      </c>
      <c r="V431" s="2" t="inlineStr"/>
    </row>
    <row r="432" ht="15" customHeight="1">
      <c r="A432" t="inlineStr">
        <is>
          <t>A 5448-2022</t>
        </is>
      </c>
      <c r="B432" t="inlineStr">
        <is>
          <t>avverkningsanmälan</t>
        </is>
      </c>
      <c r="C432" t="inlineStr">
        <is>
          <t>Föryngringsavverkning</t>
        </is>
      </c>
      <c r="D432" s="1" t="n">
        <v>44594</v>
      </c>
      <c r="E432" s="1" t="n">
        <v>46298</v>
      </c>
      <c r="F432" t="inlineStr">
        <is>
          <t>VÄRMLANDS LÄN</t>
        </is>
      </c>
      <c r="G432" t="inlineStr">
        <is>
          <t>KARLSTAD</t>
        </is>
      </c>
      <c r="I432" t="n">
        <v>6.1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t="n">
        <v>0</v>
      </c>
      <c r="S432" t="n">
        <v>0</v>
      </c>
      <c r="T432" t="n">
        <v>0</v>
      </c>
      <c r="U432" t="n">
        <v>0</v>
      </c>
      <c r="V432" s="2" t="inlineStr"/>
    </row>
    <row r="433" ht="15" customHeight="1">
      <c r="A433" t="inlineStr">
        <is>
          <t>A 27569-2024</t>
        </is>
      </c>
      <c r="B433" t="inlineStr">
        <is>
          <t>avverkningsanmälan</t>
        </is>
      </c>
      <c r="C433" t="inlineStr">
        <is>
          <t>Föryngringsavverkning</t>
        </is>
      </c>
      <c r="D433" s="1" t="n">
        <v>45474</v>
      </c>
      <c r="E433" s="1" t="n">
        <v>46298</v>
      </c>
      <c r="F433" t="inlineStr">
        <is>
          <t>VÄRMLANDS LÄN</t>
        </is>
      </c>
      <c r="G433" t="inlineStr">
        <is>
          <t>KARLSTAD</t>
        </is>
      </c>
      <c r="I433" t="n">
        <v>0.5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t="n">
        <v>0</v>
      </c>
      <c r="S433" t="n">
        <v>0</v>
      </c>
      <c r="T433" t="n">
        <v>0</v>
      </c>
      <c r="U433" t="n">
        <v>0</v>
      </c>
      <c r="V433" s="2" t="inlineStr"/>
    </row>
    <row r="434" ht="15" customHeight="1">
      <c r="A434" t="inlineStr">
        <is>
          <t>A 46176-2024</t>
        </is>
      </c>
      <c r="B434" t="inlineStr">
        <is>
          <t>avverkningsanmälan</t>
        </is>
      </c>
      <c r="C434" t="inlineStr">
        <is>
          <t>Föryngringsavverkning</t>
        </is>
      </c>
      <c r="D434" s="1" t="n">
        <v>45581</v>
      </c>
      <c r="E434" s="1" t="n">
        <v>46298</v>
      </c>
      <c r="F434" t="inlineStr">
        <is>
          <t>VÄRMLANDS LÄN</t>
        </is>
      </c>
      <c r="G434" t="inlineStr">
        <is>
          <t>KARLSTAD</t>
        </is>
      </c>
      <c r="H434" t="inlineStr">
        <is>
          <t>Bergvik skog väst AB</t>
        </is>
      </c>
      <c r="I434" t="n">
        <v>2.7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t="n">
        <v>0</v>
      </c>
      <c r="S434" t="n">
        <v>0</v>
      </c>
      <c r="T434" t="n">
        <v>0</v>
      </c>
      <c r="U434" t="n">
        <v>0</v>
      </c>
      <c r="V434" s="2" t="inlineStr"/>
    </row>
    <row r="435" ht="15" customHeight="1">
      <c r="A435" t="inlineStr">
        <is>
          <t>A 19089-2025</t>
        </is>
      </c>
      <c r="B435" t="inlineStr">
        <is>
          <t>avverkningsanmälan</t>
        </is>
      </c>
      <c r="C435" t="inlineStr">
        <is>
          <t>Föryngringsavverkning</t>
        </is>
      </c>
      <c r="D435" s="1" t="n">
        <v>45767</v>
      </c>
      <c r="E435" s="1" t="n">
        <v>46298</v>
      </c>
      <c r="F435" t="inlineStr">
        <is>
          <t>VÄRMLANDS LÄN</t>
        </is>
      </c>
      <c r="G435" t="inlineStr">
        <is>
          <t>KARLSTAD</t>
        </is>
      </c>
      <c r="I435" t="n">
        <v>0.2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t="n">
        <v>0</v>
      </c>
      <c r="S435" t="n">
        <v>0</v>
      </c>
      <c r="T435" t="n">
        <v>0</v>
      </c>
      <c r="U435" t="n">
        <v>0</v>
      </c>
      <c r="V435" s="2" t="inlineStr"/>
    </row>
    <row r="436" ht="15" customHeight="1">
      <c r="A436" t="inlineStr">
        <is>
          <t>A 21943-2023</t>
        </is>
      </c>
      <c r="B436" t="inlineStr">
        <is>
          <t>avverkningsanmälan</t>
        </is>
      </c>
      <c r="C436" t="inlineStr">
        <is>
          <t>Föryngringsavverkning</t>
        </is>
      </c>
      <c r="D436" s="1" t="n">
        <v>45068</v>
      </c>
      <c r="E436" s="1" t="n">
        <v>46298</v>
      </c>
      <c r="F436" t="inlineStr">
        <is>
          <t>VÄRMLANDS LÄN</t>
        </is>
      </c>
      <c r="G436" t="inlineStr">
        <is>
          <t>KARLSTAD</t>
        </is>
      </c>
      <c r="I436" t="n">
        <v>1.2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t="n">
        <v>0</v>
      </c>
      <c r="S436" t="n">
        <v>0</v>
      </c>
      <c r="T436" t="n">
        <v>0</v>
      </c>
      <c r="U436" t="n">
        <v>0</v>
      </c>
      <c r="V436" s="2" t="inlineStr"/>
    </row>
    <row r="437" ht="15" customHeight="1">
      <c r="A437" t="inlineStr">
        <is>
          <t>A 66322-2021</t>
        </is>
      </c>
      <c r="B437" t="inlineStr">
        <is>
          <t>avverkningsanmälan</t>
        </is>
      </c>
      <c r="C437" t="inlineStr">
        <is>
          <t>Föryngringsavverkning</t>
        </is>
      </c>
      <c r="D437" s="1" t="n">
        <v>44518</v>
      </c>
      <c r="E437" s="1" t="n">
        <v>46298</v>
      </c>
      <c r="F437" t="inlineStr">
        <is>
          <t>VÄRMLANDS LÄN</t>
        </is>
      </c>
      <c r="G437" t="inlineStr">
        <is>
          <t>KARLSTAD</t>
        </is>
      </c>
      <c r="I437" t="n">
        <v>3.5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t="n">
        <v>0</v>
      </c>
      <c r="S437" t="n">
        <v>0</v>
      </c>
      <c r="T437" t="n">
        <v>0</v>
      </c>
      <c r="U437" t="n">
        <v>0</v>
      </c>
      <c r="V437" s="2" t="inlineStr"/>
    </row>
    <row r="438" ht="15" customHeight="1">
      <c r="A438" t="inlineStr">
        <is>
          <t>A 2135-2022</t>
        </is>
      </c>
      <c r="B438" t="inlineStr">
        <is>
          <t>avverkningsanmälan</t>
        </is>
      </c>
      <c r="C438" t="inlineStr">
        <is>
          <t>Föryngringsavverkning</t>
        </is>
      </c>
      <c r="D438" s="1" t="n">
        <v>44578</v>
      </c>
      <c r="E438" s="1" t="n">
        <v>46298</v>
      </c>
      <c r="F438" t="inlineStr">
        <is>
          <t>VÄRMLANDS LÄN</t>
        </is>
      </c>
      <c r="G438" t="inlineStr">
        <is>
          <t>KARLSTAD</t>
        </is>
      </c>
      <c r="I438" t="n">
        <v>1.6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t="n">
        <v>0</v>
      </c>
      <c r="S438" t="n">
        <v>0</v>
      </c>
      <c r="T438" t="n">
        <v>0</v>
      </c>
      <c r="U438" t="n">
        <v>0</v>
      </c>
      <c r="V438" s="2" t="inlineStr"/>
    </row>
    <row r="439" ht="15" customHeight="1">
      <c r="A439" t="inlineStr">
        <is>
          <t>A 34788-2026</t>
        </is>
      </c>
      <c r="B439" t="inlineStr">
        <is>
          <t>avverkningsanmälan</t>
        </is>
      </c>
      <c r="C439" t="inlineStr">
        <is>
          <t>Avverkning för annat ändamål</t>
        </is>
      </c>
      <c r="D439" s="1" t="n">
        <v>46258</v>
      </c>
      <c r="E439" s="1" t="n">
        <v>46298</v>
      </c>
      <c r="F439" t="inlineStr">
        <is>
          <t>VÄRMLANDS LÄN</t>
        </is>
      </c>
      <c r="G439" t="inlineStr">
        <is>
          <t>KARLSTAD</t>
        </is>
      </c>
      <c r="I439" t="n">
        <v>0.2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t="n">
        <v>0</v>
      </c>
      <c r="S439" t="n">
        <v>0</v>
      </c>
      <c r="T439" t="n">
        <v>0</v>
      </c>
      <c r="U439" t="n">
        <v>0</v>
      </c>
      <c r="V439" s="2" t="inlineStr"/>
    </row>
    <row r="440" ht="15" customHeight="1">
      <c r="A440" t="inlineStr">
        <is>
          <t>A 46109-2024</t>
        </is>
      </c>
      <c r="B440" t="inlineStr">
        <is>
          <t>avverkningsanmälan</t>
        </is>
      </c>
      <c r="C440" t="inlineStr">
        <is>
          <t>Föryngringsavverkning</t>
        </is>
      </c>
      <c r="D440" s="1" t="n">
        <v>45581</v>
      </c>
      <c r="E440" s="1" t="n">
        <v>46298</v>
      </c>
      <c r="F440" t="inlineStr">
        <is>
          <t>VÄRMLANDS LÄN</t>
        </is>
      </c>
      <c r="G440" t="inlineStr">
        <is>
          <t>KARLSTAD</t>
        </is>
      </c>
      <c r="I440" t="n">
        <v>2.1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t="n">
        <v>0</v>
      </c>
      <c r="S440" t="n">
        <v>0</v>
      </c>
      <c r="T440" t="n">
        <v>0</v>
      </c>
      <c r="U440" t="n">
        <v>0</v>
      </c>
      <c r="V440" s="2" t="inlineStr"/>
    </row>
    <row r="441" ht="15" customHeight="1">
      <c r="A441" t="inlineStr">
        <is>
          <t>A 32433-2023</t>
        </is>
      </c>
      <c r="B441" t="inlineStr">
        <is>
          <t>avverkningsanmälan</t>
        </is>
      </c>
      <c r="C441" t="inlineStr">
        <is>
          <t>Föryngringsavverkning</t>
        </is>
      </c>
      <c r="D441" s="1" t="n">
        <v>45120</v>
      </c>
      <c r="E441" s="1" t="n">
        <v>46298</v>
      </c>
      <c r="F441" t="inlineStr">
        <is>
          <t>VÄRMLANDS LÄN</t>
        </is>
      </c>
      <c r="G441" t="inlineStr">
        <is>
          <t>KARLSTAD</t>
        </is>
      </c>
      <c r="I441" t="n">
        <v>2.3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t="n">
        <v>0</v>
      </c>
      <c r="S441" t="n">
        <v>0</v>
      </c>
      <c r="T441" t="n">
        <v>0</v>
      </c>
      <c r="U441" t="n">
        <v>0</v>
      </c>
      <c r="V441" s="2" t="inlineStr"/>
    </row>
    <row r="442" ht="15" customHeight="1">
      <c r="A442" t="inlineStr">
        <is>
          <t>A 34722-2026</t>
        </is>
      </c>
      <c r="B442" t="inlineStr">
        <is>
          <t>avverkningsanmälan</t>
        </is>
      </c>
      <c r="C442" t="inlineStr">
        <is>
          <t>Avverkning för att bevara och utveckla /försöksver</t>
        </is>
      </c>
      <c r="D442" s="1" t="n">
        <v>46258</v>
      </c>
      <c r="E442" s="1" t="n">
        <v>46298</v>
      </c>
      <c r="F442" t="inlineStr">
        <is>
          <t>VÄRMLANDS LÄN</t>
        </is>
      </c>
      <c r="G442" t="inlineStr">
        <is>
          <t>KARLSTAD</t>
        </is>
      </c>
      <c r="I442" t="n">
        <v>3.7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t="n">
        <v>0</v>
      </c>
      <c r="S442" t="n">
        <v>0</v>
      </c>
      <c r="T442" t="n">
        <v>0</v>
      </c>
      <c r="U442" t="n">
        <v>0</v>
      </c>
      <c r="V442" s="2" t="inlineStr"/>
    </row>
    <row r="443" ht="15" customHeight="1">
      <c r="A443" t="inlineStr">
        <is>
          <t>A 12029-2023</t>
        </is>
      </c>
      <c r="B443" t="inlineStr">
        <is>
          <t>avverkningsanmälan</t>
        </is>
      </c>
      <c r="C443" t="inlineStr">
        <is>
          <t>Föryngringsavverkning</t>
        </is>
      </c>
      <c r="D443" s="1" t="n">
        <v>44995</v>
      </c>
      <c r="E443" s="1" t="n">
        <v>46298</v>
      </c>
      <c r="F443" t="inlineStr">
        <is>
          <t>VÄRMLANDS LÄN</t>
        </is>
      </c>
      <c r="G443" t="inlineStr">
        <is>
          <t>KARLSTAD</t>
        </is>
      </c>
      <c r="I443" t="n">
        <v>0.4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t="n">
        <v>0</v>
      </c>
      <c r="S443" t="n">
        <v>0</v>
      </c>
      <c r="T443" t="n">
        <v>0</v>
      </c>
      <c r="U443" t="n">
        <v>0</v>
      </c>
      <c r="V443" s="2" t="inlineStr"/>
    </row>
    <row r="444" ht="15" customHeight="1">
      <c r="A444" t="inlineStr">
        <is>
          <t>A 31415-2026</t>
        </is>
      </c>
      <c r="B444" t="inlineStr">
        <is>
          <t>avverkningsanmälan</t>
        </is>
      </c>
      <c r="C444" t="inlineStr">
        <is>
          <t>Föryngringsavverkning</t>
        </is>
      </c>
      <c r="D444" s="1" t="n">
        <v>46220</v>
      </c>
      <c r="E444" s="1" t="n">
        <v>46298</v>
      </c>
      <c r="F444" t="inlineStr">
        <is>
          <t>VÄRMLANDS LÄN</t>
        </is>
      </c>
      <c r="G444" t="inlineStr">
        <is>
          <t>KARLSTAD</t>
        </is>
      </c>
      <c r="I444" t="n">
        <v>0.8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t="n">
        <v>0</v>
      </c>
      <c r="S444" t="n">
        <v>0</v>
      </c>
      <c r="T444" t="n">
        <v>0</v>
      </c>
      <c r="U444" t="n">
        <v>0</v>
      </c>
      <c r="V444" s="2" t="inlineStr"/>
    </row>
    <row r="445" ht="15" customHeight="1">
      <c r="A445" t="inlineStr">
        <is>
          <t>A 31391-2026</t>
        </is>
      </c>
      <c r="B445" t="inlineStr">
        <is>
          <t>avverkningsanmälan</t>
        </is>
      </c>
      <c r="C445" t="inlineStr">
        <is>
          <t>Avverkning för annat ändamål</t>
        </is>
      </c>
      <c r="D445" s="1" t="n">
        <v>46220</v>
      </c>
      <c r="E445" s="1" t="n">
        <v>46298</v>
      </c>
      <c r="F445" t="inlineStr">
        <is>
          <t>VÄRMLANDS LÄN</t>
        </is>
      </c>
      <c r="G445" t="inlineStr">
        <is>
          <t>KARLSTAD</t>
        </is>
      </c>
      <c r="I445" t="n">
        <v>0.5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t="n">
        <v>0</v>
      </c>
      <c r="S445" t="n">
        <v>0</v>
      </c>
      <c r="T445" t="n">
        <v>0</v>
      </c>
      <c r="U445" t="n">
        <v>0</v>
      </c>
      <c r="V445" s="2" t="inlineStr"/>
    </row>
    <row r="446" ht="15" customHeight="1">
      <c r="A446" t="inlineStr">
        <is>
          <t>A 31474-2026</t>
        </is>
      </c>
      <c r="B446" t="inlineStr">
        <is>
          <t>avverkningsanmälan</t>
        </is>
      </c>
      <c r="C446" t="inlineStr">
        <is>
          <t>Föryngringsavverkning</t>
        </is>
      </c>
      <c r="D446" s="1" t="n">
        <v>46222</v>
      </c>
      <c r="E446" s="1" t="n">
        <v>46298</v>
      </c>
      <c r="F446" t="inlineStr">
        <is>
          <t>VÄRMLANDS LÄN</t>
        </is>
      </c>
      <c r="G446" t="inlineStr">
        <is>
          <t>KARLSTAD</t>
        </is>
      </c>
      <c r="I446" t="n">
        <v>4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t="n">
        <v>0</v>
      </c>
      <c r="S446" t="n">
        <v>0</v>
      </c>
      <c r="T446" t="n">
        <v>0</v>
      </c>
      <c r="U446" t="n">
        <v>0</v>
      </c>
      <c r="V446" s="2" t="inlineStr"/>
    </row>
    <row r="447" ht="15" customHeight="1">
      <c r="A447" t="inlineStr">
        <is>
          <t>A 31473-2026</t>
        </is>
      </c>
      <c r="B447" t="inlineStr">
        <is>
          <t>avverkningsanmälan</t>
        </is>
      </c>
      <c r="C447" t="inlineStr">
        <is>
          <t>Föryngringsavverkning</t>
        </is>
      </c>
      <c r="D447" s="1" t="n">
        <v>46222</v>
      </c>
      <c r="E447" s="1" t="n">
        <v>46298</v>
      </c>
      <c r="F447" t="inlineStr">
        <is>
          <t>VÄRMLANDS LÄN</t>
        </is>
      </c>
      <c r="G447" t="inlineStr">
        <is>
          <t>KARLSTAD</t>
        </is>
      </c>
      <c r="I447" t="n">
        <v>4.8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t="n">
        <v>0</v>
      </c>
      <c r="S447" t="n">
        <v>0</v>
      </c>
      <c r="T447" t="n">
        <v>0</v>
      </c>
      <c r="U447" t="n">
        <v>0</v>
      </c>
      <c r="V447" s="2" t="inlineStr"/>
    </row>
    <row r="448" ht="15" customHeight="1">
      <c r="A448" t="inlineStr">
        <is>
          <t>A 31475-2026</t>
        </is>
      </c>
      <c r="B448" t="inlineStr">
        <is>
          <t>avverkningsanmälan</t>
        </is>
      </c>
      <c r="C448" t="inlineStr">
        <is>
          <t>Föryngringsavverkning</t>
        </is>
      </c>
      <c r="D448" s="1" t="n">
        <v>46222</v>
      </c>
      <c r="E448" s="1" t="n">
        <v>46298</v>
      </c>
      <c r="F448" t="inlineStr">
        <is>
          <t>VÄRMLANDS LÄN</t>
        </is>
      </c>
      <c r="G448" t="inlineStr">
        <is>
          <t>KARLSTAD</t>
        </is>
      </c>
      <c r="I448" t="n">
        <v>10.2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t="n">
        <v>0</v>
      </c>
      <c r="S448" t="n">
        <v>0</v>
      </c>
      <c r="T448" t="n">
        <v>0</v>
      </c>
      <c r="U448" t="n">
        <v>0</v>
      </c>
      <c r="V448" s="2" t="inlineStr"/>
    </row>
    <row r="449" ht="15" customHeight="1">
      <c r="A449" t="inlineStr">
        <is>
          <t>A 31470-2026</t>
        </is>
      </c>
      <c r="B449" t="inlineStr">
        <is>
          <t>avverkningsanmälan</t>
        </is>
      </c>
      <c r="C449" t="inlineStr">
        <is>
          <t>Föryngringsavverkning</t>
        </is>
      </c>
      <c r="D449" s="1" t="n">
        <v>46222</v>
      </c>
      <c r="E449" s="1" t="n">
        <v>46298</v>
      </c>
      <c r="F449" t="inlineStr">
        <is>
          <t>VÄRMLANDS LÄN</t>
        </is>
      </c>
      <c r="G449" t="inlineStr">
        <is>
          <t>KARLSTAD</t>
        </is>
      </c>
      <c r="I449" t="n">
        <v>9.800000000000001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t="n">
        <v>0</v>
      </c>
      <c r="S449" t="n">
        <v>0</v>
      </c>
      <c r="T449" t="n">
        <v>0</v>
      </c>
      <c r="U449" t="n">
        <v>0</v>
      </c>
      <c r="V449" s="2" t="inlineStr"/>
    </row>
    <row r="450" ht="15" customHeight="1">
      <c r="A450" t="inlineStr">
        <is>
          <t>A 31476-2026</t>
        </is>
      </c>
      <c r="B450" t="inlineStr">
        <is>
          <t>avverkningsanmälan</t>
        </is>
      </c>
      <c r="C450" t="inlineStr">
        <is>
          <t>Föryngringsavverkning</t>
        </is>
      </c>
      <c r="D450" s="1" t="n">
        <v>46222</v>
      </c>
      <c r="E450" s="1" t="n">
        <v>46298</v>
      </c>
      <c r="F450" t="inlineStr">
        <is>
          <t>VÄRMLANDS LÄN</t>
        </is>
      </c>
      <c r="G450" t="inlineStr">
        <is>
          <t>KARLSTAD</t>
        </is>
      </c>
      <c r="I450" t="n">
        <v>4.4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t="n">
        <v>0</v>
      </c>
      <c r="S450" t="n">
        <v>0</v>
      </c>
      <c r="T450" t="n">
        <v>0</v>
      </c>
      <c r="U450" t="n">
        <v>0</v>
      </c>
      <c r="V450" s="2" t="inlineStr"/>
    </row>
    <row r="451" ht="15" customHeight="1">
      <c r="A451" t="inlineStr">
        <is>
          <t>A 31477-2026</t>
        </is>
      </c>
      <c r="B451" t="inlineStr">
        <is>
          <t>avverkningsanmälan</t>
        </is>
      </c>
      <c r="C451" t="inlineStr">
        <is>
          <t>Föryngringsavverkning</t>
        </is>
      </c>
      <c r="D451" s="1" t="n">
        <v>46222</v>
      </c>
      <c r="E451" s="1" t="n">
        <v>46298</v>
      </c>
      <c r="F451" t="inlineStr">
        <is>
          <t>VÄRMLANDS LÄN</t>
        </is>
      </c>
      <c r="G451" t="inlineStr">
        <is>
          <t>KARLSTAD</t>
        </is>
      </c>
      <c r="I451" t="n">
        <v>2.5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t="n">
        <v>0</v>
      </c>
      <c r="S451" t="n">
        <v>0</v>
      </c>
      <c r="T451" t="n">
        <v>0</v>
      </c>
      <c r="U451" t="n">
        <v>0</v>
      </c>
      <c r="V451" s="2" t="inlineStr"/>
    </row>
    <row r="452" ht="15" customHeight="1">
      <c r="A452" t="inlineStr">
        <is>
          <t>A 37076-2023</t>
        </is>
      </c>
      <c r="B452" t="inlineStr">
        <is>
          <t>avverkningsanmälan</t>
        </is>
      </c>
      <c r="C452" t="inlineStr">
        <is>
          <t>Föryngringsavverkning</t>
        </is>
      </c>
      <c r="D452" s="1" t="n">
        <v>45154</v>
      </c>
      <c r="E452" s="1" t="n">
        <v>46298</v>
      </c>
      <c r="F452" t="inlineStr">
        <is>
          <t>VÄRMLANDS LÄN</t>
        </is>
      </c>
      <c r="G452" t="inlineStr">
        <is>
          <t>KARLSTAD</t>
        </is>
      </c>
      <c r="H452" t="inlineStr">
        <is>
          <t>Övriga statliga verk och myndigheter</t>
        </is>
      </c>
      <c r="I452" t="n">
        <v>11.6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t="n">
        <v>0</v>
      </c>
      <c r="S452" t="n">
        <v>0</v>
      </c>
      <c r="T452" t="n">
        <v>0</v>
      </c>
      <c r="U452" t="n">
        <v>0</v>
      </c>
      <c r="V452" s="2" t="inlineStr"/>
    </row>
    <row r="453" ht="15" customHeight="1">
      <c r="A453" t="inlineStr">
        <is>
          <t>A 31392-2026</t>
        </is>
      </c>
      <c r="B453" t="inlineStr">
        <is>
          <t>avverkningsanmälan</t>
        </is>
      </c>
      <c r="C453" t="inlineStr">
        <is>
          <t>Föryngringsavverkning</t>
        </is>
      </c>
      <c r="D453" s="1" t="n">
        <v>46220</v>
      </c>
      <c r="E453" s="1" t="n">
        <v>46298</v>
      </c>
      <c r="F453" t="inlineStr">
        <is>
          <t>VÄRMLANDS LÄN</t>
        </is>
      </c>
      <c r="G453" t="inlineStr">
        <is>
          <t>KARLSTAD</t>
        </is>
      </c>
      <c r="I453" t="n">
        <v>1.3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t="n">
        <v>0</v>
      </c>
      <c r="S453" t="n">
        <v>0</v>
      </c>
      <c r="T453" t="n">
        <v>0</v>
      </c>
      <c r="U453" t="n">
        <v>0</v>
      </c>
      <c r="V453" s="2" t="inlineStr"/>
    </row>
    <row r="454" ht="15" customHeight="1">
      <c r="A454" t="inlineStr">
        <is>
          <t>A 31416-2026</t>
        </is>
      </c>
      <c r="B454" t="inlineStr">
        <is>
          <t>avverkningsanmälan</t>
        </is>
      </c>
      <c r="C454" t="inlineStr">
        <is>
          <t>Föryngringsavverkning</t>
        </is>
      </c>
      <c r="D454" s="1" t="n">
        <v>46220</v>
      </c>
      <c r="E454" s="1" t="n">
        <v>46298</v>
      </c>
      <c r="F454" t="inlineStr">
        <is>
          <t>VÄRMLANDS LÄN</t>
        </is>
      </c>
      <c r="G454" t="inlineStr">
        <is>
          <t>KARLSTAD</t>
        </is>
      </c>
      <c r="I454" t="n">
        <v>1.8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t="n">
        <v>0</v>
      </c>
      <c r="S454" t="n">
        <v>0</v>
      </c>
      <c r="T454" t="n">
        <v>0</v>
      </c>
      <c r="U454" t="n">
        <v>0</v>
      </c>
      <c r="V454" s="2" t="inlineStr"/>
    </row>
    <row r="455" ht="15" customHeight="1">
      <c r="A455" t="inlineStr">
        <is>
          <t>A 31426-2026</t>
        </is>
      </c>
      <c r="B455" t="inlineStr">
        <is>
          <t>avverkningsanmälan</t>
        </is>
      </c>
      <c r="C455" t="inlineStr">
        <is>
          <t>Föryngringsavverkning</t>
        </is>
      </c>
      <c r="D455" s="1" t="n">
        <v>46220</v>
      </c>
      <c r="E455" s="1" t="n">
        <v>46298</v>
      </c>
      <c r="F455" t="inlineStr">
        <is>
          <t>VÄRMLANDS LÄN</t>
        </is>
      </c>
      <c r="G455" t="inlineStr">
        <is>
          <t>KARLSTAD</t>
        </is>
      </c>
      <c r="I455" t="n">
        <v>1.8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t="n">
        <v>0</v>
      </c>
      <c r="S455" t="n">
        <v>0</v>
      </c>
      <c r="T455" t="n">
        <v>0</v>
      </c>
      <c r="U455" t="n">
        <v>0</v>
      </c>
      <c r="V455" s="2" t="inlineStr"/>
    </row>
    <row r="456" ht="15" customHeight="1">
      <c r="A456" t="inlineStr">
        <is>
          <t>A 31430-2026</t>
        </is>
      </c>
      <c r="B456" t="inlineStr">
        <is>
          <t>avverkningsanmälan</t>
        </is>
      </c>
      <c r="C456" t="inlineStr">
        <is>
          <t>Avverkning för annat ändamål</t>
        </is>
      </c>
      <c r="D456" s="1" t="n">
        <v>46220</v>
      </c>
      <c r="E456" s="1" t="n">
        <v>46298</v>
      </c>
      <c r="F456" t="inlineStr">
        <is>
          <t>VÄRMLANDS LÄN</t>
        </is>
      </c>
      <c r="G456" t="inlineStr">
        <is>
          <t>KARLSTAD</t>
        </is>
      </c>
      <c r="I456" t="n">
        <v>0.2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t="n">
        <v>0</v>
      </c>
      <c r="S456" t="n">
        <v>0</v>
      </c>
      <c r="T456" t="n">
        <v>0</v>
      </c>
      <c r="U456" t="n">
        <v>0</v>
      </c>
      <c r="V456" s="2" t="inlineStr"/>
    </row>
    <row r="457" ht="15" customHeight="1">
      <c r="A457" t="inlineStr">
        <is>
          <t>A 65085-2023</t>
        </is>
      </c>
      <c r="B457" t="inlineStr">
        <is>
          <t>avverkningsanmälan</t>
        </is>
      </c>
      <c r="C457" t="inlineStr">
        <is>
          <t>Föryngringsavverkning</t>
        </is>
      </c>
      <c r="D457" s="1" t="n">
        <v>45288</v>
      </c>
      <c r="E457" s="1" t="n">
        <v>46298</v>
      </c>
      <c r="F457" t="inlineStr">
        <is>
          <t>VÄRMLANDS LÄN</t>
        </is>
      </c>
      <c r="G457" t="inlineStr">
        <is>
          <t>KARLSTAD</t>
        </is>
      </c>
      <c r="I457" t="n">
        <v>0.9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t="n">
        <v>0</v>
      </c>
      <c r="S457" t="n">
        <v>0</v>
      </c>
      <c r="T457" t="n">
        <v>0</v>
      </c>
      <c r="U457" t="n">
        <v>0</v>
      </c>
      <c r="V457" s="2" t="inlineStr"/>
    </row>
    <row r="458" ht="15" customHeight="1">
      <c r="A458" t="inlineStr">
        <is>
          <t>A 8892-2023</t>
        </is>
      </c>
      <c r="B458" t="inlineStr">
        <is>
          <t>avverkningsanmälan</t>
        </is>
      </c>
      <c r="C458" t="inlineStr">
        <is>
          <t>Föryngringsavverkning</t>
        </is>
      </c>
      <c r="D458" s="1" t="n">
        <v>44979</v>
      </c>
      <c r="E458" s="1" t="n">
        <v>46298</v>
      </c>
      <c r="F458" t="inlineStr">
        <is>
          <t>VÄRMLANDS LÄN</t>
        </is>
      </c>
      <c r="G458" t="inlineStr">
        <is>
          <t>KARLSTAD</t>
        </is>
      </c>
      <c r="H458" t="inlineStr">
        <is>
          <t>Kyrkan</t>
        </is>
      </c>
      <c r="I458" t="n">
        <v>1.7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t="n">
        <v>0</v>
      </c>
      <c r="S458" t="n">
        <v>0</v>
      </c>
      <c r="T458" t="n">
        <v>0</v>
      </c>
      <c r="U458" t="n">
        <v>0</v>
      </c>
      <c r="V458" s="2" t="inlineStr"/>
    </row>
    <row r="459" ht="15" customHeight="1">
      <c r="A459" t="inlineStr">
        <is>
          <t>A 41568-2023</t>
        </is>
      </c>
      <c r="B459" t="inlineStr">
        <is>
          <t>avverkningsanmälan</t>
        </is>
      </c>
      <c r="C459" t="inlineStr">
        <is>
          <t>Föryngringsavverkning</t>
        </is>
      </c>
      <c r="D459" s="1" t="n">
        <v>45175</v>
      </c>
      <c r="E459" s="1" t="n">
        <v>46298</v>
      </c>
      <c r="F459" t="inlineStr">
        <is>
          <t>VÄRMLANDS LÄN</t>
        </is>
      </c>
      <c r="G459" t="inlineStr">
        <is>
          <t>KARLSTAD</t>
        </is>
      </c>
      <c r="H459" t="inlineStr">
        <is>
          <t>Övriga Aktiebolag</t>
        </is>
      </c>
      <c r="I459" t="n">
        <v>1.1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t="n">
        <v>0</v>
      </c>
      <c r="S459" t="n">
        <v>0</v>
      </c>
      <c r="T459" t="n">
        <v>0</v>
      </c>
      <c r="U459" t="n">
        <v>0</v>
      </c>
      <c r="V459" s="2" t="inlineStr"/>
    </row>
    <row r="460" ht="15" customHeight="1">
      <c r="A460" t="inlineStr">
        <is>
          <t>A 4071-2023</t>
        </is>
      </c>
      <c r="B460" t="inlineStr">
        <is>
          <t>avverkningsanmälan</t>
        </is>
      </c>
      <c r="C460" t="inlineStr">
        <is>
          <t>Föryngringsavverkning</t>
        </is>
      </c>
      <c r="D460" s="1" t="n">
        <v>44952</v>
      </c>
      <c r="E460" s="1" t="n">
        <v>46298</v>
      </c>
      <c r="F460" t="inlineStr">
        <is>
          <t>VÄRMLANDS LÄN</t>
        </is>
      </c>
      <c r="G460" t="inlineStr">
        <is>
          <t>KARLSTAD</t>
        </is>
      </c>
      <c r="I460" t="n">
        <v>3.1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t="n">
        <v>0</v>
      </c>
      <c r="S460" t="n">
        <v>0</v>
      </c>
      <c r="T460" t="n">
        <v>0</v>
      </c>
      <c r="U460" t="n">
        <v>0</v>
      </c>
      <c r="V460" s="2" t="inlineStr"/>
    </row>
    <row r="461" ht="15" customHeight="1">
      <c r="A461" t="inlineStr">
        <is>
          <t>A 1120-2026</t>
        </is>
      </c>
      <c r="B461" t="inlineStr">
        <is>
          <t>avverkningsanmälan</t>
        </is>
      </c>
      <c r="C461" t="inlineStr">
        <is>
          <t>Föryngringsavverkning</t>
        </is>
      </c>
      <c r="D461" s="1" t="n">
        <v>46029</v>
      </c>
      <c r="E461" s="1" t="n">
        <v>46298</v>
      </c>
      <c r="F461" t="inlineStr">
        <is>
          <t>VÄRMLANDS LÄN</t>
        </is>
      </c>
      <c r="G461" t="inlineStr">
        <is>
          <t>KARLSTAD</t>
        </is>
      </c>
      <c r="H461" t="inlineStr">
        <is>
          <t>Övriga statliga verk och myndigheter</t>
        </is>
      </c>
      <c r="I461" t="n">
        <v>6.8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t="n">
        <v>0</v>
      </c>
      <c r="S461" t="n">
        <v>0</v>
      </c>
      <c r="T461" t="n">
        <v>0</v>
      </c>
      <c r="U461" t="n">
        <v>0</v>
      </c>
      <c r="V461" s="2" t="inlineStr"/>
    </row>
    <row r="462" ht="15" customHeight="1">
      <c r="A462" t="inlineStr">
        <is>
          <t>A 38495-2024</t>
        </is>
      </c>
      <c r="B462" t="inlineStr">
        <is>
          <t>avverkningsanmälan</t>
        </is>
      </c>
      <c r="C462" t="inlineStr">
        <is>
          <t>Föryngringsavverkning</t>
        </is>
      </c>
      <c r="D462" s="1" t="n">
        <v>45546</v>
      </c>
      <c r="E462" s="1" t="n">
        <v>46298</v>
      </c>
      <c r="F462" t="inlineStr">
        <is>
          <t>VÄRMLANDS LÄN</t>
        </is>
      </c>
      <c r="G462" t="inlineStr">
        <is>
          <t>KARLSTAD</t>
        </is>
      </c>
      <c r="I462" t="n">
        <v>1.9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t="n">
        <v>0</v>
      </c>
      <c r="S462" t="n">
        <v>0</v>
      </c>
      <c r="T462" t="n">
        <v>0</v>
      </c>
      <c r="U462" t="n">
        <v>0</v>
      </c>
      <c r="V462" s="2" t="inlineStr"/>
    </row>
    <row r="463" ht="15" customHeight="1">
      <c r="A463" t="inlineStr">
        <is>
          <t>A 59053-2023</t>
        </is>
      </c>
      <c r="B463" t="inlineStr">
        <is>
          <t>avverkningsanmälan</t>
        </is>
      </c>
      <c r="C463" t="inlineStr">
        <is>
          <t>Föryngringsavverkning</t>
        </is>
      </c>
      <c r="D463" s="1" t="n">
        <v>45252</v>
      </c>
      <c r="E463" s="1" t="n">
        <v>46298</v>
      </c>
      <c r="F463" t="inlineStr">
        <is>
          <t>VÄRMLANDS LÄN</t>
        </is>
      </c>
      <c r="G463" t="inlineStr">
        <is>
          <t>KARLSTAD</t>
        </is>
      </c>
      <c r="I463" t="n">
        <v>21.7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t="n">
        <v>0</v>
      </c>
      <c r="S463" t="n">
        <v>0</v>
      </c>
      <c r="T463" t="n">
        <v>0</v>
      </c>
      <c r="U463" t="n">
        <v>0</v>
      </c>
      <c r="V463" s="2" t="inlineStr"/>
    </row>
    <row r="464" ht="15" customHeight="1">
      <c r="A464" t="inlineStr">
        <is>
          <t>A 5017-2022</t>
        </is>
      </c>
      <c r="B464" t="inlineStr">
        <is>
          <t>avverkningsanmälan</t>
        </is>
      </c>
      <c r="C464" t="inlineStr">
        <is>
          <t>Föryngringsavverkning</t>
        </is>
      </c>
      <c r="D464" s="1" t="n">
        <v>44593</v>
      </c>
      <c r="E464" s="1" t="n">
        <v>46298</v>
      </c>
      <c r="F464" t="inlineStr">
        <is>
          <t>VÄRMLANDS LÄN</t>
        </is>
      </c>
      <c r="G464" t="inlineStr">
        <is>
          <t>KARLSTAD</t>
        </is>
      </c>
      <c r="I464" t="n">
        <v>0.6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t="n">
        <v>0</v>
      </c>
      <c r="S464" t="n">
        <v>0</v>
      </c>
      <c r="T464" t="n">
        <v>0</v>
      </c>
      <c r="U464" t="n">
        <v>0</v>
      </c>
      <c r="V464" s="2" t="inlineStr"/>
    </row>
    <row r="465" ht="15" customHeight="1">
      <c r="A465" t="inlineStr">
        <is>
          <t>A 2984-2023</t>
        </is>
      </c>
      <c r="B465" t="inlineStr">
        <is>
          <t>avverkningsanmälan</t>
        </is>
      </c>
      <c r="C465" t="inlineStr">
        <is>
          <t>Föryngringsavverkning</t>
        </is>
      </c>
      <c r="D465" s="1" t="n">
        <v>44945</v>
      </c>
      <c r="E465" s="1" t="n">
        <v>46298</v>
      </c>
      <c r="F465" t="inlineStr">
        <is>
          <t>VÄRMLANDS LÄN</t>
        </is>
      </c>
      <c r="G465" t="inlineStr">
        <is>
          <t>KARLSTAD</t>
        </is>
      </c>
      <c r="I465" t="n">
        <v>1.7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t="n">
        <v>0</v>
      </c>
      <c r="S465" t="n">
        <v>0</v>
      </c>
      <c r="T465" t="n">
        <v>0</v>
      </c>
      <c r="U465" t="n">
        <v>0</v>
      </c>
      <c r="V465" s="2" t="inlineStr"/>
    </row>
    <row r="466" ht="15" customHeight="1">
      <c r="A466" t="inlineStr">
        <is>
          <t>A 59626-2021</t>
        </is>
      </c>
      <c r="B466" t="inlineStr">
        <is>
          <t>avverkningsanmälan</t>
        </is>
      </c>
      <c r="C466" t="inlineStr">
        <is>
          <t>Föryngringsavverkning</t>
        </is>
      </c>
      <c r="D466" s="1" t="n">
        <v>44491</v>
      </c>
      <c r="E466" s="1" t="n">
        <v>46298</v>
      </c>
      <c r="F466" t="inlineStr">
        <is>
          <t>VÄRMLANDS LÄN</t>
        </is>
      </c>
      <c r="G466" t="inlineStr">
        <is>
          <t>KARLSTAD</t>
        </is>
      </c>
      <c r="I466" t="n">
        <v>1.9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t="n">
        <v>0</v>
      </c>
      <c r="S466" t="n">
        <v>0</v>
      </c>
      <c r="T466" t="n">
        <v>0</v>
      </c>
      <c r="U466" t="n">
        <v>0</v>
      </c>
      <c r="V466" s="2" t="inlineStr"/>
    </row>
    <row r="467" ht="15" customHeight="1">
      <c r="A467" t="inlineStr">
        <is>
          <t>A 17364-2023</t>
        </is>
      </c>
      <c r="B467" t="inlineStr">
        <is>
          <t>avverkningsanmälan</t>
        </is>
      </c>
      <c r="C467" t="inlineStr">
        <is>
          <t>Föryngringsavverkning</t>
        </is>
      </c>
      <c r="D467" s="1" t="n">
        <v>45035</v>
      </c>
      <c r="E467" s="1" t="n">
        <v>46298</v>
      </c>
      <c r="F467" t="inlineStr">
        <is>
          <t>VÄRMLANDS LÄN</t>
        </is>
      </c>
      <c r="G467" t="inlineStr">
        <is>
          <t>KARLSTAD</t>
        </is>
      </c>
      <c r="H467" t="inlineStr">
        <is>
          <t>Kommuner</t>
        </is>
      </c>
      <c r="I467" t="n">
        <v>0.4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t="n">
        <v>0</v>
      </c>
      <c r="S467" t="n">
        <v>0</v>
      </c>
      <c r="T467" t="n">
        <v>0</v>
      </c>
      <c r="U467" t="n">
        <v>0</v>
      </c>
      <c r="V467" s="2" t="inlineStr"/>
    </row>
    <row r="468" ht="15" customHeight="1">
      <c r="A468" t="inlineStr">
        <is>
          <t>A 10931-2025</t>
        </is>
      </c>
      <c r="B468" t="inlineStr">
        <is>
          <t>avverkningsanmälan</t>
        </is>
      </c>
      <c r="C468" t="inlineStr">
        <is>
          <t>Föryngringsavverkning</t>
        </is>
      </c>
      <c r="D468" s="1" t="n">
        <v>45723</v>
      </c>
      <c r="E468" s="1" t="n">
        <v>46298</v>
      </c>
      <c r="F468" t="inlineStr">
        <is>
          <t>VÄRMLANDS LÄN</t>
        </is>
      </c>
      <c r="G468" t="inlineStr">
        <is>
          <t>KARLSTAD</t>
        </is>
      </c>
      <c r="I468" t="n">
        <v>0.3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t="n">
        <v>0</v>
      </c>
      <c r="S468" t="n">
        <v>0</v>
      </c>
      <c r="T468" t="n">
        <v>0</v>
      </c>
      <c r="U468" t="n">
        <v>0</v>
      </c>
      <c r="V468" s="2" t="inlineStr"/>
    </row>
    <row r="469" ht="15" customHeight="1">
      <c r="A469" t="inlineStr">
        <is>
          <t>A 61102-2023</t>
        </is>
      </c>
      <c r="B469" t="inlineStr">
        <is>
          <t>avverkningsanmälan</t>
        </is>
      </c>
      <c r="C469" t="inlineStr">
        <is>
          <t>Föryngringsavverkning</t>
        </is>
      </c>
      <c r="D469" s="1" t="n">
        <v>45260</v>
      </c>
      <c r="E469" s="1" t="n">
        <v>46298</v>
      </c>
      <c r="F469" t="inlineStr">
        <is>
          <t>VÄRMLANDS LÄN</t>
        </is>
      </c>
      <c r="G469" t="inlineStr">
        <is>
          <t>KARLSTAD</t>
        </is>
      </c>
      <c r="I469" t="n">
        <v>1.8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t="n">
        <v>0</v>
      </c>
      <c r="S469" t="n">
        <v>0</v>
      </c>
      <c r="T469" t="n">
        <v>0</v>
      </c>
      <c r="U469" t="n">
        <v>0</v>
      </c>
      <c r="V469" s="2" t="inlineStr"/>
    </row>
    <row r="470" ht="15" customHeight="1">
      <c r="A470" t="inlineStr">
        <is>
          <t>A 51088-2023</t>
        </is>
      </c>
      <c r="B470" t="inlineStr">
        <is>
          <t>avverkningsanmälan</t>
        </is>
      </c>
      <c r="C470" t="inlineStr">
        <is>
          <t>Föryngringsavverkning</t>
        </is>
      </c>
      <c r="D470" s="1" t="n">
        <v>45218</v>
      </c>
      <c r="E470" s="1" t="n">
        <v>46298</v>
      </c>
      <c r="F470" t="inlineStr">
        <is>
          <t>VÄRMLANDS LÄN</t>
        </is>
      </c>
      <c r="G470" t="inlineStr">
        <is>
          <t>KARLSTAD</t>
        </is>
      </c>
      <c r="I470" t="n">
        <v>9.800000000000001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t="n">
        <v>0</v>
      </c>
      <c r="S470" t="n">
        <v>0</v>
      </c>
      <c r="T470" t="n">
        <v>0</v>
      </c>
      <c r="U470" t="n">
        <v>0</v>
      </c>
      <c r="V470" s="2" t="inlineStr"/>
    </row>
    <row r="471" ht="15" customHeight="1">
      <c r="A471" t="inlineStr">
        <is>
          <t>A 36720-2026</t>
        </is>
      </c>
      <c r="B471" t="inlineStr">
        <is>
          <t>avverkningsanmälan</t>
        </is>
      </c>
      <c r="C471" t="inlineStr">
        <is>
          <t>Föryngringsavverkning</t>
        </is>
      </c>
      <c r="D471" s="1" t="n">
        <v>46272</v>
      </c>
      <c r="E471" s="1" t="n">
        <v>46298</v>
      </c>
      <c r="F471" t="inlineStr">
        <is>
          <t>VÄRMLANDS LÄN</t>
        </is>
      </c>
      <c r="G471" t="inlineStr">
        <is>
          <t>KARLSTAD</t>
        </is>
      </c>
      <c r="H471" t="inlineStr">
        <is>
          <t>Bergvik skog väst AB</t>
        </is>
      </c>
      <c r="I471" t="n">
        <v>3.5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t="n">
        <v>0</v>
      </c>
      <c r="S471" t="n">
        <v>0</v>
      </c>
      <c r="T471" t="n">
        <v>0</v>
      </c>
      <c r="U471" t="n">
        <v>0</v>
      </c>
      <c r="V471" s="2" t="inlineStr"/>
    </row>
    <row r="472" ht="15" customHeight="1">
      <c r="A472" t="inlineStr">
        <is>
          <t>A 5535-2022</t>
        </is>
      </c>
      <c r="B472" t="inlineStr">
        <is>
          <t>avverkningsanmälan</t>
        </is>
      </c>
      <c r="C472" t="inlineStr">
        <is>
          <t>Föryngringsavverkning</t>
        </is>
      </c>
      <c r="D472" s="1" t="n">
        <v>44595</v>
      </c>
      <c r="E472" s="1" t="n">
        <v>46298</v>
      </c>
      <c r="F472" t="inlineStr">
        <is>
          <t>VÄRMLANDS LÄN</t>
        </is>
      </c>
      <c r="G472" t="inlineStr">
        <is>
          <t>KARLSTAD</t>
        </is>
      </c>
      <c r="I472" t="n">
        <v>5.3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t="n">
        <v>0</v>
      </c>
      <c r="S472" t="n">
        <v>0</v>
      </c>
      <c r="T472" t="n">
        <v>0</v>
      </c>
      <c r="U472" t="n">
        <v>0</v>
      </c>
      <c r="V472" s="2" t="inlineStr"/>
    </row>
    <row r="473" ht="15" customHeight="1">
      <c r="A473" t="inlineStr">
        <is>
          <t>A 36620-2026</t>
        </is>
      </c>
      <c r="B473" t="inlineStr">
        <is>
          <t>avverkningsanmälan</t>
        </is>
      </c>
      <c r="C473" t="inlineStr">
        <is>
          <t>Föryngringsavverkning</t>
        </is>
      </c>
      <c r="D473" s="1" t="n">
        <v>46270</v>
      </c>
      <c r="E473" s="1" t="n">
        <v>46298</v>
      </c>
      <c r="F473" t="inlineStr">
        <is>
          <t>VÄRMLANDS LÄN</t>
        </is>
      </c>
      <c r="G473" t="inlineStr">
        <is>
          <t>KARLSTAD</t>
        </is>
      </c>
      <c r="I473" t="n">
        <v>0.6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t="n">
        <v>0</v>
      </c>
      <c r="S473" t="n">
        <v>0</v>
      </c>
      <c r="T473" t="n">
        <v>0</v>
      </c>
      <c r="U473" t="n">
        <v>0</v>
      </c>
      <c r="V473" s="2" t="inlineStr"/>
    </row>
    <row r="474" ht="15" customHeight="1">
      <c r="A474" t="inlineStr">
        <is>
          <t>A 36621-2026</t>
        </is>
      </c>
      <c r="B474" t="inlineStr">
        <is>
          <t>avverkningsanmälan</t>
        </is>
      </c>
      <c r="C474" t="inlineStr">
        <is>
          <t>Föryngringsavverkning</t>
        </is>
      </c>
      <c r="D474" s="1" t="n">
        <v>46270</v>
      </c>
      <c r="E474" s="1" t="n">
        <v>46298</v>
      </c>
      <c r="F474" t="inlineStr">
        <is>
          <t>VÄRMLANDS LÄN</t>
        </is>
      </c>
      <c r="G474" t="inlineStr">
        <is>
          <t>KARLSTAD</t>
        </is>
      </c>
      <c r="I474" t="n">
        <v>1.9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t="n">
        <v>0</v>
      </c>
      <c r="S474" t="n">
        <v>0</v>
      </c>
      <c r="T474" t="n">
        <v>0</v>
      </c>
      <c r="U474" t="n">
        <v>0</v>
      </c>
      <c r="V474" s="2" t="inlineStr"/>
    </row>
    <row r="475" ht="15" customHeight="1">
      <c r="A475" t="inlineStr">
        <is>
          <t>A 13745-2022</t>
        </is>
      </c>
      <c r="B475" t="inlineStr">
        <is>
          <t>avverkningsanmälan</t>
        </is>
      </c>
      <c r="C475" t="inlineStr">
        <is>
          <t>Föryngringsavverkning</t>
        </is>
      </c>
      <c r="D475" s="1" t="n">
        <v>44649</v>
      </c>
      <c r="E475" s="1" t="n">
        <v>46298</v>
      </c>
      <c r="F475" t="inlineStr">
        <is>
          <t>VÄRMLANDS LÄN</t>
        </is>
      </c>
      <c r="G475" t="inlineStr">
        <is>
          <t>KARLSTAD</t>
        </is>
      </c>
      <c r="H475" t="inlineStr">
        <is>
          <t>Bergvik skog väst AB</t>
        </is>
      </c>
      <c r="I475" t="n">
        <v>20.8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t="n">
        <v>0</v>
      </c>
      <c r="S475" t="n">
        <v>0</v>
      </c>
      <c r="T475" t="n">
        <v>0</v>
      </c>
      <c r="U475" t="n">
        <v>0</v>
      </c>
      <c r="V475" s="2" t="inlineStr"/>
    </row>
    <row r="476" ht="15" customHeight="1">
      <c r="A476" t="inlineStr">
        <is>
          <t>A 43601-2025</t>
        </is>
      </c>
      <c r="B476" t="inlineStr">
        <is>
          <t>avverkningsanmälan</t>
        </is>
      </c>
      <c r="C476" t="inlineStr">
        <is>
          <t>Föryngringsavverkning</t>
        </is>
      </c>
      <c r="D476" s="1" t="n">
        <v>45911</v>
      </c>
      <c r="E476" s="1" t="n">
        <v>46298</v>
      </c>
      <c r="F476" t="inlineStr">
        <is>
          <t>VÄRMLANDS LÄN</t>
        </is>
      </c>
      <c r="G476" t="inlineStr">
        <is>
          <t>KARLSTAD</t>
        </is>
      </c>
      <c r="I476" t="n">
        <v>1.5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t="n">
        <v>0</v>
      </c>
      <c r="S476" t="n">
        <v>0</v>
      </c>
      <c r="T476" t="n">
        <v>0</v>
      </c>
      <c r="U476" t="n">
        <v>0</v>
      </c>
      <c r="V476" s="2" t="inlineStr"/>
    </row>
    <row r="477" ht="15" customHeight="1">
      <c r="A477" t="inlineStr">
        <is>
          <t>A 46019-2023</t>
        </is>
      </c>
      <c r="B477" t="inlineStr">
        <is>
          <t>avverkningsanmälan</t>
        </is>
      </c>
      <c r="C477" t="inlineStr">
        <is>
          <t>Föryngringsavverkning</t>
        </is>
      </c>
      <c r="D477" s="1" t="n">
        <v>45196</v>
      </c>
      <c r="E477" s="1" t="n">
        <v>46298</v>
      </c>
      <c r="F477" t="inlineStr">
        <is>
          <t>VÄRMLANDS LÄN</t>
        </is>
      </c>
      <c r="G477" t="inlineStr">
        <is>
          <t>KARLSTAD</t>
        </is>
      </c>
      <c r="I477" t="n">
        <v>1.4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t="n">
        <v>0</v>
      </c>
      <c r="S477" t="n">
        <v>0</v>
      </c>
      <c r="T477" t="n">
        <v>0</v>
      </c>
      <c r="U477" t="n">
        <v>0</v>
      </c>
      <c r="V477" s="2" t="inlineStr"/>
    </row>
    <row r="478" ht="15" customHeight="1">
      <c r="A478" t="inlineStr">
        <is>
          <t>A 57607-2024</t>
        </is>
      </c>
      <c r="B478" t="inlineStr">
        <is>
          <t>avverkningsanmälan</t>
        </is>
      </c>
      <c r="C478" t="inlineStr">
        <is>
          <t>Föryngringsavverkning</t>
        </is>
      </c>
      <c r="D478" s="1" t="n">
        <v>45630</v>
      </c>
      <c r="E478" s="1" t="n">
        <v>46298</v>
      </c>
      <c r="F478" t="inlineStr">
        <is>
          <t>VÄRMLANDS LÄN</t>
        </is>
      </c>
      <c r="G478" t="inlineStr">
        <is>
          <t>KARLSTAD</t>
        </is>
      </c>
      <c r="I478" t="n">
        <v>1.4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t="n">
        <v>0</v>
      </c>
      <c r="S478" t="n">
        <v>0</v>
      </c>
      <c r="T478" t="n">
        <v>0</v>
      </c>
      <c r="U478" t="n">
        <v>0</v>
      </c>
      <c r="V478" s="2" t="inlineStr"/>
    </row>
    <row r="479" ht="15" customHeight="1">
      <c r="A479" t="inlineStr">
        <is>
          <t>A 38090-2026</t>
        </is>
      </c>
      <c r="B479" t="inlineStr">
        <is>
          <t>avverkningsanmälan</t>
        </is>
      </c>
      <c r="C479" t="inlineStr">
        <is>
          <t>Föryngringsavverkning</t>
        </is>
      </c>
      <c r="D479" s="1" t="n">
        <v>46281</v>
      </c>
      <c r="E479" s="1" t="n">
        <v>46298</v>
      </c>
      <c r="F479" t="inlineStr">
        <is>
          <t>VÄRMLANDS LÄN</t>
        </is>
      </c>
      <c r="G479" t="inlineStr">
        <is>
          <t>KARLSTAD</t>
        </is>
      </c>
      <c r="I479" t="n">
        <v>2.1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t="n">
        <v>0</v>
      </c>
      <c r="S479" t="n">
        <v>0</v>
      </c>
      <c r="T479" t="n">
        <v>0</v>
      </c>
      <c r="U479" t="n">
        <v>0</v>
      </c>
      <c r="V479" s="2" t="inlineStr"/>
    </row>
    <row r="480" ht="15" customHeight="1">
      <c r="A480" t="inlineStr">
        <is>
          <t>A 8212-2025</t>
        </is>
      </c>
      <c r="B480" t="inlineStr">
        <is>
          <t>avverkningsanmälan</t>
        </is>
      </c>
      <c r="C480" t="inlineStr">
        <is>
          <t>Föryngringsavverkning</t>
        </is>
      </c>
      <c r="D480" s="1" t="n">
        <v>45707</v>
      </c>
      <c r="E480" s="1" t="n">
        <v>46298</v>
      </c>
      <c r="F480" t="inlineStr">
        <is>
          <t>VÄRMLANDS LÄN</t>
        </is>
      </c>
      <c r="G480" t="inlineStr">
        <is>
          <t>KARLSTAD</t>
        </is>
      </c>
      <c r="I480" t="n">
        <v>1.3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t="n">
        <v>0</v>
      </c>
      <c r="S480" t="n">
        <v>0</v>
      </c>
      <c r="T480" t="n">
        <v>0</v>
      </c>
      <c r="U480" t="n">
        <v>0</v>
      </c>
      <c r="V480" s="2" t="inlineStr"/>
    </row>
    <row r="481" ht="15" customHeight="1">
      <c r="A481" t="inlineStr">
        <is>
          <t>A 23114-2024</t>
        </is>
      </c>
      <c r="B481" t="inlineStr">
        <is>
          <t>avverkningsanmälan</t>
        </is>
      </c>
      <c r="C481" t="inlineStr">
        <is>
          <t>Föryngringsavverkning</t>
        </is>
      </c>
      <c r="D481" s="1" t="n">
        <v>45450</v>
      </c>
      <c r="E481" s="1" t="n">
        <v>46298</v>
      </c>
      <c r="F481" t="inlineStr">
        <is>
          <t>VÄRMLANDS LÄN</t>
        </is>
      </c>
      <c r="G481" t="inlineStr">
        <is>
          <t>KARLSTAD</t>
        </is>
      </c>
      <c r="I481" t="n">
        <v>10.7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t="n">
        <v>0</v>
      </c>
      <c r="S481" t="n">
        <v>0</v>
      </c>
      <c r="T481" t="n">
        <v>0</v>
      </c>
      <c r="U481" t="n">
        <v>0</v>
      </c>
      <c r="V481" s="2" t="inlineStr"/>
    </row>
    <row r="482" ht="15" customHeight="1">
      <c r="A482" t="inlineStr">
        <is>
          <t>A 11053-2024</t>
        </is>
      </c>
      <c r="B482" t="inlineStr">
        <is>
          <t>avverkningsanmälan</t>
        </is>
      </c>
      <c r="C482" t="inlineStr">
        <is>
          <t>Föryngringsavverkning</t>
        </is>
      </c>
      <c r="D482" s="1" t="n">
        <v>45370</v>
      </c>
      <c r="E482" s="1" t="n">
        <v>46298</v>
      </c>
      <c r="F482" t="inlineStr">
        <is>
          <t>VÄRMLANDS LÄN</t>
        </is>
      </c>
      <c r="G482" t="inlineStr">
        <is>
          <t>KARLSTAD</t>
        </is>
      </c>
      <c r="I482" t="n">
        <v>1.8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t="n">
        <v>0</v>
      </c>
      <c r="S482" t="n">
        <v>0</v>
      </c>
      <c r="T482" t="n">
        <v>0</v>
      </c>
      <c r="U482" t="n">
        <v>0</v>
      </c>
      <c r="V482" s="2" t="inlineStr"/>
    </row>
    <row r="483" ht="15" customHeight="1">
      <c r="A483" t="inlineStr">
        <is>
          <t>A 60025-2023</t>
        </is>
      </c>
      <c r="B483" t="inlineStr">
        <is>
          <t>avverkningsanmälan</t>
        </is>
      </c>
      <c r="C483" t="inlineStr">
        <is>
          <t>Föryngringsavverkning</t>
        </is>
      </c>
      <c r="D483" s="1" t="n">
        <v>45258</v>
      </c>
      <c r="E483" s="1" t="n">
        <v>46298</v>
      </c>
      <c r="F483" t="inlineStr">
        <is>
          <t>VÄRMLANDS LÄN</t>
        </is>
      </c>
      <c r="G483" t="inlineStr">
        <is>
          <t>KARLSTAD</t>
        </is>
      </c>
      <c r="I483" t="n">
        <v>0.8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t="n">
        <v>0</v>
      </c>
      <c r="S483" t="n">
        <v>0</v>
      </c>
      <c r="T483" t="n">
        <v>0</v>
      </c>
      <c r="U483" t="n">
        <v>0</v>
      </c>
      <c r="V483" s="2" t="inlineStr"/>
    </row>
    <row r="484" ht="15" customHeight="1">
      <c r="A484" t="inlineStr">
        <is>
          <t>A 10511-2024</t>
        </is>
      </c>
      <c r="B484" t="inlineStr">
        <is>
          <t>avverkningsanmälan</t>
        </is>
      </c>
      <c r="C484" t="inlineStr">
        <is>
          <t>Föryngringsavverkning</t>
        </is>
      </c>
      <c r="D484" s="1" t="n">
        <v>45366</v>
      </c>
      <c r="E484" s="1" t="n">
        <v>46298</v>
      </c>
      <c r="F484" t="inlineStr">
        <is>
          <t>VÄRMLANDS LÄN</t>
        </is>
      </c>
      <c r="G484" t="inlineStr">
        <is>
          <t>KARLSTAD</t>
        </is>
      </c>
      <c r="I484" t="n">
        <v>0.5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t="n">
        <v>0</v>
      </c>
      <c r="S484" t="n">
        <v>0</v>
      </c>
      <c r="T484" t="n">
        <v>0</v>
      </c>
      <c r="U484" t="n">
        <v>0</v>
      </c>
      <c r="V484" s="2" t="inlineStr"/>
    </row>
    <row r="485" ht="15" customHeight="1">
      <c r="A485" t="inlineStr">
        <is>
          <t>A 474-2022</t>
        </is>
      </c>
      <c r="B485" t="inlineStr">
        <is>
          <t>avverkningsanmälan</t>
        </is>
      </c>
      <c r="C485" t="inlineStr">
        <is>
          <t>Föryngringsavverkning</t>
        </is>
      </c>
      <c r="D485" s="1" t="n">
        <v>44566</v>
      </c>
      <c r="E485" s="1" t="n">
        <v>46298</v>
      </c>
      <c r="F485" t="inlineStr">
        <is>
          <t>VÄRMLANDS LÄN</t>
        </is>
      </c>
      <c r="G485" t="inlineStr">
        <is>
          <t>KARLSTAD</t>
        </is>
      </c>
      <c r="I485" t="n">
        <v>2.3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t="n">
        <v>0</v>
      </c>
      <c r="S485" t="n">
        <v>0</v>
      </c>
      <c r="T485" t="n">
        <v>0</v>
      </c>
      <c r="U485" t="n">
        <v>0</v>
      </c>
      <c r="V485" s="2" t="inlineStr"/>
    </row>
    <row r="486" ht="15" customHeight="1">
      <c r="A486" t="inlineStr">
        <is>
          <t>A 28056-2023</t>
        </is>
      </c>
      <c r="B486" t="inlineStr">
        <is>
          <t>avverkningsanmälan</t>
        </is>
      </c>
      <c r="C486" t="inlineStr">
        <is>
          <t>Föryngringsavverkning</t>
        </is>
      </c>
      <c r="D486" s="1" t="n">
        <v>45099</v>
      </c>
      <c r="E486" s="1" t="n">
        <v>46298</v>
      </c>
      <c r="F486" t="inlineStr">
        <is>
          <t>VÄRMLANDS LÄN</t>
        </is>
      </c>
      <c r="G486" t="inlineStr">
        <is>
          <t>KARLSTAD</t>
        </is>
      </c>
      <c r="I486" t="n">
        <v>9.1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t="n">
        <v>0</v>
      </c>
      <c r="S486" t="n">
        <v>0</v>
      </c>
      <c r="T486" t="n">
        <v>0</v>
      </c>
      <c r="U486" t="n">
        <v>0</v>
      </c>
      <c r="V486" s="2" t="inlineStr"/>
    </row>
    <row r="487" ht="15" customHeight="1">
      <c r="A487" t="inlineStr">
        <is>
          <t>A 39958-2023</t>
        </is>
      </c>
      <c r="B487" t="inlineStr">
        <is>
          <t>avverkningsanmälan</t>
        </is>
      </c>
      <c r="C487" t="inlineStr">
        <is>
          <t>Föryngringsavverkning</t>
        </is>
      </c>
      <c r="D487" s="1" t="n">
        <v>45168</v>
      </c>
      <c r="E487" s="1" t="n">
        <v>46298</v>
      </c>
      <c r="F487" t="inlineStr">
        <is>
          <t>VÄRMLANDS LÄN</t>
        </is>
      </c>
      <c r="G487" t="inlineStr">
        <is>
          <t>KARLSTAD</t>
        </is>
      </c>
      <c r="I487" t="n">
        <v>1.5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t="n">
        <v>0</v>
      </c>
      <c r="S487" t="n">
        <v>0</v>
      </c>
      <c r="T487" t="n">
        <v>0</v>
      </c>
      <c r="U487" t="n">
        <v>0</v>
      </c>
      <c r="V487" s="2" t="inlineStr"/>
    </row>
    <row r="488" ht="15" customHeight="1">
      <c r="A488" t="inlineStr">
        <is>
          <t>A 45757-2022</t>
        </is>
      </c>
      <c r="B488" t="inlineStr">
        <is>
          <t>avverkningsanmälan</t>
        </is>
      </c>
      <c r="C488" t="inlineStr">
        <is>
          <t>Föryngringsavverkning</t>
        </is>
      </c>
      <c r="D488" s="1" t="n">
        <v>44846</v>
      </c>
      <c r="E488" s="1" t="n">
        <v>46298</v>
      </c>
      <c r="F488" t="inlineStr">
        <is>
          <t>VÄRMLANDS LÄN</t>
        </is>
      </c>
      <c r="G488" t="inlineStr">
        <is>
          <t>KARLSTAD</t>
        </is>
      </c>
      <c r="I488" t="n">
        <v>4.4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t="n">
        <v>0</v>
      </c>
      <c r="S488" t="n">
        <v>0</v>
      </c>
      <c r="T488" t="n">
        <v>0</v>
      </c>
      <c r="U488" t="n">
        <v>0</v>
      </c>
      <c r="V488" s="2" t="inlineStr"/>
    </row>
    <row r="489" ht="15" customHeight="1">
      <c r="A489" t="inlineStr">
        <is>
          <t>A 25799-2022</t>
        </is>
      </c>
      <c r="B489" t="inlineStr">
        <is>
          <t>avverkningsanmälan</t>
        </is>
      </c>
      <c r="C489" t="inlineStr">
        <is>
          <t>Föryngringsavverkning</t>
        </is>
      </c>
      <c r="D489" s="1" t="n">
        <v>44708</v>
      </c>
      <c r="E489" s="1" t="n">
        <v>46298</v>
      </c>
      <c r="F489" t="inlineStr">
        <is>
          <t>VÄRMLANDS LÄN</t>
        </is>
      </c>
      <c r="G489" t="inlineStr">
        <is>
          <t>KARLSTAD</t>
        </is>
      </c>
      <c r="I489" t="n">
        <v>1.5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t="n">
        <v>0</v>
      </c>
      <c r="S489" t="n">
        <v>0</v>
      </c>
      <c r="T489" t="n">
        <v>0</v>
      </c>
      <c r="U489" t="n">
        <v>0</v>
      </c>
      <c r="V489" s="2" t="inlineStr"/>
    </row>
    <row r="490" ht="15" customHeight="1">
      <c r="A490" t="inlineStr">
        <is>
          <t>A 10284-2023</t>
        </is>
      </c>
      <c r="B490" t="inlineStr">
        <is>
          <t>avverkningsanmälan</t>
        </is>
      </c>
      <c r="C490" t="inlineStr">
        <is>
          <t>Föryngringsavverkning</t>
        </is>
      </c>
      <c r="D490" s="1" t="n">
        <v>44986</v>
      </c>
      <c r="E490" s="1" t="n">
        <v>46298</v>
      </c>
      <c r="F490" t="inlineStr">
        <is>
          <t>VÄRMLANDS LÄN</t>
        </is>
      </c>
      <c r="G490" t="inlineStr">
        <is>
          <t>KARLSTAD</t>
        </is>
      </c>
      <c r="H490" t="inlineStr">
        <is>
          <t>Kommuner</t>
        </is>
      </c>
      <c r="I490" t="n">
        <v>0.9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t="n">
        <v>0</v>
      </c>
      <c r="S490" t="n">
        <v>0</v>
      </c>
      <c r="T490" t="n">
        <v>0</v>
      </c>
      <c r="U490" t="n">
        <v>0</v>
      </c>
      <c r="V490" s="2" t="inlineStr"/>
    </row>
    <row r="491" ht="15" customHeight="1">
      <c r="A491" t="inlineStr">
        <is>
          <t>A 42465-2024</t>
        </is>
      </c>
      <c r="B491" t="inlineStr">
        <is>
          <t>avverkningsanmälan</t>
        </is>
      </c>
      <c r="C491" t="inlineStr">
        <is>
          <t>Föryngringsavverkning</t>
        </is>
      </c>
      <c r="D491" s="1" t="n">
        <v>45565</v>
      </c>
      <c r="E491" s="1" t="n">
        <v>46298</v>
      </c>
      <c r="F491" t="inlineStr">
        <is>
          <t>VÄRMLANDS LÄN</t>
        </is>
      </c>
      <c r="G491" t="inlineStr">
        <is>
          <t>KARLSTAD</t>
        </is>
      </c>
      <c r="I491" t="n">
        <v>0.7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t="n">
        <v>0</v>
      </c>
      <c r="S491" t="n">
        <v>0</v>
      </c>
      <c r="T491" t="n">
        <v>0</v>
      </c>
      <c r="U491" t="n">
        <v>0</v>
      </c>
      <c r="V491" s="2" t="inlineStr"/>
    </row>
    <row r="492" ht="15" customHeight="1">
      <c r="A492" t="inlineStr">
        <is>
          <t>A 14320-2023</t>
        </is>
      </c>
      <c r="B492" t="inlineStr">
        <is>
          <t>avverkningsanmälan</t>
        </is>
      </c>
      <c r="C492" t="inlineStr">
        <is>
          <t>Föryngringsavverkning</t>
        </is>
      </c>
      <c r="D492" s="1" t="n">
        <v>45012</v>
      </c>
      <c r="E492" s="1" t="n">
        <v>46298</v>
      </c>
      <c r="F492" t="inlineStr">
        <is>
          <t>VÄRMLANDS LÄN</t>
        </is>
      </c>
      <c r="G492" t="inlineStr">
        <is>
          <t>KARLSTAD</t>
        </is>
      </c>
      <c r="I492" t="n">
        <v>1.1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t="n">
        <v>0</v>
      </c>
      <c r="S492" t="n">
        <v>0</v>
      </c>
      <c r="T492" t="n">
        <v>0</v>
      </c>
      <c r="U492" t="n">
        <v>0</v>
      </c>
      <c r="V492" s="2" t="inlineStr"/>
    </row>
    <row r="493" ht="15" customHeight="1">
      <c r="A493" t="inlineStr">
        <is>
          <t>A 51663-2023</t>
        </is>
      </c>
      <c r="B493" t="inlineStr">
        <is>
          <t>avverkningsanmälan</t>
        </is>
      </c>
      <c r="C493" t="inlineStr">
        <is>
          <t>Föryngringsavverkning</t>
        </is>
      </c>
      <c r="D493" s="1" t="n">
        <v>45222</v>
      </c>
      <c r="E493" s="1" t="n">
        <v>46298</v>
      </c>
      <c r="F493" t="inlineStr">
        <is>
          <t>VÄRMLANDS LÄN</t>
        </is>
      </c>
      <c r="G493" t="inlineStr">
        <is>
          <t>KARLSTAD</t>
        </is>
      </c>
      <c r="I493" t="n">
        <v>4.9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t="n">
        <v>0</v>
      </c>
      <c r="S493" t="n">
        <v>0</v>
      </c>
      <c r="T493" t="n">
        <v>0</v>
      </c>
      <c r="U493" t="n">
        <v>0</v>
      </c>
      <c r="V493" s="2" t="inlineStr"/>
    </row>
    <row r="494" ht="15" customHeight="1">
      <c r="A494" t="inlineStr">
        <is>
          <t>A 69008-2021</t>
        </is>
      </c>
      <c r="B494" t="inlineStr">
        <is>
          <t>avverkningsanmälan</t>
        </is>
      </c>
      <c r="C494" t="inlineStr">
        <is>
          <t>Föryngringsavverkning</t>
        </is>
      </c>
      <c r="D494" s="1" t="n">
        <v>44530</v>
      </c>
      <c r="E494" s="1" t="n">
        <v>46298</v>
      </c>
      <c r="F494" t="inlineStr">
        <is>
          <t>VÄRMLANDS LÄN</t>
        </is>
      </c>
      <c r="G494" t="inlineStr">
        <is>
          <t>KARLSTAD</t>
        </is>
      </c>
      <c r="I494" t="n">
        <v>6.2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t="n">
        <v>0</v>
      </c>
      <c r="S494" t="n">
        <v>0</v>
      </c>
      <c r="T494" t="n">
        <v>0</v>
      </c>
      <c r="U494" t="n">
        <v>0</v>
      </c>
      <c r="V494" s="2" t="inlineStr"/>
    </row>
    <row r="495" ht="15" customHeight="1">
      <c r="A495" t="inlineStr">
        <is>
          <t>A 38933-2023</t>
        </is>
      </c>
      <c r="B495" t="inlineStr">
        <is>
          <t>avverkningsanmälan</t>
        </is>
      </c>
      <c r="C495" t="inlineStr">
        <is>
          <t>Föryngringsavverkning</t>
        </is>
      </c>
      <c r="D495" s="1" t="n">
        <v>45163</v>
      </c>
      <c r="E495" s="1" t="n">
        <v>46298</v>
      </c>
      <c r="F495" t="inlineStr">
        <is>
          <t>VÄRMLANDS LÄN</t>
        </is>
      </c>
      <c r="G495" t="inlineStr">
        <is>
          <t>KARLSTAD</t>
        </is>
      </c>
      <c r="I495" t="n">
        <v>1.2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t="n">
        <v>0</v>
      </c>
      <c r="S495" t="n">
        <v>0</v>
      </c>
      <c r="T495" t="n">
        <v>0</v>
      </c>
      <c r="U495" t="n">
        <v>0</v>
      </c>
      <c r="V495" s="2" t="inlineStr"/>
    </row>
    <row r="496" ht="15" customHeight="1">
      <c r="A496" t="inlineStr">
        <is>
          <t>A 22798-2022</t>
        </is>
      </c>
      <c r="B496" t="inlineStr">
        <is>
          <t>avverkningsanmälan</t>
        </is>
      </c>
      <c r="C496" t="inlineStr">
        <is>
          <t>Föryngringsavverkning</t>
        </is>
      </c>
      <c r="D496" s="1" t="n">
        <v>44715</v>
      </c>
      <c r="E496" s="1" t="n">
        <v>46298</v>
      </c>
      <c r="F496" t="inlineStr">
        <is>
          <t>VÄRMLANDS LÄN</t>
        </is>
      </c>
      <c r="G496" t="inlineStr">
        <is>
          <t>KARLSTAD</t>
        </is>
      </c>
      <c r="I496" t="n">
        <v>7.2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t="n">
        <v>0</v>
      </c>
      <c r="S496" t="n">
        <v>0</v>
      </c>
      <c r="T496" t="n">
        <v>0</v>
      </c>
      <c r="U496" t="n">
        <v>0</v>
      </c>
      <c r="V496" s="2" t="inlineStr"/>
    </row>
    <row r="497" ht="15" customHeight="1">
      <c r="A497" t="inlineStr">
        <is>
          <t>A 38883-2023</t>
        </is>
      </c>
      <c r="B497" t="inlineStr">
        <is>
          <t>avverkningsanmälan</t>
        </is>
      </c>
      <c r="C497" t="inlineStr">
        <is>
          <t>Föryngringsavverkning</t>
        </is>
      </c>
      <c r="D497" s="1" t="n">
        <v>45163</v>
      </c>
      <c r="E497" s="1" t="n">
        <v>46298</v>
      </c>
      <c r="F497" t="inlineStr">
        <is>
          <t>VÄRMLANDS LÄN</t>
        </is>
      </c>
      <c r="G497" t="inlineStr">
        <is>
          <t>KARLSTAD</t>
        </is>
      </c>
      <c r="I497" t="n">
        <v>2.9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t="n">
        <v>0</v>
      </c>
      <c r="S497" t="n">
        <v>0</v>
      </c>
      <c r="T497" t="n">
        <v>0</v>
      </c>
      <c r="U497" t="n">
        <v>0</v>
      </c>
      <c r="V497" s="2" t="inlineStr"/>
    </row>
    <row r="498" ht="15" customHeight="1">
      <c r="A498" t="inlineStr">
        <is>
          <t>A 37982-2024</t>
        </is>
      </c>
      <c r="B498" t="inlineStr">
        <is>
          <t>avverkningsanmälan</t>
        </is>
      </c>
      <c r="C498" t="inlineStr">
        <is>
          <t>Föryngringsavverkning</t>
        </is>
      </c>
      <c r="D498" s="1" t="n">
        <v>45544</v>
      </c>
      <c r="E498" s="1" t="n">
        <v>46298</v>
      </c>
      <c r="F498" t="inlineStr">
        <is>
          <t>VÄRMLANDS LÄN</t>
        </is>
      </c>
      <c r="G498" t="inlineStr">
        <is>
          <t>KARLSTAD</t>
        </is>
      </c>
      <c r="I498" t="n">
        <v>6.3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t="n">
        <v>0</v>
      </c>
      <c r="S498" t="n">
        <v>0</v>
      </c>
      <c r="T498" t="n">
        <v>0</v>
      </c>
      <c r="U498" t="n">
        <v>0</v>
      </c>
      <c r="V498" s="2" t="inlineStr"/>
    </row>
    <row r="499" ht="15" customHeight="1">
      <c r="A499" t="inlineStr">
        <is>
          <t>A 58456-2022</t>
        </is>
      </c>
      <c r="B499" t="inlineStr">
        <is>
          <t>avverkningsanmälan</t>
        </is>
      </c>
      <c r="C499" t="inlineStr">
        <is>
          <t>Föryngringsavverkning</t>
        </is>
      </c>
      <c r="D499" s="1" t="n">
        <v>44902</v>
      </c>
      <c r="E499" s="1" t="n">
        <v>46298</v>
      </c>
      <c r="F499" t="inlineStr">
        <is>
          <t>VÄRMLANDS LÄN</t>
        </is>
      </c>
      <c r="G499" t="inlineStr">
        <is>
          <t>KARLSTAD</t>
        </is>
      </c>
      <c r="I499" t="n">
        <v>1.3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t="n">
        <v>0</v>
      </c>
      <c r="S499" t="n">
        <v>0</v>
      </c>
      <c r="T499" t="n">
        <v>0</v>
      </c>
      <c r="U499" t="n">
        <v>0</v>
      </c>
      <c r="V499" s="2" t="inlineStr"/>
    </row>
    <row r="500" ht="15" customHeight="1">
      <c r="A500" t="inlineStr">
        <is>
          <t>A 43545-2023</t>
        </is>
      </c>
      <c r="B500" t="inlineStr">
        <is>
          <t>avverkningsanmälan</t>
        </is>
      </c>
      <c r="C500" t="inlineStr">
        <is>
          <t>Föryngringsavverkning</t>
        </is>
      </c>
      <c r="D500" s="1" t="n">
        <v>45184</v>
      </c>
      <c r="E500" s="1" t="n">
        <v>46298</v>
      </c>
      <c r="F500" t="inlineStr">
        <is>
          <t>VÄRMLANDS LÄN</t>
        </is>
      </c>
      <c r="G500" t="inlineStr">
        <is>
          <t>KARLSTAD</t>
        </is>
      </c>
      <c r="I500" t="n">
        <v>2.3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t="n">
        <v>0</v>
      </c>
      <c r="S500" t="n">
        <v>0</v>
      </c>
      <c r="T500" t="n">
        <v>0</v>
      </c>
      <c r="U500" t="n">
        <v>0</v>
      </c>
      <c r="V500" s="2" t="inlineStr"/>
    </row>
    <row r="501" ht="15" customHeight="1">
      <c r="A501" t="inlineStr">
        <is>
          <t>A 54669-2024</t>
        </is>
      </c>
      <c r="B501" t="inlineStr">
        <is>
          <t>avverkningsanmälan</t>
        </is>
      </c>
      <c r="C501" t="inlineStr">
        <is>
          <t>Föryngringsavverkning</t>
        </is>
      </c>
      <c r="D501" s="1" t="n">
        <v>45618</v>
      </c>
      <c r="E501" s="1" t="n">
        <v>46298</v>
      </c>
      <c r="F501" t="inlineStr">
        <is>
          <t>VÄRMLANDS LÄN</t>
        </is>
      </c>
      <c r="G501" t="inlineStr">
        <is>
          <t>KARLSTAD</t>
        </is>
      </c>
      <c r="I501" t="n">
        <v>3.2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t="n">
        <v>0</v>
      </c>
      <c r="S501" t="n">
        <v>0</v>
      </c>
      <c r="T501" t="n">
        <v>0</v>
      </c>
      <c r="U501" t="n">
        <v>0</v>
      </c>
      <c r="V501" s="2" t="inlineStr"/>
    </row>
    <row r="502" ht="15" customHeight="1">
      <c r="A502" t="inlineStr">
        <is>
          <t>A 61108-2023</t>
        </is>
      </c>
      <c r="B502" t="inlineStr">
        <is>
          <t>avverkningsanmälan</t>
        </is>
      </c>
      <c r="C502" t="inlineStr">
        <is>
          <t>Föryngringsavverkning</t>
        </is>
      </c>
      <c r="D502" s="1" t="n">
        <v>45260</v>
      </c>
      <c r="E502" s="1" t="n">
        <v>46298</v>
      </c>
      <c r="F502" t="inlineStr">
        <is>
          <t>VÄRMLANDS LÄN</t>
        </is>
      </c>
      <c r="G502" t="inlineStr">
        <is>
          <t>KARLSTAD</t>
        </is>
      </c>
      <c r="I502" t="n">
        <v>1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t="n">
        <v>0</v>
      </c>
      <c r="S502" t="n">
        <v>0</v>
      </c>
      <c r="T502" t="n">
        <v>0</v>
      </c>
      <c r="U502" t="n">
        <v>0</v>
      </c>
      <c r="V502" s="2" t="inlineStr"/>
    </row>
    <row r="503" ht="15" customHeight="1">
      <c r="A503" t="inlineStr">
        <is>
          <t>A 22409-2023</t>
        </is>
      </c>
      <c r="B503" t="inlineStr">
        <is>
          <t>avverkningsanmälan</t>
        </is>
      </c>
      <c r="C503" t="inlineStr">
        <is>
          <t>Föryngringsavverkning</t>
        </is>
      </c>
      <c r="D503" s="1" t="n">
        <v>45070</v>
      </c>
      <c r="E503" s="1" t="n">
        <v>46298</v>
      </c>
      <c r="F503" t="inlineStr">
        <is>
          <t>VÄRMLANDS LÄN</t>
        </is>
      </c>
      <c r="G503" t="inlineStr">
        <is>
          <t>KARLSTAD</t>
        </is>
      </c>
      <c r="I503" t="n">
        <v>3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t="n">
        <v>0</v>
      </c>
      <c r="S503" t="n">
        <v>0</v>
      </c>
      <c r="T503" t="n">
        <v>0</v>
      </c>
      <c r="U503" t="n">
        <v>0</v>
      </c>
      <c r="V503" s="2" t="inlineStr"/>
    </row>
    <row r="504" ht="15" customHeight="1">
      <c r="A504" t="inlineStr">
        <is>
          <t>A 12475-2023</t>
        </is>
      </c>
      <c r="B504" t="inlineStr">
        <is>
          <t>avverkningsanmälan</t>
        </is>
      </c>
      <c r="C504" t="inlineStr">
        <is>
          <t>Föryngringsavverkning</t>
        </is>
      </c>
      <c r="D504" s="1" t="n">
        <v>44999</v>
      </c>
      <c r="E504" s="1" t="n">
        <v>46298</v>
      </c>
      <c r="F504" t="inlineStr">
        <is>
          <t>VÄRMLANDS LÄN</t>
        </is>
      </c>
      <c r="G504" t="inlineStr">
        <is>
          <t>KARLSTAD</t>
        </is>
      </c>
      <c r="I504" t="n">
        <v>2.2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t="n">
        <v>0</v>
      </c>
      <c r="S504" t="n">
        <v>0</v>
      </c>
      <c r="T504" t="n">
        <v>0</v>
      </c>
      <c r="U504" t="n">
        <v>0</v>
      </c>
      <c r="V504" s="2" t="inlineStr"/>
    </row>
    <row r="505" ht="15" customHeight="1">
      <c r="A505" t="inlineStr">
        <is>
          <t>A 47929-2023</t>
        </is>
      </c>
      <c r="B505" t="inlineStr">
        <is>
          <t>avverkningsanmälan</t>
        </is>
      </c>
      <c r="C505" t="inlineStr">
        <is>
          <t>Föryngringsavverkning</t>
        </is>
      </c>
      <c r="D505" s="1" t="n">
        <v>45204</v>
      </c>
      <c r="E505" s="1" t="n">
        <v>46298</v>
      </c>
      <c r="F505" t="inlineStr">
        <is>
          <t>VÄRMLANDS LÄN</t>
        </is>
      </c>
      <c r="G505" t="inlineStr">
        <is>
          <t>KARLSTAD</t>
        </is>
      </c>
      <c r="H505" t="inlineStr">
        <is>
          <t>Kommuner</t>
        </is>
      </c>
      <c r="I505" t="n">
        <v>0.6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t="n">
        <v>0</v>
      </c>
      <c r="S505" t="n">
        <v>0</v>
      </c>
      <c r="T505" t="n">
        <v>0</v>
      </c>
      <c r="U505" t="n">
        <v>0</v>
      </c>
      <c r="V505" s="2" t="inlineStr"/>
    </row>
    <row r="506" ht="15" customHeight="1">
      <c r="A506" t="inlineStr">
        <is>
          <t>A 19291-2023</t>
        </is>
      </c>
      <c r="B506" t="inlineStr">
        <is>
          <t>avverkningsanmälan</t>
        </is>
      </c>
      <c r="C506" t="inlineStr">
        <is>
          <t>Föryngringsavverkning</t>
        </is>
      </c>
      <c r="D506" s="1" t="n">
        <v>45049</v>
      </c>
      <c r="E506" s="1" t="n">
        <v>46298</v>
      </c>
      <c r="F506" t="inlineStr">
        <is>
          <t>VÄRMLANDS LÄN</t>
        </is>
      </c>
      <c r="G506" t="inlineStr">
        <is>
          <t>KARLSTAD</t>
        </is>
      </c>
      <c r="I506" t="n">
        <v>2.2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t="n">
        <v>0</v>
      </c>
      <c r="S506" t="n">
        <v>0</v>
      </c>
      <c r="T506" t="n">
        <v>0</v>
      </c>
      <c r="U506" t="n">
        <v>0</v>
      </c>
      <c r="V506" s="2" t="inlineStr"/>
    </row>
    <row r="507" ht="15" customHeight="1">
      <c r="A507" t="inlineStr">
        <is>
          <t>A 50478-2024</t>
        </is>
      </c>
      <c r="B507" t="inlineStr">
        <is>
          <t>avverkningsanmälan</t>
        </is>
      </c>
      <c r="C507" t="inlineStr">
        <is>
          <t>Föryngringsavverkning</t>
        </is>
      </c>
      <c r="D507" s="1" t="n">
        <v>45601</v>
      </c>
      <c r="E507" s="1" t="n">
        <v>46298</v>
      </c>
      <c r="F507" t="inlineStr">
        <is>
          <t>VÄRMLANDS LÄN</t>
        </is>
      </c>
      <c r="G507" t="inlineStr">
        <is>
          <t>KARLSTAD</t>
        </is>
      </c>
      <c r="I507" t="n">
        <v>1.9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t="n">
        <v>0</v>
      </c>
      <c r="S507" t="n">
        <v>0</v>
      </c>
      <c r="T507" t="n">
        <v>0</v>
      </c>
      <c r="U507" t="n">
        <v>0</v>
      </c>
      <c r="V507" s="2" t="inlineStr"/>
    </row>
    <row r="508" ht="15" customHeight="1">
      <c r="A508" t="inlineStr">
        <is>
          <t>A 16312-2023</t>
        </is>
      </c>
      <c r="B508" t="inlineStr">
        <is>
          <t>avverkningsanmälan</t>
        </is>
      </c>
      <c r="C508" t="inlineStr">
        <is>
          <t>Föryngringsavverkning</t>
        </is>
      </c>
      <c r="D508" s="1" t="n">
        <v>45028</v>
      </c>
      <c r="E508" s="1" t="n">
        <v>46298</v>
      </c>
      <c r="F508" t="inlineStr">
        <is>
          <t>VÄRMLANDS LÄN</t>
        </is>
      </c>
      <c r="G508" t="inlineStr">
        <is>
          <t>KARLSTAD</t>
        </is>
      </c>
      <c r="I508" t="n">
        <v>4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t="n">
        <v>0</v>
      </c>
      <c r="S508" t="n">
        <v>0</v>
      </c>
      <c r="T508" t="n">
        <v>0</v>
      </c>
      <c r="U508" t="n">
        <v>0</v>
      </c>
      <c r="V508" s="2" t="inlineStr"/>
    </row>
    <row r="509" ht="15" customHeight="1">
      <c r="A509" t="inlineStr">
        <is>
          <t>A 19666-2023</t>
        </is>
      </c>
      <c r="B509" t="inlineStr">
        <is>
          <t>avverkningsanmälan</t>
        </is>
      </c>
      <c r="C509" t="inlineStr">
        <is>
          <t>Avverkning för annat ändamål</t>
        </is>
      </c>
      <c r="D509" s="1" t="n">
        <v>45051</v>
      </c>
      <c r="E509" s="1" t="n">
        <v>46298</v>
      </c>
      <c r="F509" t="inlineStr">
        <is>
          <t>VÄRMLANDS LÄN</t>
        </is>
      </c>
      <c r="G509" t="inlineStr">
        <is>
          <t>KARLSTAD</t>
        </is>
      </c>
      <c r="I509" t="n">
        <v>0.4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t="n">
        <v>0</v>
      </c>
      <c r="S509" t="n">
        <v>0</v>
      </c>
      <c r="T509" t="n">
        <v>0</v>
      </c>
      <c r="U509" t="n">
        <v>0</v>
      </c>
      <c r="V509" s="2" t="inlineStr"/>
    </row>
    <row r="510" ht="15" customHeight="1">
      <c r="A510" t="inlineStr">
        <is>
          <t>A 13849-2024</t>
        </is>
      </c>
      <c r="B510" t="inlineStr">
        <is>
          <t>avverkningsanmälan</t>
        </is>
      </c>
      <c r="C510" t="inlineStr">
        <is>
          <t>Föryngringsavverkning</t>
        </is>
      </c>
      <c r="D510" s="1" t="n">
        <v>45390</v>
      </c>
      <c r="E510" s="1" t="n">
        <v>46298</v>
      </c>
      <c r="F510" t="inlineStr">
        <is>
          <t>VÄRMLANDS LÄN</t>
        </is>
      </c>
      <c r="G510" t="inlineStr">
        <is>
          <t>KARLSTAD</t>
        </is>
      </c>
      <c r="I510" t="n">
        <v>2.7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t="n">
        <v>0</v>
      </c>
      <c r="S510" t="n">
        <v>0</v>
      </c>
      <c r="T510" t="n">
        <v>0</v>
      </c>
      <c r="U510" t="n">
        <v>0</v>
      </c>
      <c r="V510" s="2" t="inlineStr"/>
    </row>
    <row r="511" ht="15" customHeight="1">
      <c r="A511" t="inlineStr">
        <is>
          <t>A 13853-2024</t>
        </is>
      </c>
      <c r="B511" t="inlineStr">
        <is>
          <t>avverkningsanmälan</t>
        </is>
      </c>
      <c r="C511" t="inlineStr">
        <is>
          <t>Föryngringsavverkning</t>
        </is>
      </c>
      <c r="D511" s="1" t="n">
        <v>45390</v>
      </c>
      <c r="E511" s="1" t="n">
        <v>46298</v>
      </c>
      <c r="F511" t="inlineStr">
        <is>
          <t>VÄRMLANDS LÄN</t>
        </is>
      </c>
      <c r="G511" t="inlineStr">
        <is>
          <t>KARLSTAD</t>
        </is>
      </c>
      <c r="I511" t="n">
        <v>3.2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t="n">
        <v>0</v>
      </c>
      <c r="S511" t="n">
        <v>0</v>
      </c>
      <c r="T511" t="n">
        <v>0</v>
      </c>
      <c r="U511" t="n">
        <v>0</v>
      </c>
      <c r="V511" s="2" t="inlineStr"/>
    </row>
    <row r="512" ht="15" customHeight="1">
      <c r="A512" t="inlineStr">
        <is>
          <t>A 4717-2025</t>
        </is>
      </c>
      <c r="B512" t="inlineStr">
        <is>
          <t>avverkningsanmälan</t>
        </is>
      </c>
      <c r="C512" t="inlineStr">
        <is>
          <t>Föryngringsavverkning</t>
        </is>
      </c>
      <c r="D512" s="1" t="n">
        <v>45688</v>
      </c>
      <c r="E512" s="1" t="n">
        <v>46298</v>
      </c>
      <c r="F512" t="inlineStr">
        <is>
          <t>VÄRMLANDS LÄN</t>
        </is>
      </c>
      <c r="G512" t="inlineStr">
        <is>
          <t>KARLSTAD</t>
        </is>
      </c>
      <c r="I512" t="n">
        <v>1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t="n">
        <v>0</v>
      </c>
      <c r="S512" t="n">
        <v>0</v>
      </c>
      <c r="T512" t="n">
        <v>0</v>
      </c>
      <c r="U512" t="n">
        <v>0</v>
      </c>
      <c r="V512" s="2" t="inlineStr"/>
    </row>
    <row r="513" ht="15" customHeight="1">
      <c r="A513" t="inlineStr">
        <is>
          <t>A 60022-2023</t>
        </is>
      </c>
      <c r="B513" t="inlineStr">
        <is>
          <t>avverkningsanmälan</t>
        </is>
      </c>
      <c r="C513" t="inlineStr">
        <is>
          <t>Föryngringsavverkning</t>
        </is>
      </c>
      <c r="D513" s="1" t="n">
        <v>45258</v>
      </c>
      <c r="E513" s="1" t="n">
        <v>46298</v>
      </c>
      <c r="F513" t="inlineStr">
        <is>
          <t>VÄRMLANDS LÄN</t>
        </is>
      </c>
      <c r="G513" t="inlineStr">
        <is>
          <t>KARLSTAD</t>
        </is>
      </c>
      <c r="I513" t="n">
        <v>0.8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t="n">
        <v>0</v>
      </c>
      <c r="S513" t="n">
        <v>0</v>
      </c>
      <c r="T513" t="n">
        <v>0</v>
      </c>
      <c r="U513" t="n">
        <v>0</v>
      </c>
      <c r="V513" s="2" t="inlineStr"/>
    </row>
    <row r="514" ht="15" customHeight="1">
      <c r="A514" t="inlineStr">
        <is>
          <t>A 11697-2022</t>
        </is>
      </c>
      <c r="B514" t="inlineStr">
        <is>
          <t>avverkningsanmälan</t>
        </is>
      </c>
      <c r="C514" t="inlineStr">
        <is>
          <t>Föryngringsavverkning</t>
        </is>
      </c>
      <c r="D514" s="1" t="n">
        <v>44634</v>
      </c>
      <c r="E514" s="1" t="n">
        <v>46298</v>
      </c>
      <c r="F514" t="inlineStr">
        <is>
          <t>VÄRMLANDS LÄN</t>
        </is>
      </c>
      <c r="G514" t="inlineStr">
        <is>
          <t>KARLSTAD</t>
        </is>
      </c>
      <c r="I514" t="n">
        <v>3.8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t="n">
        <v>0</v>
      </c>
      <c r="S514" t="n">
        <v>0</v>
      </c>
      <c r="T514" t="n">
        <v>0</v>
      </c>
      <c r="U514" t="n">
        <v>0</v>
      </c>
      <c r="V514" s="2" t="inlineStr"/>
    </row>
    <row r="515" ht="15" customHeight="1">
      <c r="A515" t="inlineStr">
        <is>
          <t>A 34335-2024</t>
        </is>
      </c>
      <c r="B515" t="inlineStr">
        <is>
          <t>avverkningsanmälan</t>
        </is>
      </c>
      <c r="C515" t="inlineStr">
        <is>
          <t>Föryngringsavverkning</t>
        </is>
      </c>
      <c r="D515" s="1" t="n">
        <v>45524</v>
      </c>
      <c r="E515" s="1" t="n">
        <v>46298</v>
      </c>
      <c r="F515" t="inlineStr">
        <is>
          <t>VÄRMLANDS LÄN</t>
        </is>
      </c>
      <c r="G515" t="inlineStr">
        <is>
          <t>KARLSTAD</t>
        </is>
      </c>
      <c r="I515" t="n">
        <v>1.8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t="n">
        <v>0</v>
      </c>
      <c r="S515" t="n">
        <v>0</v>
      </c>
      <c r="T515" t="n">
        <v>0</v>
      </c>
      <c r="U515" t="n">
        <v>0</v>
      </c>
      <c r="V515" s="2" t="inlineStr"/>
    </row>
    <row r="516" ht="15" customHeight="1">
      <c r="A516" t="inlineStr">
        <is>
          <t>A 34329-2026</t>
        </is>
      </c>
      <c r="B516" t="inlineStr">
        <is>
          <t>avverkningsanmälan</t>
        </is>
      </c>
      <c r="C516" t="inlineStr">
        <is>
          <t>Föryngringsavverkning</t>
        </is>
      </c>
      <c r="D516" s="1" t="n">
        <v>46254</v>
      </c>
      <c r="E516" s="1" t="n">
        <v>46298</v>
      </c>
      <c r="F516" t="inlineStr">
        <is>
          <t>VÄRMLANDS LÄN</t>
        </is>
      </c>
      <c r="G516" t="inlineStr">
        <is>
          <t>KARLSTAD</t>
        </is>
      </c>
      <c r="I516" t="n">
        <v>3.2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t="n">
        <v>0</v>
      </c>
      <c r="S516" t="n">
        <v>0</v>
      </c>
      <c r="T516" t="n">
        <v>0</v>
      </c>
      <c r="U516" t="n">
        <v>0</v>
      </c>
      <c r="V516" s="2" t="inlineStr"/>
    </row>
    <row r="517" ht="15" customHeight="1">
      <c r="A517" t="inlineStr">
        <is>
          <t>A 5631-2025</t>
        </is>
      </c>
      <c r="B517" t="inlineStr">
        <is>
          <t>avverkningsanmälan</t>
        </is>
      </c>
      <c r="C517" t="inlineStr">
        <is>
          <t>Föryngringsavverkning</t>
        </is>
      </c>
      <c r="D517" s="1" t="n">
        <v>45693</v>
      </c>
      <c r="E517" s="1" t="n">
        <v>46298</v>
      </c>
      <c r="F517" t="inlineStr">
        <is>
          <t>VÄRMLANDS LÄN</t>
        </is>
      </c>
      <c r="G517" t="inlineStr">
        <is>
          <t>KARLSTAD</t>
        </is>
      </c>
      <c r="H517" t="inlineStr">
        <is>
          <t>Bergvik skog väst AB</t>
        </is>
      </c>
      <c r="I517" t="n">
        <v>4.3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t="n">
        <v>0</v>
      </c>
      <c r="S517" t="n">
        <v>0</v>
      </c>
      <c r="T517" t="n">
        <v>0</v>
      </c>
      <c r="U517" t="n">
        <v>0</v>
      </c>
      <c r="V517" s="2" t="inlineStr"/>
    </row>
    <row r="518" ht="15" customHeight="1">
      <c r="A518" t="inlineStr">
        <is>
          <t>A 40810-2026</t>
        </is>
      </c>
      <c r="B518" t="inlineStr">
        <is>
          <t>avverkningsanmälan</t>
        </is>
      </c>
      <c r="C518" t="inlineStr">
        <is>
          <t>Föryngringsavverkning</t>
        </is>
      </c>
      <c r="D518" s="1" t="n">
        <v>46296</v>
      </c>
      <c r="E518" s="1" t="n">
        <v>46298</v>
      </c>
      <c r="F518" t="inlineStr">
        <is>
          <t>VÄRMLANDS LÄN</t>
        </is>
      </c>
      <c r="G518" t="inlineStr">
        <is>
          <t>KARLSTAD</t>
        </is>
      </c>
      <c r="I518" t="n">
        <v>0.8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t="n">
        <v>0</v>
      </c>
      <c r="S518" t="n">
        <v>0</v>
      </c>
      <c r="T518" t="n">
        <v>0</v>
      </c>
      <c r="U518" t="n">
        <v>0</v>
      </c>
      <c r="V518" s="2" t="inlineStr"/>
    </row>
    <row r="519" ht="15" customHeight="1">
      <c r="A519" t="inlineStr">
        <is>
          <t>A 40809-2026</t>
        </is>
      </c>
      <c r="B519" t="inlineStr">
        <is>
          <t>avverkningsanmälan</t>
        </is>
      </c>
      <c r="C519" t="inlineStr">
        <is>
          <t>Föryngringsavverkning</t>
        </is>
      </c>
      <c r="D519" s="1" t="n">
        <v>46296</v>
      </c>
      <c r="E519" s="1" t="n">
        <v>46298</v>
      </c>
      <c r="F519" t="inlineStr">
        <is>
          <t>VÄRMLANDS LÄN</t>
        </is>
      </c>
      <c r="G519" t="inlineStr">
        <is>
          <t>KARLSTAD</t>
        </is>
      </c>
      <c r="I519" t="n">
        <v>5.1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t="n">
        <v>0</v>
      </c>
      <c r="S519" t="n">
        <v>0</v>
      </c>
      <c r="T519" t="n">
        <v>0</v>
      </c>
      <c r="U519" t="n">
        <v>0</v>
      </c>
      <c r="V519" s="2" t="inlineStr"/>
    </row>
    <row r="520" ht="15" customHeight="1">
      <c r="A520" t="inlineStr">
        <is>
          <t>A 34441-2026</t>
        </is>
      </c>
      <c r="B520" t="inlineStr">
        <is>
          <t>avverkningsanmälan</t>
        </is>
      </c>
      <c r="C520" t="inlineStr">
        <is>
          <t>Föryngringsavverkning</t>
        </is>
      </c>
      <c r="D520" s="1" t="n">
        <v>46254</v>
      </c>
      <c r="E520" s="1" t="n">
        <v>46298</v>
      </c>
      <c r="F520" t="inlineStr">
        <is>
          <t>VÄRMLANDS LÄN</t>
        </is>
      </c>
      <c r="G520" t="inlineStr">
        <is>
          <t>KARLSTAD</t>
        </is>
      </c>
      <c r="I520" t="n">
        <v>3.1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t="n">
        <v>0</v>
      </c>
      <c r="S520" t="n">
        <v>0</v>
      </c>
      <c r="T520" t="n">
        <v>0</v>
      </c>
      <c r="U520" t="n">
        <v>0</v>
      </c>
      <c r="V520" s="2" t="inlineStr"/>
    </row>
    <row r="521" ht="15" customHeight="1">
      <c r="A521" t="inlineStr">
        <is>
          <t>A 1983-2024</t>
        </is>
      </c>
      <c r="B521" t="inlineStr">
        <is>
          <t>avverkningsanmälan</t>
        </is>
      </c>
      <c r="C521" t="inlineStr">
        <is>
          <t>Föryngringsavverkning</t>
        </is>
      </c>
      <c r="D521" s="1" t="n">
        <v>45308</v>
      </c>
      <c r="E521" s="1" t="n">
        <v>46298</v>
      </c>
      <c r="F521" t="inlineStr">
        <is>
          <t>VÄRMLANDS LÄN</t>
        </is>
      </c>
      <c r="G521" t="inlineStr">
        <is>
          <t>KARLSTAD</t>
        </is>
      </c>
      <c r="I521" t="n">
        <v>0.6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t="n">
        <v>0</v>
      </c>
      <c r="S521" t="n">
        <v>0</v>
      </c>
      <c r="T521" t="n">
        <v>0</v>
      </c>
      <c r="U521" t="n">
        <v>0</v>
      </c>
      <c r="V521" s="2" t="inlineStr"/>
    </row>
    <row r="522" ht="15" customHeight="1">
      <c r="A522" t="inlineStr">
        <is>
          <t>A 57322-2024</t>
        </is>
      </c>
      <c r="B522" t="inlineStr">
        <is>
          <t>avverkningsanmälan</t>
        </is>
      </c>
      <c r="C522" t="inlineStr">
        <is>
          <t>Föryngringsavverkning</t>
        </is>
      </c>
      <c r="D522" s="1" t="n">
        <v>45629</v>
      </c>
      <c r="E522" s="1" t="n">
        <v>46298</v>
      </c>
      <c r="F522" t="inlineStr">
        <is>
          <t>VÄRMLANDS LÄN</t>
        </is>
      </c>
      <c r="G522" t="inlineStr">
        <is>
          <t>KARLSTAD</t>
        </is>
      </c>
      <c r="I522" t="n">
        <v>1.3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t="n">
        <v>0</v>
      </c>
      <c r="S522" t="n">
        <v>0</v>
      </c>
      <c r="T522" t="n">
        <v>0</v>
      </c>
      <c r="U522" t="n">
        <v>0</v>
      </c>
      <c r="V522" s="2" t="inlineStr"/>
    </row>
    <row r="523" ht="15" customHeight="1">
      <c r="A523" t="inlineStr">
        <is>
          <t>A 57449-2022</t>
        </is>
      </c>
      <c r="B523" t="inlineStr">
        <is>
          <t>avverkningsanmälan</t>
        </is>
      </c>
      <c r="C523" t="inlineStr">
        <is>
          <t>Föryngringsavverkning</t>
        </is>
      </c>
      <c r="D523" s="1" t="n">
        <v>44896</v>
      </c>
      <c r="E523" s="1" t="n">
        <v>46298</v>
      </c>
      <c r="F523" t="inlineStr">
        <is>
          <t>VÄRMLANDS LÄN</t>
        </is>
      </c>
      <c r="G523" t="inlineStr">
        <is>
          <t>KARLSTAD</t>
        </is>
      </c>
      <c r="I523" t="n">
        <v>2.4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t="n">
        <v>0</v>
      </c>
      <c r="S523" t="n">
        <v>0</v>
      </c>
      <c r="T523" t="n">
        <v>0</v>
      </c>
      <c r="U523" t="n">
        <v>0</v>
      </c>
      <c r="V523" s="2" t="inlineStr"/>
    </row>
    <row r="524" ht="15" customHeight="1">
      <c r="A524" t="inlineStr">
        <is>
          <t>A 59892-2024</t>
        </is>
      </c>
      <c r="B524" t="inlineStr">
        <is>
          <t>avverkningsanmälan</t>
        </is>
      </c>
      <c r="C524" t="inlineStr">
        <is>
          <t>Föryngringsavverkning</t>
        </is>
      </c>
      <c r="D524" s="1" t="n">
        <v>45641</v>
      </c>
      <c r="E524" s="1" t="n">
        <v>46298</v>
      </c>
      <c r="F524" t="inlineStr">
        <is>
          <t>VÄRMLANDS LÄN</t>
        </is>
      </c>
      <c r="G524" t="inlineStr">
        <is>
          <t>KARLSTAD</t>
        </is>
      </c>
      <c r="I524" t="n">
        <v>0.5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t="n">
        <v>0</v>
      </c>
      <c r="S524" t="n">
        <v>0</v>
      </c>
      <c r="T524" t="n">
        <v>0</v>
      </c>
      <c r="U524" t="n">
        <v>0</v>
      </c>
      <c r="V524" s="2" t="inlineStr"/>
    </row>
    <row r="525" ht="15" customHeight="1">
      <c r="A525" t="inlineStr">
        <is>
          <t>A 32169-2023</t>
        </is>
      </c>
      <c r="B525" t="inlineStr">
        <is>
          <t>avverkningsanmälan</t>
        </is>
      </c>
      <c r="C525" t="inlineStr">
        <is>
          <t>Föryngringsavverkning</t>
        </is>
      </c>
      <c r="D525" s="1" t="n">
        <v>45107</v>
      </c>
      <c r="E525" s="1" t="n">
        <v>46298</v>
      </c>
      <c r="F525" t="inlineStr">
        <is>
          <t>VÄRMLANDS LÄN</t>
        </is>
      </c>
      <c r="G525" t="inlineStr">
        <is>
          <t>KARLSTAD</t>
        </is>
      </c>
      <c r="I525" t="n">
        <v>4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t="n">
        <v>0</v>
      </c>
      <c r="S525" t="n">
        <v>0</v>
      </c>
      <c r="T525" t="n">
        <v>0</v>
      </c>
      <c r="U525" t="n">
        <v>0</v>
      </c>
      <c r="V525" s="2" t="inlineStr"/>
    </row>
    <row r="526" ht="15" customHeight="1">
      <c r="A526" t="inlineStr">
        <is>
          <t>A 61005-2023</t>
        </is>
      </c>
      <c r="B526" t="inlineStr">
        <is>
          <t>avverkningsanmälan</t>
        </is>
      </c>
      <c r="C526" t="inlineStr">
        <is>
          <t>Föryngringsavverkning</t>
        </is>
      </c>
      <c r="D526" s="1" t="n">
        <v>45261</v>
      </c>
      <c r="E526" s="1" t="n">
        <v>46298</v>
      </c>
      <c r="F526" t="inlineStr">
        <is>
          <t>VÄRMLANDS LÄN</t>
        </is>
      </c>
      <c r="G526" t="inlineStr">
        <is>
          <t>KARLSTAD</t>
        </is>
      </c>
      <c r="I526" t="n">
        <v>0.9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t="n">
        <v>0</v>
      </c>
      <c r="S526" t="n">
        <v>0</v>
      </c>
      <c r="T526" t="n">
        <v>0</v>
      </c>
      <c r="U526" t="n">
        <v>0</v>
      </c>
      <c r="V526" s="2" t="inlineStr"/>
    </row>
    <row r="527" ht="15" customHeight="1">
      <c r="A527" t="inlineStr">
        <is>
          <t>A 744-2024</t>
        </is>
      </c>
      <c r="B527" t="inlineStr">
        <is>
          <t>avverkningsanmälan</t>
        </is>
      </c>
      <c r="C527" t="inlineStr">
        <is>
          <t>Föryngringsavverkning</t>
        </is>
      </c>
      <c r="D527" s="1" t="n">
        <v>45300</v>
      </c>
      <c r="E527" s="1" t="n">
        <v>46298</v>
      </c>
      <c r="F527" t="inlineStr">
        <is>
          <t>VÄRMLANDS LÄN</t>
        </is>
      </c>
      <c r="G527" t="inlineStr">
        <is>
          <t>KARLSTAD</t>
        </is>
      </c>
      <c r="I527" t="n">
        <v>1.9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t="n">
        <v>0</v>
      </c>
      <c r="S527" t="n">
        <v>0</v>
      </c>
      <c r="T527" t="n">
        <v>0</v>
      </c>
      <c r="U527" t="n">
        <v>0</v>
      </c>
      <c r="V527" s="2" t="inlineStr"/>
    </row>
    <row r="528" ht="15" customHeight="1">
      <c r="A528" t="inlineStr">
        <is>
          <t>A 5056-2022</t>
        </is>
      </c>
      <c r="B528" t="inlineStr">
        <is>
          <t>avverkningsanmälan</t>
        </is>
      </c>
      <c r="C528" t="inlineStr">
        <is>
          <t>Avverkning för annat ändamål</t>
        </is>
      </c>
      <c r="D528" s="1" t="n">
        <v>44593</v>
      </c>
      <c r="E528" s="1" t="n">
        <v>46298</v>
      </c>
      <c r="F528" t="inlineStr">
        <is>
          <t>VÄRMLANDS LÄN</t>
        </is>
      </c>
      <c r="G528" t="inlineStr">
        <is>
          <t>KARLSTAD</t>
        </is>
      </c>
      <c r="H528" t="inlineStr">
        <is>
          <t>Kommuner</t>
        </is>
      </c>
      <c r="I528" t="n">
        <v>0.7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t="n">
        <v>0</v>
      </c>
      <c r="S528" t="n">
        <v>0</v>
      </c>
      <c r="T528" t="n">
        <v>0</v>
      </c>
      <c r="U528" t="n">
        <v>0</v>
      </c>
      <c r="V528" s="2" t="inlineStr"/>
    </row>
    <row r="529" ht="15" customHeight="1">
      <c r="A529" t="inlineStr">
        <is>
          <t>A 33515-2023</t>
        </is>
      </c>
      <c r="B529" t="inlineStr">
        <is>
          <t>avverkningsanmälan</t>
        </is>
      </c>
      <c r="C529" t="inlineStr">
        <is>
          <t>Föryngringsavverkning</t>
        </is>
      </c>
      <c r="D529" s="1" t="n">
        <v>45131</v>
      </c>
      <c r="E529" s="1" t="n">
        <v>46298</v>
      </c>
      <c r="F529" t="inlineStr">
        <is>
          <t>VÄRMLANDS LÄN</t>
        </is>
      </c>
      <c r="G529" t="inlineStr">
        <is>
          <t>KARLSTAD</t>
        </is>
      </c>
      <c r="I529" t="n">
        <v>1.8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t="n">
        <v>0</v>
      </c>
      <c r="S529" t="n">
        <v>0</v>
      </c>
      <c r="T529" t="n">
        <v>0</v>
      </c>
      <c r="U529" t="n">
        <v>0</v>
      </c>
      <c r="V529" s="2" t="inlineStr"/>
    </row>
    <row r="530" ht="15" customHeight="1">
      <c r="A530" t="inlineStr">
        <is>
          <t>A 60184-2023</t>
        </is>
      </c>
      <c r="B530" t="inlineStr">
        <is>
          <t>avverkningsanmälan</t>
        </is>
      </c>
      <c r="C530" t="inlineStr">
        <is>
          <t>Föryngringsavverkning</t>
        </is>
      </c>
      <c r="D530" s="1" t="n">
        <v>45258</v>
      </c>
      <c r="E530" s="1" t="n">
        <v>46298</v>
      </c>
      <c r="F530" t="inlineStr">
        <is>
          <t>VÄRMLANDS LÄN</t>
        </is>
      </c>
      <c r="G530" t="inlineStr">
        <is>
          <t>KARLSTAD</t>
        </is>
      </c>
      <c r="I530" t="n">
        <v>1.3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t="n">
        <v>0</v>
      </c>
      <c r="S530" t="n">
        <v>0</v>
      </c>
      <c r="T530" t="n">
        <v>0</v>
      </c>
      <c r="U530" t="n">
        <v>0</v>
      </c>
      <c r="V530" s="2" t="inlineStr"/>
    </row>
    <row r="531" ht="15" customHeight="1">
      <c r="A531" t="inlineStr">
        <is>
          <t>A 60932-2024</t>
        </is>
      </c>
      <c r="B531" t="inlineStr">
        <is>
          <t>avverkningsanmälan</t>
        </is>
      </c>
      <c r="C531" t="inlineStr">
        <is>
          <t>Föryngringsavverkning</t>
        </is>
      </c>
      <c r="D531" s="1" t="n">
        <v>45645</v>
      </c>
      <c r="E531" s="1" t="n">
        <v>46298</v>
      </c>
      <c r="F531" t="inlineStr">
        <is>
          <t>VÄRMLANDS LÄN</t>
        </is>
      </c>
      <c r="G531" t="inlineStr">
        <is>
          <t>KARLSTAD</t>
        </is>
      </c>
      <c r="H531" t="inlineStr">
        <is>
          <t>Bergvik skog väst AB</t>
        </is>
      </c>
      <c r="I531" t="n">
        <v>3.5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t="n">
        <v>0</v>
      </c>
      <c r="S531" t="n">
        <v>0</v>
      </c>
      <c r="T531" t="n">
        <v>0</v>
      </c>
      <c r="U531" t="n">
        <v>0</v>
      </c>
      <c r="V531" s="2" t="inlineStr"/>
    </row>
    <row r="532" ht="15" customHeight="1">
      <c r="A532" t="inlineStr">
        <is>
          <t>A 41563-2023</t>
        </is>
      </c>
      <c r="B532" t="inlineStr">
        <is>
          <t>avverkningsanmälan</t>
        </is>
      </c>
      <c r="C532" t="inlineStr">
        <is>
          <t>Föryngringsavverkning</t>
        </is>
      </c>
      <c r="D532" s="1" t="n">
        <v>45175</v>
      </c>
      <c r="E532" s="1" t="n">
        <v>46298</v>
      </c>
      <c r="F532" t="inlineStr">
        <is>
          <t>VÄRMLANDS LÄN</t>
        </is>
      </c>
      <c r="G532" t="inlineStr">
        <is>
          <t>KARLSTAD</t>
        </is>
      </c>
      <c r="H532" t="inlineStr">
        <is>
          <t>Övriga Aktiebolag</t>
        </is>
      </c>
      <c r="I532" t="n">
        <v>1.6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t="n">
        <v>0</v>
      </c>
      <c r="S532" t="n">
        <v>0</v>
      </c>
      <c r="T532" t="n">
        <v>0</v>
      </c>
      <c r="U532" t="n">
        <v>0</v>
      </c>
      <c r="V532" s="2" t="inlineStr"/>
    </row>
    <row r="533" ht="15" customHeight="1">
      <c r="A533" t="inlineStr">
        <is>
          <t>A 56643-2022</t>
        </is>
      </c>
      <c r="B533" t="inlineStr">
        <is>
          <t>avverkningsanmälan</t>
        </is>
      </c>
      <c r="C533" t="inlineStr">
        <is>
          <t>Föryngringsavverkning</t>
        </is>
      </c>
      <c r="D533" s="1" t="n">
        <v>44893</v>
      </c>
      <c r="E533" s="1" t="n">
        <v>46298</v>
      </c>
      <c r="F533" t="inlineStr">
        <is>
          <t>VÄRMLANDS LÄN</t>
        </is>
      </c>
      <c r="G533" t="inlineStr">
        <is>
          <t>KARLSTAD</t>
        </is>
      </c>
      <c r="I533" t="n">
        <v>3.8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t="n">
        <v>0</v>
      </c>
      <c r="S533" t="n">
        <v>0</v>
      </c>
      <c r="T533" t="n">
        <v>0</v>
      </c>
      <c r="U533" t="n">
        <v>0</v>
      </c>
      <c r="V533" s="2" t="inlineStr"/>
    </row>
    <row r="534" ht="15" customHeight="1">
      <c r="A534" t="inlineStr">
        <is>
          <t>A 33564-2023</t>
        </is>
      </c>
      <c r="B534" t="inlineStr">
        <is>
          <t>avverkningsanmälan</t>
        </is>
      </c>
      <c r="C534" t="inlineStr">
        <is>
          <t>Föryngringsavverkning</t>
        </is>
      </c>
      <c r="D534" s="1" t="n">
        <v>45118</v>
      </c>
      <c r="E534" s="1" t="n">
        <v>46298</v>
      </c>
      <c r="F534" t="inlineStr">
        <is>
          <t>VÄRMLANDS LÄN</t>
        </is>
      </c>
      <c r="G534" t="inlineStr">
        <is>
          <t>KARLSTAD</t>
        </is>
      </c>
      <c r="I534" t="n">
        <v>0.6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t="n">
        <v>0</v>
      </c>
      <c r="S534" t="n">
        <v>0</v>
      </c>
      <c r="T534" t="n">
        <v>0</v>
      </c>
      <c r="U534" t="n">
        <v>0</v>
      </c>
      <c r="V534" s="2" t="inlineStr"/>
    </row>
    <row r="535" ht="15" customHeight="1">
      <c r="A535" t="inlineStr">
        <is>
          <t>A 28154-2022</t>
        </is>
      </c>
      <c r="B535" t="inlineStr">
        <is>
          <t>avverkningsanmälan</t>
        </is>
      </c>
      <c r="C535" t="inlineStr">
        <is>
          <t>Föryngringsavverkning</t>
        </is>
      </c>
      <c r="D535" s="1" t="n">
        <v>44746</v>
      </c>
      <c r="E535" s="1" t="n">
        <v>46298</v>
      </c>
      <c r="F535" t="inlineStr">
        <is>
          <t>VÄRMLANDS LÄN</t>
        </is>
      </c>
      <c r="G535" t="inlineStr">
        <is>
          <t>KARLSTAD</t>
        </is>
      </c>
      <c r="I535" t="n">
        <v>7.1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t="n">
        <v>0</v>
      </c>
      <c r="S535" t="n">
        <v>0</v>
      </c>
      <c r="T535" t="n">
        <v>0</v>
      </c>
      <c r="U535" t="n">
        <v>0</v>
      </c>
      <c r="V535" s="2" t="inlineStr"/>
    </row>
    <row r="536" ht="15" customHeight="1">
      <c r="A536" t="inlineStr">
        <is>
          <t>A 621-2024</t>
        </is>
      </c>
      <c r="B536" t="inlineStr">
        <is>
          <t>avverkningsanmälan</t>
        </is>
      </c>
      <c r="C536" t="inlineStr">
        <is>
          <t>Föryngringsavverkning</t>
        </is>
      </c>
      <c r="D536" s="1" t="n">
        <v>45299</v>
      </c>
      <c r="E536" s="1" t="n">
        <v>46298</v>
      </c>
      <c r="F536" t="inlineStr">
        <is>
          <t>VÄRMLANDS LÄN</t>
        </is>
      </c>
      <c r="G536" t="inlineStr">
        <is>
          <t>KARLSTAD</t>
        </is>
      </c>
      <c r="I536" t="n">
        <v>0.6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t="n">
        <v>0</v>
      </c>
      <c r="S536" t="n">
        <v>0</v>
      </c>
      <c r="T536" t="n">
        <v>0</v>
      </c>
      <c r="U536" t="n">
        <v>0</v>
      </c>
      <c r="V536" s="2" t="inlineStr"/>
    </row>
    <row r="537" ht="15" customHeight="1">
      <c r="A537" t="inlineStr">
        <is>
          <t>A 39504-2022</t>
        </is>
      </c>
      <c r="B537" t="inlineStr">
        <is>
          <t>avverkningsanmälan</t>
        </is>
      </c>
      <c r="C537" t="inlineStr">
        <is>
          <t>Föryngringsavverkning</t>
        </is>
      </c>
      <c r="D537" s="1" t="n">
        <v>44818</v>
      </c>
      <c r="E537" s="1" t="n">
        <v>46298</v>
      </c>
      <c r="F537" t="inlineStr">
        <is>
          <t>VÄRMLANDS LÄN</t>
        </is>
      </c>
      <c r="G537" t="inlineStr">
        <is>
          <t>KARLSTAD</t>
        </is>
      </c>
      <c r="I537" t="n">
        <v>2.5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t="n">
        <v>0</v>
      </c>
      <c r="S537" t="n">
        <v>0</v>
      </c>
      <c r="T537" t="n">
        <v>0</v>
      </c>
      <c r="U537" t="n">
        <v>0</v>
      </c>
      <c r="V537" s="2" t="inlineStr"/>
    </row>
    <row r="538" ht="15" customHeight="1">
      <c r="A538" t="inlineStr">
        <is>
          <t>A 13291-2024</t>
        </is>
      </c>
      <c r="B538" t="inlineStr">
        <is>
          <t>avverkningsanmälan</t>
        </is>
      </c>
      <c r="C538" t="inlineStr">
        <is>
          <t>Föryngringsavverkning</t>
        </is>
      </c>
      <c r="D538" s="1" t="n">
        <v>45386</v>
      </c>
      <c r="E538" s="1" t="n">
        <v>46298</v>
      </c>
      <c r="F538" t="inlineStr">
        <is>
          <t>VÄRMLANDS LÄN</t>
        </is>
      </c>
      <c r="G538" t="inlineStr">
        <is>
          <t>KARLSTAD</t>
        </is>
      </c>
      <c r="I538" t="n">
        <v>1.2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t="n">
        <v>0</v>
      </c>
      <c r="S538" t="n">
        <v>0</v>
      </c>
      <c r="T538" t="n">
        <v>0</v>
      </c>
      <c r="U538" t="n">
        <v>0</v>
      </c>
      <c r="V538" s="2" t="inlineStr"/>
    </row>
    <row r="539" ht="15" customHeight="1">
      <c r="A539" t="inlineStr">
        <is>
          <t>A 1648-2024</t>
        </is>
      </c>
      <c r="B539" t="inlineStr">
        <is>
          <t>avverkningsanmälan</t>
        </is>
      </c>
      <c r="C539" t="inlineStr">
        <is>
          <t>Föryngringsavverkning</t>
        </is>
      </c>
      <c r="D539" s="1" t="n">
        <v>45306</v>
      </c>
      <c r="E539" s="1" t="n">
        <v>46298</v>
      </c>
      <c r="F539" t="inlineStr">
        <is>
          <t>VÄRMLANDS LÄN</t>
        </is>
      </c>
      <c r="G539" t="inlineStr">
        <is>
          <t>KARLSTAD</t>
        </is>
      </c>
      <c r="I539" t="n">
        <v>1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t="n">
        <v>0</v>
      </c>
      <c r="S539" t="n">
        <v>0</v>
      </c>
      <c r="T539" t="n">
        <v>0</v>
      </c>
      <c r="U539" t="n">
        <v>0</v>
      </c>
      <c r="V539" s="2" t="inlineStr"/>
    </row>
    <row r="540" ht="15" customHeight="1">
      <c r="A540" t="inlineStr">
        <is>
          <t>A 20509-2025</t>
        </is>
      </c>
      <c r="B540" t="inlineStr">
        <is>
          <t>avverkningsanmälan</t>
        </is>
      </c>
      <c r="C540" t="inlineStr">
        <is>
          <t>Föryngringsavverkning</t>
        </is>
      </c>
      <c r="D540" s="1" t="n">
        <v>45775</v>
      </c>
      <c r="E540" s="1" t="n">
        <v>46298</v>
      </c>
      <c r="F540" t="inlineStr">
        <is>
          <t>VÄRMLANDS LÄN</t>
        </is>
      </c>
      <c r="G540" t="inlineStr">
        <is>
          <t>KARLSTAD</t>
        </is>
      </c>
      <c r="I540" t="n">
        <v>4.3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t="n">
        <v>0</v>
      </c>
      <c r="S540" t="n">
        <v>0</v>
      </c>
      <c r="T540" t="n">
        <v>0</v>
      </c>
      <c r="U540" t="n">
        <v>0</v>
      </c>
      <c r="V540" s="2" t="inlineStr"/>
    </row>
    <row r="541" ht="15" customHeight="1">
      <c r="A541" t="inlineStr">
        <is>
          <t>A 41960-2023</t>
        </is>
      </c>
      <c r="B541" t="inlineStr">
        <is>
          <t>avverkningsanmälan</t>
        </is>
      </c>
      <c r="C541" t="inlineStr">
        <is>
          <t>Föryngringsavverkning</t>
        </is>
      </c>
      <c r="D541" s="1" t="n">
        <v>45177</v>
      </c>
      <c r="E541" s="1" t="n">
        <v>46298</v>
      </c>
      <c r="F541" t="inlineStr">
        <is>
          <t>VÄRMLANDS LÄN</t>
        </is>
      </c>
      <c r="G541" t="inlineStr">
        <is>
          <t>KARLSTAD</t>
        </is>
      </c>
      <c r="I541" t="n">
        <v>4.2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t="n">
        <v>0</v>
      </c>
      <c r="S541" t="n">
        <v>0</v>
      </c>
      <c r="T541" t="n">
        <v>0</v>
      </c>
      <c r="U541" t="n">
        <v>0</v>
      </c>
      <c r="V541" s="2" t="inlineStr"/>
    </row>
    <row r="542" ht="15" customHeight="1">
      <c r="A542" t="inlineStr">
        <is>
          <t>A 41321-2023</t>
        </is>
      </c>
      <c r="B542" t="inlineStr">
        <is>
          <t>avverkningsanmälan</t>
        </is>
      </c>
      <c r="C542" t="inlineStr">
        <is>
          <t>Föryngringsavverkning</t>
        </is>
      </c>
      <c r="D542" s="1" t="n">
        <v>45174</v>
      </c>
      <c r="E542" s="1" t="n">
        <v>46298</v>
      </c>
      <c r="F542" t="inlineStr">
        <is>
          <t>VÄRMLANDS LÄN</t>
        </is>
      </c>
      <c r="G542" t="inlineStr">
        <is>
          <t>KARLSTAD</t>
        </is>
      </c>
      <c r="I542" t="n">
        <v>1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t="n">
        <v>0</v>
      </c>
      <c r="S542" t="n">
        <v>0</v>
      </c>
      <c r="T542" t="n">
        <v>0</v>
      </c>
      <c r="U542" t="n">
        <v>0</v>
      </c>
      <c r="V542" s="2" t="inlineStr"/>
    </row>
    <row r="543" ht="15" customHeight="1">
      <c r="A543" t="inlineStr">
        <is>
          <t>A 13543-2025</t>
        </is>
      </c>
      <c r="B543" t="inlineStr">
        <is>
          <t>avverkningsanmälan</t>
        </is>
      </c>
      <c r="C543" t="inlineStr">
        <is>
          <t>Föryngringsavverkning</t>
        </is>
      </c>
      <c r="D543" s="1" t="n">
        <v>45736</v>
      </c>
      <c r="E543" s="1" t="n">
        <v>46298</v>
      </c>
      <c r="F543" t="inlineStr">
        <is>
          <t>VÄRMLANDS LÄN</t>
        </is>
      </c>
      <c r="G543" t="inlineStr">
        <is>
          <t>KARLSTAD</t>
        </is>
      </c>
      <c r="I543" t="n">
        <v>4.7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t="n">
        <v>0</v>
      </c>
      <c r="S543" t="n">
        <v>0</v>
      </c>
      <c r="T543" t="n">
        <v>0</v>
      </c>
      <c r="U543" t="n">
        <v>0</v>
      </c>
      <c r="V543" s="2" t="inlineStr"/>
    </row>
    <row r="544" ht="15" customHeight="1">
      <c r="A544" t="inlineStr">
        <is>
          <t>A 53305-2023</t>
        </is>
      </c>
      <c r="B544" t="inlineStr">
        <is>
          <t>avverkningsanmälan</t>
        </is>
      </c>
      <c r="C544" t="inlineStr">
        <is>
          <t>Avverkning för annat ändamål</t>
        </is>
      </c>
      <c r="D544" s="1" t="n">
        <v>45229</v>
      </c>
      <c r="E544" s="1" t="n">
        <v>46298</v>
      </c>
      <c r="F544" t="inlineStr">
        <is>
          <t>VÄRMLANDS LÄN</t>
        </is>
      </c>
      <c r="G544" t="inlineStr">
        <is>
          <t>KARLSTAD</t>
        </is>
      </c>
      <c r="H544" t="inlineStr">
        <is>
          <t>Övriga Aktiebolag</t>
        </is>
      </c>
      <c r="I544" t="n">
        <v>0.6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t="n">
        <v>0</v>
      </c>
      <c r="S544" t="n">
        <v>0</v>
      </c>
      <c r="T544" t="n">
        <v>0</v>
      </c>
      <c r="U544" t="n">
        <v>0</v>
      </c>
      <c r="V544" s="2" t="inlineStr"/>
    </row>
    <row r="545" ht="15" customHeight="1">
      <c r="A545" t="inlineStr">
        <is>
          <t>A 16757-2024</t>
        </is>
      </c>
      <c r="B545" t="inlineStr">
        <is>
          <t>avverkningsanmälan</t>
        </is>
      </c>
      <c r="C545" t="inlineStr">
        <is>
          <t>Avverkning för annat ändamål</t>
        </is>
      </c>
      <c r="D545" s="1" t="n">
        <v>45411</v>
      </c>
      <c r="E545" s="1" t="n">
        <v>46298</v>
      </c>
      <c r="F545" t="inlineStr">
        <is>
          <t>VÄRMLANDS LÄN</t>
        </is>
      </c>
      <c r="G545" t="inlineStr">
        <is>
          <t>KARLSTAD</t>
        </is>
      </c>
      <c r="I545" t="n">
        <v>1.4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t="n">
        <v>0</v>
      </c>
      <c r="S545" t="n">
        <v>0</v>
      </c>
      <c r="T545" t="n">
        <v>0</v>
      </c>
      <c r="U545" t="n">
        <v>0</v>
      </c>
      <c r="V545" s="2" t="inlineStr"/>
    </row>
    <row r="546" ht="15" customHeight="1">
      <c r="A546" t="inlineStr">
        <is>
          <t>A 8892-2025</t>
        </is>
      </c>
      <c r="B546" t="inlineStr">
        <is>
          <t>avverkningsanmälan</t>
        </is>
      </c>
      <c r="C546" t="inlineStr">
        <is>
          <t>Föryngringsavverkning</t>
        </is>
      </c>
      <c r="D546" s="1" t="n">
        <v>45713</v>
      </c>
      <c r="E546" s="1" t="n">
        <v>46298</v>
      </c>
      <c r="F546" t="inlineStr">
        <is>
          <t>VÄRMLANDS LÄN</t>
        </is>
      </c>
      <c r="G546" t="inlineStr">
        <is>
          <t>KARLSTAD</t>
        </is>
      </c>
      <c r="I546" t="n">
        <v>4.8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t="n">
        <v>0</v>
      </c>
      <c r="S546" t="n">
        <v>0</v>
      </c>
      <c r="T546" t="n">
        <v>0</v>
      </c>
      <c r="U546" t="n">
        <v>0</v>
      </c>
      <c r="V546" s="2" t="inlineStr"/>
    </row>
    <row r="547" ht="15" customHeight="1">
      <c r="A547" t="inlineStr">
        <is>
          <t>A 12399-2024</t>
        </is>
      </c>
      <c r="B547" t="inlineStr">
        <is>
          <t>avverkningsanmälan</t>
        </is>
      </c>
      <c r="C547" t="inlineStr">
        <is>
          <t>Föryngringsavverkning</t>
        </is>
      </c>
      <c r="D547" s="1" t="n">
        <v>45379</v>
      </c>
      <c r="E547" s="1" t="n">
        <v>46298</v>
      </c>
      <c r="F547" t="inlineStr">
        <is>
          <t>VÄRMLANDS LÄN</t>
        </is>
      </c>
      <c r="G547" t="inlineStr">
        <is>
          <t>KARLSTAD</t>
        </is>
      </c>
      <c r="I547" t="n">
        <v>6.5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t="n">
        <v>0</v>
      </c>
      <c r="S547" t="n">
        <v>0</v>
      </c>
      <c r="T547" t="n">
        <v>0</v>
      </c>
      <c r="U547" t="n">
        <v>0</v>
      </c>
      <c r="V547" s="2" t="inlineStr"/>
    </row>
    <row r="548" ht="15" customHeight="1">
      <c r="A548" t="inlineStr">
        <is>
          <t>A 54141-2024</t>
        </is>
      </c>
      <c r="B548" t="inlineStr">
        <is>
          <t>avverkningsanmälan</t>
        </is>
      </c>
      <c r="C548" t="inlineStr">
        <is>
          <t>Avverkning för att bevara och utveckla /försöksver</t>
        </is>
      </c>
      <c r="D548" s="1" t="n">
        <v>45616</v>
      </c>
      <c r="E548" s="1" t="n">
        <v>46298</v>
      </c>
      <c r="F548" t="inlineStr">
        <is>
          <t>VÄRMLANDS LÄN</t>
        </is>
      </c>
      <c r="G548" t="inlineStr">
        <is>
          <t>KARLSTAD</t>
        </is>
      </c>
      <c r="H548" t="inlineStr">
        <is>
          <t>Bergvik skog väst AB</t>
        </is>
      </c>
      <c r="I548" t="n">
        <v>2.1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t="n">
        <v>0</v>
      </c>
      <c r="S548" t="n">
        <v>0</v>
      </c>
      <c r="T548" t="n">
        <v>0</v>
      </c>
      <c r="U548" t="n">
        <v>0</v>
      </c>
      <c r="V548" s="2" t="inlineStr"/>
    </row>
    <row r="549" ht="15" customHeight="1">
      <c r="A549" t="inlineStr">
        <is>
          <t>A 21531-2025</t>
        </is>
      </c>
      <c r="B549" t="inlineStr">
        <is>
          <t>avverkningsanmälan</t>
        </is>
      </c>
      <c r="C549" t="inlineStr">
        <is>
          <t>Föryngringsavverkning</t>
        </is>
      </c>
      <c r="D549" s="1" t="n">
        <v>45782</v>
      </c>
      <c r="E549" s="1" t="n">
        <v>46298</v>
      </c>
      <c r="F549" t="inlineStr">
        <is>
          <t>VÄRMLANDS LÄN</t>
        </is>
      </c>
      <c r="G549" t="inlineStr">
        <is>
          <t>KARLSTAD</t>
        </is>
      </c>
      <c r="I549" t="n">
        <v>2.8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t="n">
        <v>0</v>
      </c>
      <c r="S549" t="n">
        <v>0</v>
      </c>
      <c r="T549" t="n">
        <v>0</v>
      </c>
      <c r="U549" t="n">
        <v>0</v>
      </c>
      <c r="V549" s="2" t="inlineStr"/>
    </row>
    <row r="550" ht="15" customHeight="1">
      <c r="A550" t="inlineStr">
        <is>
          <t>A 21442-2025</t>
        </is>
      </c>
      <c r="B550" t="inlineStr">
        <is>
          <t>avverkningsanmälan</t>
        </is>
      </c>
      <c r="C550" t="inlineStr">
        <is>
          <t>Föryngringsavverkning</t>
        </is>
      </c>
      <c r="D550" s="1" t="n">
        <v>45782</v>
      </c>
      <c r="E550" s="1" t="n">
        <v>46298</v>
      </c>
      <c r="F550" t="inlineStr">
        <is>
          <t>VÄRMLANDS LÄN</t>
        </is>
      </c>
      <c r="G550" t="inlineStr">
        <is>
          <t>KARLSTAD</t>
        </is>
      </c>
      <c r="I550" t="n">
        <v>6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t="n">
        <v>0</v>
      </c>
      <c r="S550" t="n">
        <v>0</v>
      </c>
      <c r="T550" t="n">
        <v>0</v>
      </c>
      <c r="U550" t="n">
        <v>0</v>
      </c>
      <c r="V550" s="2" t="inlineStr"/>
    </row>
    <row r="551" ht="15" customHeight="1">
      <c r="A551" t="inlineStr">
        <is>
          <t>A 21866-2025</t>
        </is>
      </c>
      <c r="B551" t="inlineStr">
        <is>
          <t>avverkningsanmälan</t>
        </is>
      </c>
      <c r="C551" t="inlineStr">
        <is>
          <t>Föryngringsavverkning</t>
        </is>
      </c>
      <c r="D551" s="1" t="n">
        <v>45784</v>
      </c>
      <c r="E551" s="1" t="n">
        <v>46298</v>
      </c>
      <c r="F551" t="inlineStr">
        <is>
          <t>VÄRMLANDS LÄN</t>
        </is>
      </c>
      <c r="G551" t="inlineStr">
        <is>
          <t>KARLSTAD</t>
        </is>
      </c>
      <c r="I551" t="n">
        <v>0.6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t="n">
        <v>0</v>
      </c>
      <c r="S551" t="n">
        <v>0</v>
      </c>
      <c r="T551" t="n">
        <v>0</v>
      </c>
      <c r="U551" t="n">
        <v>0</v>
      </c>
      <c r="V551" s="2" t="inlineStr"/>
    </row>
    <row r="552" ht="15" customHeight="1">
      <c r="A552" t="inlineStr">
        <is>
          <t>A 21840-2025</t>
        </is>
      </c>
      <c r="B552" t="inlineStr">
        <is>
          <t>avverkningsanmälan</t>
        </is>
      </c>
      <c r="C552" t="inlineStr">
        <is>
          <t>Föryngringsavverkning</t>
        </is>
      </c>
      <c r="D552" s="1" t="n">
        <v>45784</v>
      </c>
      <c r="E552" s="1" t="n">
        <v>46298</v>
      </c>
      <c r="F552" t="inlineStr">
        <is>
          <t>VÄRMLANDS LÄN</t>
        </is>
      </c>
      <c r="G552" t="inlineStr">
        <is>
          <t>KARLSTAD</t>
        </is>
      </c>
      <c r="I552" t="n">
        <v>0.9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t="n">
        <v>0</v>
      </c>
      <c r="S552" t="n">
        <v>0</v>
      </c>
      <c r="T552" t="n">
        <v>0</v>
      </c>
      <c r="U552" t="n">
        <v>0</v>
      </c>
      <c r="V552" s="2" t="inlineStr"/>
    </row>
    <row r="553" ht="15" customHeight="1">
      <c r="A553" t="inlineStr">
        <is>
          <t>A 21844-2025</t>
        </is>
      </c>
      <c r="B553" t="inlineStr">
        <is>
          <t>avverkningsanmälan</t>
        </is>
      </c>
      <c r="C553" t="inlineStr">
        <is>
          <t>Föryngringsavverkning</t>
        </is>
      </c>
      <c r="D553" s="1" t="n">
        <v>45784</v>
      </c>
      <c r="E553" s="1" t="n">
        <v>46298</v>
      </c>
      <c r="F553" t="inlineStr">
        <is>
          <t>VÄRMLANDS LÄN</t>
        </is>
      </c>
      <c r="G553" t="inlineStr">
        <is>
          <t>KARLSTAD</t>
        </is>
      </c>
      <c r="I553" t="n">
        <v>8.4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t="n">
        <v>0</v>
      </c>
      <c r="S553" t="n">
        <v>0</v>
      </c>
      <c r="T553" t="n">
        <v>0</v>
      </c>
      <c r="U553" t="n">
        <v>0</v>
      </c>
      <c r="V553" s="2" t="inlineStr"/>
    </row>
    <row r="554" ht="15" customHeight="1">
      <c r="A554" t="inlineStr">
        <is>
          <t>A 21849-2025</t>
        </is>
      </c>
      <c r="B554" t="inlineStr">
        <is>
          <t>avverkningsanmälan</t>
        </is>
      </c>
      <c r="C554" t="inlineStr">
        <is>
          <t>Föryngringsavverkning</t>
        </is>
      </c>
      <c r="D554" s="1" t="n">
        <v>45784</v>
      </c>
      <c r="E554" s="1" t="n">
        <v>46298</v>
      </c>
      <c r="F554" t="inlineStr">
        <is>
          <t>VÄRMLANDS LÄN</t>
        </is>
      </c>
      <c r="G554" t="inlineStr">
        <is>
          <t>KARLSTAD</t>
        </is>
      </c>
      <c r="I554" t="n">
        <v>3.6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t="n">
        <v>0</v>
      </c>
      <c r="S554" t="n">
        <v>0</v>
      </c>
      <c r="T554" t="n">
        <v>0</v>
      </c>
      <c r="U554" t="n">
        <v>0</v>
      </c>
      <c r="V554" s="2" t="inlineStr"/>
    </row>
    <row r="555" ht="15" customHeight="1">
      <c r="A555" t="inlineStr">
        <is>
          <t>A 21838-2025</t>
        </is>
      </c>
      <c r="B555" t="inlineStr">
        <is>
          <t>avverkningsanmälan</t>
        </is>
      </c>
      <c r="C555" t="inlineStr">
        <is>
          <t>Föryngringsavverkning</t>
        </is>
      </c>
      <c r="D555" s="1" t="n">
        <v>45784</v>
      </c>
      <c r="E555" s="1" t="n">
        <v>46298</v>
      </c>
      <c r="F555" t="inlineStr">
        <is>
          <t>VÄRMLANDS LÄN</t>
        </is>
      </c>
      <c r="G555" t="inlineStr">
        <is>
          <t>KARLSTAD</t>
        </is>
      </c>
      <c r="I555" t="n">
        <v>2.8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t="n">
        <v>0</v>
      </c>
      <c r="S555" t="n">
        <v>0</v>
      </c>
      <c r="T555" t="n">
        <v>0</v>
      </c>
      <c r="U555" t="n">
        <v>0</v>
      </c>
      <c r="V555" s="2" t="inlineStr"/>
    </row>
    <row r="556" ht="15" customHeight="1">
      <c r="A556" t="inlineStr">
        <is>
          <t>A 22585-2025</t>
        </is>
      </c>
      <c r="B556" t="inlineStr">
        <is>
          <t>avverkningsanmälan</t>
        </is>
      </c>
      <c r="C556" t="inlineStr">
        <is>
          <t>Föryngringsavverkning</t>
        </is>
      </c>
      <c r="D556" s="1" t="n">
        <v>45789</v>
      </c>
      <c r="E556" s="1" t="n">
        <v>46298</v>
      </c>
      <c r="F556" t="inlineStr">
        <is>
          <t>VÄRMLANDS LÄN</t>
        </is>
      </c>
      <c r="G556" t="inlineStr">
        <is>
          <t>KARLSTAD</t>
        </is>
      </c>
      <c r="H556" t="inlineStr">
        <is>
          <t>Bergvik skog väst AB</t>
        </is>
      </c>
      <c r="I556" t="n">
        <v>1.6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t="n">
        <v>0</v>
      </c>
      <c r="S556" t="n">
        <v>0</v>
      </c>
      <c r="T556" t="n">
        <v>0</v>
      </c>
      <c r="U556" t="n">
        <v>0</v>
      </c>
      <c r="V556" s="2" t="inlineStr"/>
    </row>
    <row r="557" ht="15" customHeight="1">
      <c r="A557" t="inlineStr">
        <is>
          <t>A 39792-2024</t>
        </is>
      </c>
      <c r="B557" t="inlineStr">
        <is>
          <t>avverkningsanmälan</t>
        </is>
      </c>
      <c r="C557" t="inlineStr">
        <is>
          <t>Föryngringsavverkning</t>
        </is>
      </c>
      <c r="D557" s="1" t="n">
        <v>45553</v>
      </c>
      <c r="E557" s="1" t="n">
        <v>46298</v>
      </c>
      <c r="F557" t="inlineStr">
        <is>
          <t>VÄRMLANDS LÄN</t>
        </is>
      </c>
      <c r="G557" t="inlineStr">
        <is>
          <t>KARLSTAD</t>
        </is>
      </c>
      <c r="I557" t="n">
        <v>2.1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t="n">
        <v>0</v>
      </c>
      <c r="S557" t="n">
        <v>0</v>
      </c>
      <c r="T557" t="n">
        <v>0</v>
      </c>
      <c r="U557" t="n">
        <v>0</v>
      </c>
      <c r="V557" s="2" t="inlineStr"/>
    </row>
    <row r="558" ht="15" customHeight="1">
      <c r="A558" t="inlineStr">
        <is>
          <t>S 4402-2023</t>
        </is>
      </c>
      <c r="B558" t="inlineStr">
        <is>
          <t>samrådsanmälan</t>
        </is>
      </c>
      <c r="C558" t="inlineStr">
        <is>
          <t>Skogsgödsling</t>
        </is>
      </c>
      <c r="D558" s="1" t="n">
        <v>45266</v>
      </c>
      <c r="E558" s="1" t="n">
        <v>46298</v>
      </c>
      <c r="F558" t="inlineStr">
        <is>
          <t>VÄRMLANDS LÄN</t>
        </is>
      </c>
      <c r="G558" t="inlineStr">
        <is>
          <t>KARLSTAD</t>
        </is>
      </c>
      <c r="H558" t="inlineStr">
        <is>
          <t>Bergvik skog väst AB</t>
        </is>
      </c>
      <c r="I558" t="n">
        <v>14.5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t="n">
        <v>0</v>
      </c>
      <c r="S558" t="n">
        <v>0</v>
      </c>
      <c r="T558" t="n">
        <v>0</v>
      </c>
      <c r="U558" t="n">
        <v>0</v>
      </c>
      <c r="V558" s="2" t="inlineStr"/>
    </row>
    <row r="559" ht="15" customHeight="1">
      <c r="A559" t="inlineStr">
        <is>
          <t>S 435-2024</t>
        </is>
      </c>
      <c r="B559" t="inlineStr">
        <is>
          <t>samrådsanmälan</t>
        </is>
      </c>
      <c r="C559" t="inlineStr">
        <is>
          <t>Askåterföring</t>
        </is>
      </c>
      <c r="D559" s="1" t="n">
        <v>45337</v>
      </c>
      <c r="E559" s="1" t="n">
        <v>46298</v>
      </c>
      <c r="F559" t="inlineStr">
        <is>
          <t>VÄRMLANDS LÄN</t>
        </is>
      </c>
      <c r="G559" t="inlineStr">
        <is>
          <t>KARLSTAD</t>
        </is>
      </c>
      <c r="I559" t="n">
        <v>101.6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t="n">
        <v>0</v>
      </c>
      <c r="S559" t="n">
        <v>0</v>
      </c>
      <c r="T559" t="n">
        <v>0</v>
      </c>
      <c r="U559" t="n">
        <v>0</v>
      </c>
      <c r="V559" s="2" t="inlineStr"/>
    </row>
    <row r="560" ht="15" customHeight="1">
      <c r="A560" t="inlineStr">
        <is>
          <t>S 5511-2022</t>
        </is>
      </c>
      <c r="B560" t="inlineStr">
        <is>
          <t>samrådsanmälan</t>
        </is>
      </c>
      <c r="C560" t="inlineStr">
        <is>
          <t>Skogsgödsling</t>
        </is>
      </c>
      <c r="D560" s="1" t="n">
        <v>44834</v>
      </c>
      <c r="E560" s="1" t="n">
        <v>46298</v>
      </c>
      <c r="F560" t="inlineStr">
        <is>
          <t>VÄRMLANDS LÄN</t>
        </is>
      </c>
      <c r="G560" t="inlineStr">
        <is>
          <t>KARLSTAD</t>
        </is>
      </c>
      <c r="H560" t="inlineStr">
        <is>
          <t>Naturvårdsverket</t>
        </is>
      </c>
      <c r="I560" t="n">
        <v>44.5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t="n">
        <v>0</v>
      </c>
      <c r="S560" t="n">
        <v>0</v>
      </c>
      <c r="T560" t="n">
        <v>0</v>
      </c>
      <c r="U560" t="n">
        <v>0</v>
      </c>
      <c r="V560" s="2" t="inlineStr"/>
    </row>
    <row r="561" ht="15" customHeight="1">
      <c r="A561" t="inlineStr">
        <is>
          <t>S 928-2022</t>
        </is>
      </c>
      <c r="B561" t="inlineStr">
        <is>
          <t>samrådsanmälan</t>
        </is>
      </c>
      <c r="C561" t="inlineStr">
        <is>
          <t>Skogsgödsling</t>
        </is>
      </c>
      <c r="D561" s="1" t="n">
        <v>44606</v>
      </c>
      <c r="E561" s="1" t="n">
        <v>46298</v>
      </c>
      <c r="F561" t="inlineStr">
        <is>
          <t>VÄRMLANDS LÄN</t>
        </is>
      </c>
      <c r="G561" t="inlineStr">
        <is>
          <t>KARLSTAD</t>
        </is>
      </c>
      <c r="H561" t="inlineStr">
        <is>
          <t>Naturvårdsverket</t>
        </is>
      </c>
      <c r="I561" t="n">
        <v>41.1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t="n">
        <v>0</v>
      </c>
      <c r="S561" t="n">
        <v>0</v>
      </c>
      <c r="T561" t="n">
        <v>0</v>
      </c>
      <c r="U561" t="n">
        <v>0</v>
      </c>
      <c r="V561" s="2" t="inlineStr"/>
    </row>
    <row r="562" ht="15" customHeight="1">
      <c r="A562" t="inlineStr">
        <is>
          <t>S 4396-2023</t>
        </is>
      </c>
      <c r="B562" t="inlineStr">
        <is>
          <t>samrådsanmälan</t>
        </is>
      </c>
      <c r="C562" t="inlineStr">
        <is>
          <t>Skogsgödsling</t>
        </is>
      </c>
      <c r="D562" s="1" t="n">
        <v>45266</v>
      </c>
      <c r="E562" s="1" t="n">
        <v>46298</v>
      </c>
      <c r="F562" t="inlineStr">
        <is>
          <t>VÄRMLANDS LÄN</t>
        </is>
      </c>
      <c r="G562" t="inlineStr">
        <is>
          <t>KARLSTAD</t>
        </is>
      </c>
      <c r="H562" t="inlineStr">
        <is>
          <t>Bergvik skog väst AB</t>
        </is>
      </c>
      <c r="I562" t="n">
        <v>8.199999999999999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t="n">
        <v>0</v>
      </c>
      <c r="S562" t="n">
        <v>0</v>
      </c>
      <c r="T562" t="n">
        <v>0</v>
      </c>
      <c r="U562" t="n">
        <v>0</v>
      </c>
      <c r="V562" s="2" t="inlineStr"/>
    </row>
    <row r="563" ht="15" customHeight="1">
      <c r="A563" t="inlineStr">
        <is>
          <t>S 2688-2024</t>
        </is>
      </c>
      <c r="B563" t="inlineStr">
        <is>
          <t>samrådsanmälan</t>
        </is>
      </c>
      <c r="C563" t="inlineStr">
        <is>
          <t>Askåterföring</t>
        </is>
      </c>
      <c r="D563" s="1" t="n">
        <v>45481</v>
      </c>
      <c r="E563" s="1" t="n">
        <v>46298</v>
      </c>
      <c r="F563" t="inlineStr">
        <is>
          <t>VÄRMLANDS LÄN</t>
        </is>
      </c>
      <c r="G563" t="inlineStr">
        <is>
          <t>KARLSTAD</t>
        </is>
      </c>
      <c r="I563" t="n">
        <v>31.6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t="n">
        <v>0</v>
      </c>
      <c r="S563" t="n">
        <v>0</v>
      </c>
      <c r="T563" t="n">
        <v>0</v>
      </c>
      <c r="U563" t="n">
        <v>0</v>
      </c>
      <c r="V563" s="2" t="inlineStr"/>
    </row>
    <row r="564" ht="15" customHeight="1">
      <c r="A564" t="inlineStr">
        <is>
          <t>S 416-2024</t>
        </is>
      </c>
      <c r="B564" t="inlineStr">
        <is>
          <t>samrådsanmälan</t>
        </is>
      </c>
      <c r="C564" t="inlineStr">
        <is>
          <t>Åtgärd i nyckelbiotop</t>
        </is>
      </c>
      <c r="D564" s="1" t="n">
        <v>45335</v>
      </c>
      <c r="E564" s="1" t="n">
        <v>46298</v>
      </c>
      <c r="F564" t="inlineStr">
        <is>
          <t>VÄRMLANDS LÄN</t>
        </is>
      </c>
      <c r="G564" t="inlineStr">
        <is>
          <t>KARLSTAD</t>
        </is>
      </c>
      <c r="I564" t="n">
        <v>0.3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t="n">
        <v>0</v>
      </c>
      <c r="S564" t="n">
        <v>0</v>
      </c>
      <c r="T564" t="n">
        <v>0</v>
      </c>
      <c r="U564" t="n">
        <v>0</v>
      </c>
      <c r="V564" s="2" t="inlineStr"/>
    </row>
    <row r="565" ht="15" customHeight="1">
      <c r="A565" t="inlineStr">
        <is>
          <t>S 6972-2022</t>
        </is>
      </c>
      <c r="B565" t="inlineStr">
        <is>
          <t>samrådsanmälan</t>
        </is>
      </c>
      <c r="C565" t="inlineStr">
        <is>
          <t>Skogsgödsling</t>
        </is>
      </c>
      <c r="D565" s="1" t="n">
        <v>44901</v>
      </c>
      <c r="E565" s="1" t="n">
        <v>46298</v>
      </c>
      <c r="F565" t="inlineStr">
        <is>
          <t>VÄRMLANDS LÄN</t>
        </is>
      </c>
      <c r="G565" t="inlineStr">
        <is>
          <t>KARLSTAD</t>
        </is>
      </c>
      <c r="H565" t="inlineStr">
        <is>
          <t>Naturvårdsverket</t>
        </is>
      </c>
      <c r="I565" t="n">
        <v>43.4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t="n">
        <v>0</v>
      </c>
      <c r="S565" t="n">
        <v>0</v>
      </c>
      <c r="T565" t="n">
        <v>0</v>
      </c>
      <c r="U565" t="n">
        <v>0</v>
      </c>
      <c r="V565" s="2" t="inlineStr"/>
    </row>
    <row r="566" ht="15" customHeight="1">
      <c r="A566" t="inlineStr">
        <is>
          <t>S 2560-2024</t>
        </is>
      </c>
      <c r="B566" t="inlineStr">
        <is>
          <t>samrådsanmälan</t>
        </is>
      </c>
      <c r="C566" t="inlineStr">
        <is>
          <t>Askåterföring</t>
        </is>
      </c>
      <c r="D566" s="1" t="n">
        <v>45476</v>
      </c>
      <c r="E566" s="1" t="n">
        <v>46298</v>
      </c>
      <c r="F566" t="inlineStr">
        <is>
          <t>VÄRMLANDS LÄN</t>
        </is>
      </c>
      <c r="G566" t="inlineStr">
        <is>
          <t>KARLSTAD</t>
        </is>
      </c>
      <c r="I566" t="n">
        <v>19.1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t="n">
        <v>0</v>
      </c>
      <c r="S566" t="n">
        <v>0</v>
      </c>
      <c r="T566" t="n">
        <v>0</v>
      </c>
      <c r="U566" t="n">
        <v>0</v>
      </c>
      <c r="V566" s="2" t="inlineStr"/>
    </row>
    <row r="567" ht="15" customHeight="1">
      <c r="A567" t="inlineStr">
        <is>
          <t>S 3510-2022</t>
        </is>
      </c>
      <c r="B567" t="inlineStr">
        <is>
          <t>samrådsanmälan</t>
        </is>
      </c>
      <c r="C567" t="inlineStr">
        <is>
          <t>Askåterföring</t>
        </is>
      </c>
      <c r="D567" s="1" t="n">
        <v>44733</v>
      </c>
      <c r="E567" s="1" t="n">
        <v>46298</v>
      </c>
      <c r="F567" t="inlineStr">
        <is>
          <t>VÄRMLANDS LÄN</t>
        </is>
      </c>
      <c r="G567" t="inlineStr">
        <is>
          <t>KARLSTAD</t>
        </is>
      </c>
      <c r="I567" t="n">
        <v>27.7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t="n">
        <v>0</v>
      </c>
      <c r="S567" t="n">
        <v>0</v>
      </c>
      <c r="T567" t="n">
        <v>0</v>
      </c>
      <c r="U567" t="n">
        <v>0</v>
      </c>
      <c r="V567" s="2" t="inlineStr"/>
    </row>
    <row r="568" ht="15" customHeight="1">
      <c r="A568" t="inlineStr">
        <is>
          <t>S 4126-2022</t>
        </is>
      </c>
      <c r="B568" t="inlineStr">
        <is>
          <t>samrådsanmälan</t>
        </is>
      </c>
      <c r="C568" t="inlineStr">
        <is>
          <t>Askåterföring</t>
        </is>
      </c>
      <c r="D568" s="1" t="n">
        <v>44763</v>
      </c>
      <c r="E568" s="1" t="n">
        <v>46298</v>
      </c>
      <c r="F568" t="inlineStr">
        <is>
          <t>VÄRMLANDS LÄN</t>
        </is>
      </c>
      <c r="G568" t="inlineStr">
        <is>
          <t>KARLSTAD</t>
        </is>
      </c>
      <c r="I568" t="n">
        <v>10.2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t="n">
        <v>0</v>
      </c>
      <c r="S568" t="n">
        <v>0</v>
      </c>
      <c r="T568" t="n">
        <v>0</v>
      </c>
      <c r="U568" t="n">
        <v>0</v>
      </c>
      <c r="V568" s="2" t="inlineStr"/>
    </row>
    <row r="569" ht="15" customHeight="1">
      <c r="A569" t="inlineStr">
        <is>
          <t>S 1875-2023</t>
        </is>
      </c>
      <c r="B569" t="inlineStr">
        <is>
          <t>samrådsanmälan</t>
        </is>
      </c>
      <c r="C569" t="inlineStr">
        <is>
          <t>Askåterföring</t>
        </is>
      </c>
      <c r="D569" s="1" t="n">
        <v>45076</v>
      </c>
      <c r="E569" s="1" t="n">
        <v>46298</v>
      </c>
      <c r="F569" t="inlineStr">
        <is>
          <t>VÄRMLANDS LÄN</t>
        </is>
      </c>
      <c r="G569" t="inlineStr">
        <is>
          <t>KARLSTAD</t>
        </is>
      </c>
      <c r="H569" t="inlineStr">
        <is>
          <t>Kommuner</t>
        </is>
      </c>
      <c r="I569" t="n">
        <v>163.7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t="n">
        <v>0</v>
      </c>
      <c r="S569" t="n">
        <v>0</v>
      </c>
      <c r="T569" t="n">
        <v>0</v>
      </c>
      <c r="U569" t="n">
        <v>0</v>
      </c>
      <c r="V569" s="2" t="inlineStr"/>
    </row>
    <row r="570" ht="15" customHeight="1">
      <c r="A570" t="inlineStr">
        <is>
          <t>S 686-2022</t>
        </is>
      </c>
      <c r="B570" t="inlineStr">
        <is>
          <t>samrådsanmälan</t>
        </is>
      </c>
      <c r="C570" t="inlineStr">
        <is>
          <t>Skogsbilväg</t>
        </is>
      </c>
      <c r="D570" s="1" t="n">
        <v>44596</v>
      </c>
      <c r="E570" s="1" t="n">
        <v>46298</v>
      </c>
      <c r="F570" t="inlineStr">
        <is>
          <t>VÄRMLANDS LÄN</t>
        </is>
      </c>
      <c r="G570" t="inlineStr">
        <is>
          <t>KARLSTAD</t>
        </is>
      </c>
      <c r="I570" t="n">
        <v>0.9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t="n">
        <v>0</v>
      </c>
      <c r="S570" t="n">
        <v>0</v>
      </c>
      <c r="T570" t="n">
        <v>0</v>
      </c>
      <c r="U570" t="n">
        <v>0</v>
      </c>
      <c r="V570" s="2" t="inlineStr"/>
    </row>
    <row r="571" ht="15" customHeight="1">
      <c r="A571" t="inlineStr">
        <is>
          <t>S 3546-2022</t>
        </is>
      </c>
      <c r="B571" t="inlineStr">
        <is>
          <t>samrådsanmälan</t>
        </is>
      </c>
      <c r="C571" t="inlineStr">
        <is>
          <t>Åtgärd i nyckelbiotop</t>
        </is>
      </c>
      <c r="D571" s="1" t="n">
        <v>44735</v>
      </c>
      <c r="E571" s="1" t="n">
        <v>46298</v>
      </c>
      <c r="F571" t="inlineStr">
        <is>
          <t>VÄRMLANDS LÄN</t>
        </is>
      </c>
      <c r="G571" t="inlineStr">
        <is>
          <t>KARLSTAD</t>
        </is>
      </c>
      <c r="I571" t="n">
        <v>1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t="n">
        <v>0</v>
      </c>
      <c r="S571" t="n">
        <v>0</v>
      </c>
      <c r="T571" t="n">
        <v>0</v>
      </c>
      <c r="U571" t="n">
        <v>0</v>
      </c>
      <c r="V571" s="2" t="inlineStr"/>
    </row>
    <row r="572" ht="15" customHeight="1">
      <c r="A572" t="inlineStr">
        <is>
          <t>S 664-2025</t>
        </is>
      </c>
      <c r="B572" t="inlineStr">
        <is>
          <t>samrådsanmälan</t>
        </is>
      </c>
      <c r="C572" t="inlineStr">
        <is>
          <t>Skogsgödsling</t>
        </is>
      </c>
      <c r="D572" s="1" t="n">
        <v>45716</v>
      </c>
      <c r="E572" s="1" t="n">
        <v>46298</v>
      </c>
      <c r="F572" t="inlineStr">
        <is>
          <t>VÄRMLANDS LÄN</t>
        </is>
      </c>
      <c r="G572" t="inlineStr">
        <is>
          <t>KARLSTAD</t>
        </is>
      </c>
      <c r="H572" t="inlineStr">
        <is>
          <t>Naturvårdsverket</t>
        </is>
      </c>
      <c r="I572" t="n">
        <v>18.2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t="n">
        <v>0</v>
      </c>
      <c r="S572" t="n">
        <v>0</v>
      </c>
      <c r="T572" t="n">
        <v>0</v>
      </c>
      <c r="U572" t="n">
        <v>0</v>
      </c>
      <c r="V572" s="2" t="inlineStr"/>
    </row>
    <row r="573" ht="15" customHeight="1">
      <c r="A573" t="inlineStr">
        <is>
          <t>S 3060-2025</t>
        </is>
      </c>
      <c r="B573" t="inlineStr">
        <is>
          <t>samrådsanmälan</t>
        </is>
      </c>
      <c r="C573" t="inlineStr">
        <is>
          <t>Annan skogsbruksåtgärd</t>
        </is>
      </c>
      <c r="D573" s="1" t="n">
        <v>45964</v>
      </c>
      <c r="E573" s="1" t="n">
        <v>46298</v>
      </c>
      <c r="F573" t="inlineStr">
        <is>
          <t>VÄRMLANDS LÄN</t>
        </is>
      </c>
      <c r="G573" t="inlineStr">
        <is>
          <t>KARLSTAD</t>
        </is>
      </c>
      <c r="I573" t="n">
        <v>4.6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t="n">
        <v>0</v>
      </c>
      <c r="S573" t="n">
        <v>0</v>
      </c>
      <c r="T573" t="n">
        <v>0</v>
      </c>
      <c r="U573" t="n">
        <v>0</v>
      </c>
      <c r="V573" s="2" t="inlineStr"/>
    </row>
    <row r="574">
      <c r="A574" t="inlineStr">
        <is>
          <t>S 100-2026</t>
        </is>
      </c>
      <c r="B574" t="inlineStr">
        <is>
          <t>samrådsanmälan</t>
        </is>
      </c>
      <c r="C574" t="inlineStr">
        <is>
          <t>Skogsgödsling</t>
        </is>
      </c>
      <c r="D574" s="1" t="n">
        <v>46036</v>
      </c>
      <c r="E574" s="1" t="n">
        <v>46298</v>
      </c>
      <c r="F574" t="inlineStr">
        <is>
          <t>VÄRMLANDS LÄN</t>
        </is>
      </c>
      <c r="G574" t="inlineStr">
        <is>
          <t>KARLSTAD</t>
        </is>
      </c>
      <c r="H574" t="inlineStr">
        <is>
          <t>Naturvårdsverket</t>
        </is>
      </c>
      <c r="I574" t="n">
        <v>26.6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t="n">
        <v>0</v>
      </c>
      <c r="S574" t="n">
        <v>0</v>
      </c>
      <c r="T574" t="n">
        <v>0</v>
      </c>
      <c r="U574" t="n">
        <v>0</v>
      </c>
      <c r="V57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2026-10-03T02:00:33Z</dcterms:created>
  <dcterms:modified xmlns:dcterms="http://purl.org/dc/terms/" xmlns:xsi="http://www.w3.org/2001/XMLSchema-instance" xsi:type="dcterms:W3CDTF">2026-10-03T02:00:33Z</dcterms:modified>
</cp:coreProperties>
</file>