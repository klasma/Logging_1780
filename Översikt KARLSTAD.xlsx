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45673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45673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45673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45673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45673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45673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45673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45673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45673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45673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45673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45673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45673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45673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45673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45673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45673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45673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45673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45673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45673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45673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45673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45673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45673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45673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45673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45673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45673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45673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45673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45673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45673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45673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45673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45673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45673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45673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45673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45673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45673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45673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45673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45673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45673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45673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45673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45673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45673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45673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45673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45673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45673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45673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45673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45673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45673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45673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45673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45673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Gråkråka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45673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45673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45673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45673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60275-2024</t>
        </is>
      </c>
      <c r="B66" s="1" t="n">
        <v>45642</v>
      </c>
      <c r="C66" s="1" t="n">
        <v>45673</v>
      </c>
      <c r="D66" t="inlineStr">
        <is>
          <t>VÄRMLANDS LÄN</t>
        </is>
      </c>
      <c r="E66" t="inlineStr">
        <is>
          <t>KARLSTAD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60275-2024 artfynd.xlsx", "A 60275-2024")</f>
        <v/>
      </c>
      <c r="T66">
        <f>HYPERLINK("https://klasma.github.io/Logging_1780/kartor/A 60275-2024 karta.png", "A 60275-2024")</f>
        <v/>
      </c>
      <c r="V66">
        <f>HYPERLINK("https://klasma.github.io/Logging_1780/klagomål/A 60275-2024 FSC-klagomål.docx", "A 60275-2024")</f>
        <v/>
      </c>
      <c r="W66">
        <f>HYPERLINK("https://klasma.github.io/Logging_1780/klagomålsmail/A 60275-2024 FSC-klagomål mail.docx", "A 60275-2024")</f>
        <v/>
      </c>
      <c r="X66">
        <f>HYPERLINK("https://klasma.github.io/Logging_1780/tillsyn/A 60275-2024 tillsynsbegäran.docx", "A 60275-2024")</f>
        <v/>
      </c>
      <c r="Y66">
        <f>HYPERLINK("https://klasma.github.io/Logging_1780/tillsynsmail/A 60275-2024 tillsynsbegäran mail.docx", "A 60275-2024")</f>
        <v/>
      </c>
    </row>
    <row r="67" ht="15" customHeight="1">
      <c r="A67" t="inlineStr">
        <is>
          <t>A 18033-2019</t>
        </is>
      </c>
      <c r="B67" s="1" t="n">
        <v>43556</v>
      </c>
      <c r="C67" s="1" t="n">
        <v>45673</v>
      </c>
      <c r="D67" t="inlineStr">
        <is>
          <t>VÄRMLANDS LÄN</t>
        </is>
      </c>
      <c r="E67" t="inlineStr">
        <is>
          <t>KARLSTAD</t>
        </is>
      </c>
      <c r="G67" t="n">
        <v>16.5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18104-2019</t>
        </is>
      </c>
      <c r="B68" s="1" t="n">
        <v>43556</v>
      </c>
      <c r="C68" s="1" t="n">
        <v>45673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17923-2019</t>
        </is>
      </c>
      <c r="B69" s="1" t="n">
        <v>43557</v>
      </c>
      <c r="C69" s="1" t="n">
        <v>45673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18257-2019</t>
        </is>
      </c>
      <c r="B70" s="1" t="n">
        <v>43557</v>
      </c>
      <c r="C70" s="1" t="n">
        <v>45673</v>
      </c>
      <c r="D70" t="inlineStr">
        <is>
          <t>VÄRMLANDS LÄN</t>
        </is>
      </c>
      <c r="E70" t="inlineStr">
        <is>
          <t>KARLSTAD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18120-2019</t>
        </is>
      </c>
      <c r="B71" s="1" t="n">
        <v>43558</v>
      </c>
      <c r="C71" s="1" t="n">
        <v>45673</v>
      </c>
      <c r="D71" t="inlineStr">
        <is>
          <t>VÄRMLANDS LÄN</t>
        </is>
      </c>
      <c r="E71" t="inlineStr">
        <is>
          <t>KARLSTAD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18126-2019</t>
        </is>
      </c>
      <c r="B72" s="1" t="n">
        <v>43558</v>
      </c>
      <c r="C72" s="1" t="n">
        <v>45673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18285-2019</t>
        </is>
      </c>
      <c r="B73" s="1" t="n">
        <v>43558</v>
      </c>
      <c r="C73" s="1" t="n">
        <v>45673</v>
      </c>
      <c r="D73" t="inlineStr">
        <is>
          <t>VÄRMLANDS LÄN</t>
        </is>
      </c>
      <c r="E73" t="inlineStr">
        <is>
          <t>KARLSTAD</t>
        </is>
      </c>
      <c r="F73" t="inlineStr">
        <is>
          <t>Övriga statliga verk och myndigheter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18525-2019</t>
        </is>
      </c>
      <c r="B74" s="1" t="n">
        <v>43559</v>
      </c>
      <c r="C74" s="1" t="n">
        <v>45673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18938-2019</t>
        </is>
      </c>
      <c r="B75" s="1" t="n">
        <v>43563</v>
      </c>
      <c r="C75" s="1" t="n">
        <v>45673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19120-2019</t>
        </is>
      </c>
      <c r="B76" s="1" t="n">
        <v>43564</v>
      </c>
      <c r="C76" s="1" t="n">
        <v>45673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19226-2019</t>
        </is>
      </c>
      <c r="B77" s="1" t="n">
        <v>43564</v>
      </c>
      <c r="C77" s="1" t="n">
        <v>45673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19133-2019</t>
        </is>
      </c>
      <c r="B78" s="1" t="n">
        <v>43564</v>
      </c>
      <c r="C78" s="1" t="n">
        <v>45673</v>
      </c>
      <c r="D78" t="inlineStr">
        <is>
          <t>VÄRMLANDS LÄN</t>
        </is>
      </c>
      <c r="E78" t="inlineStr">
        <is>
          <t>KARLSTAD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20301-2019</t>
        </is>
      </c>
      <c r="B79" s="1" t="n">
        <v>43570</v>
      </c>
      <c r="C79" s="1" t="n">
        <v>45673</v>
      </c>
      <c r="D79" t="inlineStr">
        <is>
          <t>VÄRMLANDS LÄN</t>
        </is>
      </c>
      <c r="E79" t="inlineStr">
        <is>
          <t>KARLSTAD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20339-2019</t>
        </is>
      </c>
      <c r="B80" s="1" t="n">
        <v>43570</v>
      </c>
      <c r="C80" s="1" t="n">
        <v>45673</v>
      </c>
      <c r="D80" t="inlineStr">
        <is>
          <t>VÄRMLANDS LÄN</t>
        </is>
      </c>
      <c r="E80" t="inlineStr">
        <is>
          <t>KARLSTAD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20461-2019</t>
        </is>
      </c>
      <c r="B81" s="1" t="n">
        <v>43572</v>
      </c>
      <c r="C81" s="1" t="n">
        <v>45673</v>
      </c>
      <c r="D81" t="inlineStr">
        <is>
          <t>VÄRMLANDS LÄN</t>
        </is>
      </c>
      <c r="E81" t="inlineStr">
        <is>
          <t>KARLSTAD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20610-2019</t>
        </is>
      </c>
      <c r="B82" s="1" t="n">
        <v>43572</v>
      </c>
      <c r="C82" s="1" t="n">
        <v>45673</v>
      </c>
      <c r="D82" t="inlineStr">
        <is>
          <t>VÄRMLANDS LÄN</t>
        </is>
      </c>
      <c r="E82" t="inlineStr">
        <is>
          <t>KARLSTAD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20785-2019</t>
        </is>
      </c>
      <c r="B83" s="1" t="n">
        <v>43573</v>
      </c>
      <c r="C83" s="1" t="n">
        <v>45673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20852-2019</t>
        </is>
      </c>
      <c r="B84" s="1" t="n">
        <v>43577</v>
      </c>
      <c r="C84" s="1" t="n">
        <v>45673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21350-2019</t>
        </is>
      </c>
      <c r="B85" s="1" t="n">
        <v>43579</v>
      </c>
      <c r="C85" s="1" t="n">
        <v>45673</v>
      </c>
      <c r="D85" t="inlineStr">
        <is>
          <t>VÄRMLANDS LÄN</t>
        </is>
      </c>
      <c r="E85" t="inlineStr">
        <is>
          <t>KARLSTAD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21573-2019</t>
        </is>
      </c>
      <c r="B86" s="1" t="n">
        <v>43580</v>
      </c>
      <c r="C86" s="1" t="n">
        <v>45673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21899-2019</t>
        </is>
      </c>
      <c r="B87" s="1" t="n">
        <v>43584</v>
      </c>
      <c r="C87" s="1" t="n">
        <v>45673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22386-2019</t>
        </is>
      </c>
      <c r="B88" s="1" t="n">
        <v>43587</v>
      </c>
      <c r="C88" s="1" t="n">
        <v>45673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22700-2019</t>
        </is>
      </c>
      <c r="B89" s="1" t="n">
        <v>43588</v>
      </c>
      <c r="C89" s="1" t="n">
        <v>45673</v>
      </c>
      <c r="D89" t="inlineStr">
        <is>
          <t>VÄRMLANDS LÄN</t>
        </is>
      </c>
      <c r="E89" t="inlineStr">
        <is>
          <t>KARLSTAD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23045-2019</t>
        </is>
      </c>
      <c r="B90" s="1" t="n">
        <v>43591</v>
      </c>
      <c r="C90" s="1" t="n">
        <v>45673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45673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45673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45673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45673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45673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45673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45673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45673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45673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45673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45673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45673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45673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45673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45673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45673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45673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45673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45673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45673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45673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45673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45673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45673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45673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45673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45673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45673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45673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45673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45673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45673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45673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45673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45673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45673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45673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45673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45673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45673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45673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45673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45673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45673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45673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45673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45673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45673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45673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45673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45673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45673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45673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45673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45673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45673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45673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45673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45673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45673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45673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45673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45673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45673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45673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45673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45673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45673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45673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45673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45673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45673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45673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45673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45673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45673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45673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45673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45673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45673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45673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45673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45673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45673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45673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45673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45673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45673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45673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45673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45673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45673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45673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45673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45673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45673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45673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45673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45673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45673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45673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45673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45673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45673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45673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45673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45673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45673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45673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45673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45673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45673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45673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45673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45673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45673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45673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45673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45673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45673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45673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45673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45673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45673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45673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45673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45673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45673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45673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45673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45673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45673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45673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45673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45673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45673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45673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45673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45673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45673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45673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45673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45673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45673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45673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45673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45673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45673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45673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45673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45673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45673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45673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45673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45673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45673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45673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45673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45673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45673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45673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45673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45673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45673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45673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45673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45673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45673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45673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45673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45673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45673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45673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45673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45673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45673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45673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45673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45673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45673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45673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45673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45673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45673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45673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45673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45673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45673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45673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45673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45673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45673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45673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45673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45673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45673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45673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45673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45673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45673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45673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45673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45673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45673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45673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45673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45673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45673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45673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45673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45673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45673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45673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45673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45673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45673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45673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45673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45673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45673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45673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45673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45673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45673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45673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45673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45673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45673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45673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45673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45673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45673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45673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45673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45673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45673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45673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45673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45673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45673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45673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45673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45673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45673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45673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45673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45673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45673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45673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45673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45673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45673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45673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45673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45673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45673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45673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45673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45673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45673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45673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45673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45673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45673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45673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45673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45673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45673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45673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45673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45673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45673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45673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45673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45673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45673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45673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45673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45673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45673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45673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45673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45673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45673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45673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45673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45673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45673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45673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45673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45673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45673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45673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45673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45673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45673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45673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45673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47134-2021</t>
        </is>
      </c>
      <c r="B389" s="1" t="n">
        <v>44446</v>
      </c>
      <c r="C389" s="1" t="n">
        <v>45673</v>
      </c>
      <c r="D389" t="inlineStr">
        <is>
          <t>VÄRMLANDS LÄN</t>
        </is>
      </c>
      <c r="E389" t="inlineStr">
        <is>
          <t>KARLSTAD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45673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45673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45673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45673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45673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45673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45673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45673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45673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45673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45673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45673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45673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45673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45673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45673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45673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45673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45673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45673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45673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45673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45673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45673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45673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45673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45673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45673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45673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45673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45673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45673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45673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45673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45673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45673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45673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45673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45673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45673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45673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45673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45673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45673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45673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45673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45673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45673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45673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45673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45673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45673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45673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45673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45673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45673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45673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45673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45673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45673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45673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45673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45673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45673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45673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45673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45673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45673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45673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45673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45673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45673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45673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45673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45673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45673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45673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45673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45673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45673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45673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45673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45673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45673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45673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45673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45673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45673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45673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45673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45673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45673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45673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45673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45673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45673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45673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45673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45673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45673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45673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45673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45673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45673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45673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45673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45673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45673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45673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45673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45673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45673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45673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45673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45673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45673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45673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45673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45673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45673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45673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45673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45673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45673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45673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45673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45673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45673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45673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45673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45673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45673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45673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45673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45673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45673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45673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45673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45673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45673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45673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45673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45673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45673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45673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45673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45673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45673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45673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45673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45673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45673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45673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45673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45673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45673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45673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45673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45673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45673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45673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45673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45673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45673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45673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45673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45673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45673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45673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45673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45673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45673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45673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45673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45673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45673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45673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45673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45673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45673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45673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45673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45673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45673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45673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45673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45673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45673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45673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45673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45673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45673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45673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45673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45673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45673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45673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45673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45673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45673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45673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45673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45673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45673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45673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45673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45673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45673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45673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45673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45673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45673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45673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45673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45673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45673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45673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45673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45673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45673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45673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45673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45673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45673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45673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45673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45673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45673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45673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45673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45673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45673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45673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45673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45673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45673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45673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45673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45673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45673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45673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45673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45673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45673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45673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45673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45673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45673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45673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45673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45673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45673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45673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45673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45673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45673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45673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45673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45673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45673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45673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45673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45673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45673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45673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45673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45673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45673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45673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45673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45673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45673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45673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45673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45673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45673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45673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45673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45673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45673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45673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45673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45673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45673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45673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45673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45673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45673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45673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45673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45673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45673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45673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45673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45673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45673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45673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45673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45673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45673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45673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45673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45673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45673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45673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45673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45673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45673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45673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45673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45673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45673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45673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45673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45673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45673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45673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45673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45673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45673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45673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45673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45673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45673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45673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45673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45673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45673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45673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45673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45673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45673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45673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45673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45673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45673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45673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45673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45673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45673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45673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45673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45673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45673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45673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45673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45673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45673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45673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45673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45673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45673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45673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45673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45673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45673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45673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45673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45673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45673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45673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45673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45673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45673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45673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45673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45673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45673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45673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45673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45673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45673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45673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45673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45673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45673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45673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45673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45673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45673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45673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45673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45673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45673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45673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45673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45673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45673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45673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45673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45673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45673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45673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45673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45673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45673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45673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45673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45673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45673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45673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45673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45673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45673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45673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45673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45673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45673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45673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45673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45673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45673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45673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45673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45673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45673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45673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45673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45673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45673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45673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45673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45673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45673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45673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45673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45673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45673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45673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45673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45673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45673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45673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45673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45673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45673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45673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45673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45673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45673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45673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45673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45673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45673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45673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45673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45673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45673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45673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45673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45673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45673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45673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45673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45673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45673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45673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45673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45673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45673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45673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45673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45673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45673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45673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45673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45673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45673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45673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45673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45673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45673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45673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45673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45673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45673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45673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45673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45673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45673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45673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45673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45673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45673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45673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45673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45673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45673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45673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45673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45673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45673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45673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45673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45673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45673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45673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45673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45673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45673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45673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45673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45673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45673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45673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45673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45673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45673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45673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45673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45673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45673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45673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45673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45673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45673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45673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45673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45673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45673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45673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45673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45673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45673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45673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45673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45673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45673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45673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45673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45673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45673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45673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45673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45673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45673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45673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45673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45673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45673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45673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45673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45673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45673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45673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45673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45673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45673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45673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45673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45673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45673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45673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45673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45673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45673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45673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45673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45673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45673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45673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45673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45673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45673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45673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45673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45673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45673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45673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45673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45673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45673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45673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45673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45673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45673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45673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45673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45673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45673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45673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45673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45673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45673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45673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45673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45673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45673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45673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45673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45673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45673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45673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45673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45673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45673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45673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45673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45673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45673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45673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45673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45673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45673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45673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45673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45673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45673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45673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45673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45673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45673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45673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45673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45673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45673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45673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45673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45673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45673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45673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45673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45673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45673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45673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45673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45673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45673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45673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45673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45673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45673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45673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45673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45673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45673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45673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45673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45673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45673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45673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45673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45673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45673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45673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45673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45673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45673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45673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45673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45673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45673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45673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45673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45673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45673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45673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45673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45673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45673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45673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45673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45673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45673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45673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45673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45673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45673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45673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45673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45673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45673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45673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45673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45673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45673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45673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45673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45673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45673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45673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45673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45673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45673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45673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45673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45673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45673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45673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45673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45673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45673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45673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45673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45673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45673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45673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45673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45673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45673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45673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45673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45673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45673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45673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45673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45673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45673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45673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45673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45673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45673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45673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45673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45673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45673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45673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45673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45673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45673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45673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45673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45673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45673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45673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45673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45673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45673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45673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45673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45673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45673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45673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59888-2024</t>
        </is>
      </c>
      <c r="B1123" s="1" t="n">
        <v>45641</v>
      </c>
      <c r="C1123" s="1" t="n">
        <v>45673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45673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45673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45673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45673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45673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60932-2024</t>
        </is>
      </c>
      <c r="B1129" s="1" t="n">
        <v>45645</v>
      </c>
      <c r="C1129" s="1" t="n">
        <v>45673</v>
      </c>
      <c r="D1129" t="inlineStr">
        <is>
          <t>VÄRMLANDS LÄN</t>
        </is>
      </c>
      <c r="E1129" t="inlineStr">
        <is>
          <t>KARLSTAD</t>
        </is>
      </c>
      <c r="F1129" t="inlineStr">
        <is>
          <t>Bergvik skog väst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45673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45673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45673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61635-2024</t>
        </is>
      </c>
      <c r="B1133" s="1" t="n">
        <v>45646</v>
      </c>
      <c r="C1133" s="1" t="n">
        <v>45673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45673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45673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900-2025</t>
        </is>
      </c>
      <c r="B1136" s="1" t="n">
        <v>45665</v>
      </c>
      <c r="C1136" s="1" t="n">
        <v>45673</v>
      </c>
      <c r="D1136" t="inlineStr">
        <is>
          <t>VÄRMLANDS LÄN</t>
        </is>
      </c>
      <c r="E1136" t="inlineStr">
        <is>
          <t>KARLSTAD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904-2025</t>
        </is>
      </c>
      <c r="B1137" s="1" t="n">
        <v>45665</v>
      </c>
      <c r="C1137" s="1" t="n">
        <v>45673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1164-2025</t>
        </is>
      </c>
      <c r="B1138" s="1" t="n">
        <v>45666</v>
      </c>
      <c r="C1138" s="1" t="n">
        <v>45673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1935-2025</t>
        </is>
      </c>
      <c r="B1139" s="1" t="n">
        <v>45671</v>
      </c>
      <c r="C1139" s="1" t="n">
        <v>45673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2061-2025</t>
        </is>
      </c>
      <c r="B1140" s="1" t="n">
        <v>45672</v>
      </c>
      <c r="C1140" s="1" t="n">
        <v>45673</v>
      </c>
      <c r="D1140" t="inlineStr">
        <is>
          <t>VÄRMLANDS LÄN</t>
        </is>
      </c>
      <c r="E1140" t="inlineStr">
        <is>
          <t>KARLSTAD</t>
        </is>
      </c>
      <c r="F1140" t="inlineStr">
        <is>
          <t>Övriga statliga verk och myndigheter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2025-01-16T15:55:53Z</dcterms:created>
  <dcterms:modified xmlns:dcterms="http://purl.org/dc/terms/" xmlns:xsi="http://www.w3.org/2001/XMLSchema-instance" xsi:type="dcterms:W3CDTF">2025-01-16T15:55:53Z</dcterms:modified>
</cp:coreProperties>
</file>