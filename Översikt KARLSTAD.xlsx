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45676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45676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45676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45676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45676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45676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45676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45676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45676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45676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45676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45676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45676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45676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45676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45676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45676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45676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45676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45676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45676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45676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45676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45676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45676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45676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45676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45676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45676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45676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45676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45676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45676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45676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45676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45676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45676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45676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45676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45676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45676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45676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45676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45676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45676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45676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50825-2021</t>
        </is>
      </c>
      <c r="B48" s="1" t="n">
        <v>44460</v>
      </c>
      <c r="C48" s="1" t="n">
        <v>45676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HYPERLINK("https://klasma.github.io/Logging_1780/artfynd/A 50825-2021 artfynd.xlsx", "A 50825-2021")</f>
        <v/>
      </c>
      <c r="T48">
        <f>HYPERLINK("https://klasma.github.io/Logging_1780/kartor/A 50825-2021 karta.png", "A 50825-2021")</f>
        <v/>
      </c>
      <c r="V48">
        <f>HYPERLINK("https://klasma.github.io/Logging_1780/klagomål/A 50825-2021 FSC-klagomål.docx", "A 50825-2021")</f>
        <v/>
      </c>
      <c r="W48">
        <f>HYPERLINK("https://klasma.github.io/Logging_1780/klagomålsmail/A 50825-2021 FSC-klagomål mail.docx", "A 50825-2021")</f>
        <v/>
      </c>
      <c r="X48">
        <f>HYPERLINK("https://klasma.github.io/Logging_1780/tillsyn/A 50825-2021 tillsynsbegäran.docx", "A 50825-2021")</f>
        <v/>
      </c>
      <c r="Y48">
        <f>HYPERLINK("https://klasma.github.io/Logging_1780/tillsynsmail/A 50825-2021 tillsynsbegäran mail.docx", "A 50825-2021")</f>
        <v/>
      </c>
    </row>
    <row r="49" ht="15" customHeight="1">
      <c r="A49" t="inlineStr">
        <is>
          <t>A 55264-2021</t>
        </is>
      </c>
      <c r="B49" s="1" t="n">
        <v>44475</v>
      </c>
      <c r="C49" s="1" t="n">
        <v>45676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HYPERLINK("https://klasma.github.io/Logging_1780/artfynd/A 55264-2021 artfynd.xlsx", "A 55264-2021")</f>
        <v/>
      </c>
      <c r="T49">
        <f>HYPERLINK("https://klasma.github.io/Logging_1780/kartor/A 55264-2021 karta.png", "A 55264-2021")</f>
        <v/>
      </c>
      <c r="V49">
        <f>HYPERLINK("https://klasma.github.io/Logging_1780/klagomål/A 55264-2021 FSC-klagomål.docx", "A 55264-2021")</f>
        <v/>
      </c>
      <c r="W49">
        <f>HYPERLINK("https://klasma.github.io/Logging_1780/klagomålsmail/A 55264-2021 FSC-klagomål mail.docx", "A 55264-2021")</f>
        <v/>
      </c>
      <c r="X49">
        <f>HYPERLINK("https://klasma.github.io/Logging_1780/tillsyn/A 55264-2021 tillsynsbegäran.docx", "A 55264-2021")</f>
        <v/>
      </c>
      <c r="Y49">
        <f>HYPERLINK("https://klasma.github.io/Logging_1780/tillsynsmail/A 55264-2021 tillsynsbegäran mail.docx", "A 55264-2021")</f>
        <v/>
      </c>
    </row>
    <row r="50" ht="15" customHeight="1">
      <c r="A50" t="inlineStr">
        <is>
          <t>A 66274-2021</t>
        </is>
      </c>
      <c r="B50" s="1" t="n">
        <v>44518</v>
      </c>
      <c r="C50" s="1" t="n">
        <v>45676</v>
      </c>
      <c r="D50" t="inlineStr">
        <is>
          <t>VÄRMLANDS LÄN</t>
        </is>
      </c>
      <c r="E50" t="inlineStr">
        <is>
          <t>KARLSTAD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HYPERLINK("https://klasma.github.io/Logging_1780/artfynd/A 66274-2021 artfynd.xlsx", "A 66274-2021")</f>
        <v/>
      </c>
      <c r="T50">
        <f>HYPERLINK("https://klasma.github.io/Logging_1780/kartor/A 66274-2021 karta.png", "A 66274-2021")</f>
        <v/>
      </c>
      <c r="V50">
        <f>HYPERLINK("https://klasma.github.io/Logging_1780/klagomål/A 66274-2021 FSC-klagomål.docx", "A 66274-2021")</f>
        <v/>
      </c>
      <c r="W50">
        <f>HYPERLINK("https://klasma.github.io/Logging_1780/klagomålsmail/A 66274-2021 FSC-klagomål mail.docx", "A 66274-2021")</f>
        <v/>
      </c>
      <c r="X50">
        <f>HYPERLINK("https://klasma.github.io/Logging_1780/tillsyn/A 66274-2021 tillsynsbegäran.docx", "A 66274-2021")</f>
        <v/>
      </c>
      <c r="Y50">
        <f>HYPERLINK("https://klasma.github.io/Logging_1780/tillsynsmail/A 66274-2021 tillsynsbegäran mail.docx", "A 66274-2021")</f>
        <v/>
      </c>
    </row>
    <row r="51" ht="15" customHeight="1">
      <c r="A51" t="inlineStr">
        <is>
          <t>A 72045-2021</t>
        </is>
      </c>
      <c r="B51" s="1" t="n">
        <v>44544</v>
      </c>
      <c r="C51" s="1" t="n">
        <v>45676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9.6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Åkergroda</t>
        </is>
      </c>
      <c r="S51">
        <f>HYPERLINK("https://klasma.github.io/Logging_1780/artfynd/A 72045-2021 artfynd.xlsx", "A 72045-2021")</f>
        <v/>
      </c>
      <c r="T51">
        <f>HYPERLINK("https://klasma.github.io/Logging_1780/kartor/A 72045-2021 karta.png", "A 72045-2021")</f>
        <v/>
      </c>
      <c r="V51">
        <f>HYPERLINK("https://klasma.github.io/Logging_1780/klagomål/A 72045-2021 FSC-klagomål.docx", "A 72045-2021")</f>
        <v/>
      </c>
      <c r="W51">
        <f>HYPERLINK("https://klasma.github.io/Logging_1780/klagomålsmail/A 72045-2021 FSC-klagomål mail.docx", "A 72045-2021")</f>
        <v/>
      </c>
      <c r="X51">
        <f>HYPERLINK("https://klasma.github.io/Logging_1780/tillsyn/A 72045-2021 tillsynsbegäran.docx", "A 72045-2021")</f>
        <v/>
      </c>
      <c r="Y51">
        <f>HYPERLINK("https://klasma.github.io/Logging_1780/tillsynsmail/A 72045-2021 tillsynsbegäran mail.docx", "A 72045-2021")</f>
        <v/>
      </c>
    </row>
    <row r="52" ht="15" customHeight="1">
      <c r="A52" t="inlineStr">
        <is>
          <t>A 4664-2022</t>
        </is>
      </c>
      <c r="B52" s="1" t="n">
        <v>44592</v>
      </c>
      <c r="C52" s="1" t="n">
        <v>45676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HYPERLINK("https://klasma.github.io/Logging_1780/artfynd/A 4664-2022 artfynd.xlsx", "A 4664-2022")</f>
        <v/>
      </c>
      <c r="T52">
        <f>HYPERLINK("https://klasma.github.io/Logging_1780/kartor/A 4664-2022 karta.png", "A 4664-2022")</f>
        <v/>
      </c>
      <c r="V52">
        <f>HYPERLINK("https://klasma.github.io/Logging_1780/klagomål/A 4664-2022 FSC-klagomål.docx", "A 4664-2022")</f>
        <v/>
      </c>
      <c r="W52">
        <f>HYPERLINK("https://klasma.github.io/Logging_1780/klagomålsmail/A 4664-2022 FSC-klagomål mail.docx", "A 4664-2022")</f>
        <v/>
      </c>
      <c r="X52">
        <f>HYPERLINK("https://klasma.github.io/Logging_1780/tillsyn/A 4664-2022 tillsynsbegäran.docx", "A 4664-2022")</f>
        <v/>
      </c>
      <c r="Y52">
        <f>HYPERLINK("https://klasma.github.io/Logging_1780/tillsynsmail/A 4664-2022 tillsynsbegäran mail.docx", "A 4664-2022")</f>
        <v/>
      </c>
    </row>
    <row r="53" ht="15" customHeight="1">
      <c r="A53" t="inlineStr">
        <is>
          <t>A 14002-2022</t>
        </is>
      </c>
      <c r="B53" s="1" t="n">
        <v>44650</v>
      </c>
      <c r="C53" s="1" t="n">
        <v>45676</v>
      </c>
      <c r="D53" t="inlineStr">
        <is>
          <t>VÄRMLANDS LÄN</t>
        </is>
      </c>
      <c r="E53" t="inlineStr">
        <is>
          <t>KARLSTAD</t>
        </is>
      </c>
      <c r="G53" t="n">
        <v>2.3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HYPERLINK("https://klasma.github.io/Logging_1780/artfynd/A 14002-2022 artfynd.xlsx", "A 14002-2022")</f>
        <v/>
      </c>
      <c r="T53">
        <f>HYPERLINK("https://klasma.github.io/Logging_1780/kartor/A 14002-2022 karta.png", "A 14002-2022")</f>
        <v/>
      </c>
      <c r="U53">
        <f>HYPERLINK("https://klasma.github.io/Logging_1780/knärot/A 14002-2022 karta knärot.png", "A 14002-2022")</f>
        <v/>
      </c>
      <c r="V53">
        <f>HYPERLINK("https://klasma.github.io/Logging_1780/klagomål/A 14002-2022 FSC-klagomål.docx", "A 14002-2022")</f>
        <v/>
      </c>
      <c r="W53">
        <f>HYPERLINK("https://klasma.github.io/Logging_1780/klagomålsmail/A 14002-2022 FSC-klagomål mail.docx", "A 14002-2022")</f>
        <v/>
      </c>
      <c r="X53">
        <f>HYPERLINK("https://klasma.github.io/Logging_1780/tillsyn/A 14002-2022 tillsynsbegäran.docx", "A 14002-2022")</f>
        <v/>
      </c>
      <c r="Y53">
        <f>HYPERLINK("https://klasma.github.io/Logging_1780/tillsynsmail/A 14002-2022 tillsynsbegäran mail.docx", "A 14002-2022")</f>
        <v/>
      </c>
    </row>
    <row r="54" ht="15" customHeight="1">
      <c r="A54" t="inlineStr">
        <is>
          <t>A 14594-2022</t>
        </is>
      </c>
      <c r="B54" s="1" t="n">
        <v>44655</v>
      </c>
      <c r="C54" s="1" t="n">
        <v>45676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11.2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HYPERLINK("https://klasma.github.io/Logging_1780/artfynd/A 14594-2022 artfynd.xlsx", "A 14594-2022")</f>
        <v/>
      </c>
      <c r="T54">
        <f>HYPERLINK("https://klasma.github.io/Logging_1780/kartor/A 14594-2022 karta.png", "A 14594-2022")</f>
        <v/>
      </c>
      <c r="V54">
        <f>HYPERLINK("https://klasma.github.io/Logging_1780/klagomål/A 14594-2022 FSC-klagomål.docx", "A 14594-2022")</f>
        <v/>
      </c>
      <c r="W54">
        <f>HYPERLINK("https://klasma.github.io/Logging_1780/klagomålsmail/A 14594-2022 FSC-klagomål mail.docx", "A 14594-2022")</f>
        <v/>
      </c>
      <c r="X54">
        <f>HYPERLINK("https://klasma.github.io/Logging_1780/tillsyn/A 14594-2022 tillsynsbegäran.docx", "A 14594-2022")</f>
        <v/>
      </c>
      <c r="Y54">
        <f>HYPERLINK("https://klasma.github.io/Logging_1780/tillsynsmail/A 14594-2022 tillsynsbegäran mail.docx", "A 14594-2022")</f>
        <v/>
      </c>
      <c r="Z54">
        <f>HYPERLINK("https://klasma.github.io/Logging_1780/fåglar/A 14594-2022 prioriterade fågelarter.docx", "A 14594-2022")</f>
        <v/>
      </c>
    </row>
    <row r="55" ht="15" customHeight="1">
      <c r="A55" t="inlineStr">
        <is>
          <t>A 9737-2023</t>
        </is>
      </c>
      <c r="B55" s="1" t="n">
        <v>44984</v>
      </c>
      <c r="C55" s="1" t="n">
        <v>45676</v>
      </c>
      <c r="D55" t="inlineStr">
        <is>
          <t>VÄRMLANDS LÄN</t>
        </is>
      </c>
      <c r="E55" t="inlineStr">
        <is>
          <t>KARLSTAD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HYPERLINK("https://klasma.github.io/Logging_1780/artfynd/A 9737-2023 artfynd.xlsx", "A 9737-2023")</f>
        <v/>
      </c>
      <c r="T55">
        <f>HYPERLINK("https://klasma.github.io/Logging_1780/kartor/A 9737-2023 karta.png", "A 9737-2023")</f>
        <v/>
      </c>
      <c r="V55">
        <f>HYPERLINK("https://klasma.github.io/Logging_1780/klagomål/A 9737-2023 FSC-klagomål.docx", "A 9737-2023")</f>
        <v/>
      </c>
      <c r="W55">
        <f>HYPERLINK("https://klasma.github.io/Logging_1780/klagomålsmail/A 9737-2023 FSC-klagomål mail.docx", "A 9737-2023")</f>
        <v/>
      </c>
      <c r="X55">
        <f>HYPERLINK("https://klasma.github.io/Logging_1780/tillsyn/A 9737-2023 tillsynsbegäran.docx", "A 9737-2023")</f>
        <v/>
      </c>
      <c r="Y55">
        <f>HYPERLINK("https://klasma.github.io/Logging_1780/tillsynsmail/A 9737-2023 tillsynsbegäran mail.docx", "A 9737-2023")</f>
        <v/>
      </c>
    </row>
    <row r="56" ht="15" customHeight="1">
      <c r="A56" t="inlineStr">
        <is>
          <t>A 21934-2023</t>
        </is>
      </c>
      <c r="B56" s="1" t="n">
        <v>45068</v>
      </c>
      <c r="C56" s="1" t="n">
        <v>45676</v>
      </c>
      <c r="D56" t="inlineStr">
        <is>
          <t>VÄRMLANDS LÄN</t>
        </is>
      </c>
      <c r="E56" t="inlineStr">
        <is>
          <t>KARLSTAD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HYPERLINK("https://klasma.github.io/Logging_1780/artfynd/A 21934-2023 artfynd.xlsx", "A 21934-2023")</f>
        <v/>
      </c>
      <c r="T56">
        <f>HYPERLINK("https://klasma.github.io/Logging_1780/kartor/A 21934-2023 karta.png", "A 21934-2023")</f>
        <v/>
      </c>
      <c r="V56">
        <f>HYPERLINK("https://klasma.github.io/Logging_1780/klagomål/A 21934-2023 FSC-klagomål.docx", "A 21934-2023")</f>
        <v/>
      </c>
      <c r="W56">
        <f>HYPERLINK("https://klasma.github.io/Logging_1780/klagomålsmail/A 21934-2023 FSC-klagomål mail.docx", "A 21934-2023")</f>
        <v/>
      </c>
      <c r="X56">
        <f>HYPERLINK("https://klasma.github.io/Logging_1780/tillsyn/A 21934-2023 tillsynsbegäran.docx", "A 21934-2023")</f>
        <v/>
      </c>
      <c r="Y56">
        <f>HYPERLINK("https://klasma.github.io/Logging_1780/tillsynsmail/A 21934-2023 tillsynsbegäran mail.docx", "A 21934-2023")</f>
        <v/>
      </c>
    </row>
    <row r="57" ht="15" customHeight="1">
      <c r="A57" t="inlineStr">
        <is>
          <t>A 21919-2023</t>
        </is>
      </c>
      <c r="B57" s="1" t="n">
        <v>45068</v>
      </c>
      <c r="C57" s="1" t="n">
        <v>45676</v>
      </c>
      <c r="D57" t="inlineStr">
        <is>
          <t>VÄRMLANDS LÄN</t>
        </is>
      </c>
      <c r="E57" t="inlineStr">
        <is>
          <t>KARLSTAD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21919-2023 artfynd.xlsx", "A 21919-2023")</f>
        <v/>
      </c>
      <c r="T57">
        <f>HYPERLINK("https://klasma.github.io/Logging_1780/kartor/A 21919-2023 karta.png", "A 21919-2023")</f>
        <v/>
      </c>
      <c r="V57">
        <f>HYPERLINK("https://klasma.github.io/Logging_1780/klagomål/A 21919-2023 FSC-klagomål.docx", "A 21919-2023")</f>
        <v/>
      </c>
      <c r="W57">
        <f>HYPERLINK("https://klasma.github.io/Logging_1780/klagomålsmail/A 21919-2023 FSC-klagomål mail.docx", "A 21919-2023")</f>
        <v/>
      </c>
      <c r="X57">
        <f>HYPERLINK("https://klasma.github.io/Logging_1780/tillsyn/A 21919-2023 tillsynsbegäran.docx", "A 21919-2023")</f>
        <v/>
      </c>
      <c r="Y57">
        <f>HYPERLINK("https://klasma.github.io/Logging_1780/tillsynsmail/A 21919-2023 tillsynsbegäran mail.docx", "A 21919-2023")</f>
        <v/>
      </c>
    </row>
    <row r="58" ht="15" customHeight="1">
      <c r="A58" t="inlineStr">
        <is>
          <t>A 25144-2023</t>
        </is>
      </c>
      <c r="B58" s="1" t="n">
        <v>45086</v>
      </c>
      <c r="C58" s="1" t="n">
        <v>45676</v>
      </c>
      <c r="D58" t="inlineStr">
        <is>
          <t>VÄRMLANDS LÄN</t>
        </is>
      </c>
      <c r="E58" t="inlineStr">
        <is>
          <t>KARLSTAD</t>
        </is>
      </c>
      <c r="F58" t="inlineStr">
        <is>
          <t>Kyrkan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HYPERLINK("https://klasma.github.io/Logging_1780/artfynd/A 25144-2023 artfynd.xlsx", "A 25144-2023")</f>
        <v/>
      </c>
      <c r="T58">
        <f>HYPERLINK("https://klasma.github.io/Logging_1780/kartor/A 25144-2023 karta.png", "A 25144-2023")</f>
        <v/>
      </c>
      <c r="V58">
        <f>HYPERLINK("https://klasma.github.io/Logging_1780/klagomål/A 25144-2023 FSC-klagomål.docx", "A 25144-2023")</f>
        <v/>
      </c>
      <c r="W58">
        <f>HYPERLINK("https://klasma.github.io/Logging_1780/klagomålsmail/A 25144-2023 FSC-klagomål mail.docx", "A 25144-2023")</f>
        <v/>
      </c>
      <c r="X58">
        <f>HYPERLINK("https://klasma.github.io/Logging_1780/tillsyn/A 25144-2023 tillsynsbegäran.docx", "A 25144-2023")</f>
        <v/>
      </c>
      <c r="Y58">
        <f>HYPERLINK("https://klasma.github.io/Logging_1780/tillsynsmail/A 25144-2023 tillsynsbegäran mail.docx", "A 25144-2023")</f>
        <v/>
      </c>
    </row>
    <row r="59" ht="15" customHeight="1">
      <c r="A59" t="inlineStr">
        <is>
          <t>A 41484-2023</t>
        </is>
      </c>
      <c r="B59" s="1" t="n">
        <v>45175</v>
      </c>
      <c r="C59" s="1" t="n">
        <v>45676</v>
      </c>
      <c r="D59" t="inlineStr">
        <is>
          <t>VÄRMLANDS LÄN</t>
        </is>
      </c>
      <c r="E59" t="inlineStr">
        <is>
          <t>KARLSTAD</t>
        </is>
      </c>
      <c r="G59" t="n">
        <v>8.699999999999999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HYPERLINK("https://klasma.github.io/Logging_1780/artfynd/A 41484-2023 artfynd.xlsx", "A 41484-2023")</f>
        <v/>
      </c>
      <c r="T59">
        <f>HYPERLINK("https://klasma.github.io/Logging_1780/kartor/A 41484-2023 karta.png", "A 41484-2023")</f>
        <v/>
      </c>
      <c r="V59">
        <f>HYPERLINK("https://klasma.github.io/Logging_1780/klagomål/A 41484-2023 FSC-klagomål.docx", "A 41484-2023")</f>
        <v/>
      </c>
      <c r="W59">
        <f>HYPERLINK("https://klasma.github.io/Logging_1780/klagomålsmail/A 41484-2023 FSC-klagomål mail.docx", "A 41484-2023")</f>
        <v/>
      </c>
      <c r="X59">
        <f>HYPERLINK("https://klasma.github.io/Logging_1780/tillsyn/A 41484-2023 tillsynsbegäran.docx", "A 41484-2023")</f>
        <v/>
      </c>
      <c r="Y59">
        <f>HYPERLINK("https://klasma.github.io/Logging_1780/tillsynsmail/A 41484-2023 tillsynsbegäran mail.docx", "A 41484-2023")</f>
        <v/>
      </c>
      <c r="Z59">
        <f>HYPERLINK("https://klasma.github.io/Logging_1780/fåglar/A 41484-2023 prioriterade fågelarter.docx", "A 41484-2023")</f>
        <v/>
      </c>
    </row>
    <row r="60" ht="15" customHeight="1">
      <c r="A60" t="inlineStr">
        <is>
          <t>A 61650-2023</t>
        </is>
      </c>
      <c r="B60" s="1" t="n">
        <v>45265</v>
      </c>
      <c r="C60" s="1" t="n">
        <v>45676</v>
      </c>
      <c r="D60" t="inlineStr">
        <is>
          <t>VÄRMLANDS LÄN</t>
        </is>
      </c>
      <c r="E60" t="inlineStr">
        <is>
          <t>KARLSTAD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61650-2023 artfynd.xlsx", "A 61650-2023")</f>
        <v/>
      </c>
      <c r="T60">
        <f>HYPERLINK("https://klasma.github.io/Logging_1780/kartor/A 61650-2023 karta.png", "A 61650-2023")</f>
        <v/>
      </c>
      <c r="V60">
        <f>HYPERLINK("https://klasma.github.io/Logging_1780/klagomål/A 61650-2023 FSC-klagomål.docx", "A 61650-2023")</f>
        <v/>
      </c>
      <c r="W60">
        <f>HYPERLINK("https://klasma.github.io/Logging_1780/klagomålsmail/A 61650-2023 FSC-klagomål mail.docx", "A 61650-2023")</f>
        <v/>
      </c>
      <c r="X60">
        <f>HYPERLINK("https://klasma.github.io/Logging_1780/tillsyn/A 61650-2023 tillsynsbegäran.docx", "A 61650-2023")</f>
        <v/>
      </c>
      <c r="Y60">
        <f>HYPERLINK("https://klasma.github.io/Logging_1780/tillsynsmail/A 61650-2023 tillsynsbegäran mail.docx", "A 61650-2023")</f>
        <v/>
      </c>
      <c r="Z60">
        <f>HYPERLINK("https://klasma.github.io/Logging_1780/fåglar/A 61650-2023 prioriterade fågelarter.docx", "A 61650-2023")</f>
        <v/>
      </c>
    </row>
    <row r="61" ht="15" customHeight="1">
      <c r="A61" t="inlineStr">
        <is>
          <t>A 61654-2023</t>
        </is>
      </c>
      <c r="B61" s="1" t="n">
        <v>45265</v>
      </c>
      <c r="C61" s="1" t="n">
        <v>45676</v>
      </c>
      <c r="D61" t="inlineStr">
        <is>
          <t>VÄRMLANDS LÄN</t>
        </is>
      </c>
      <c r="E61" t="inlineStr">
        <is>
          <t>KARLSTAD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Gråkråka</t>
        </is>
      </c>
      <c r="S61">
        <f>HYPERLINK("https://klasma.github.io/Logging_1780/artfynd/A 61654-2023 artfynd.xlsx", "A 61654-2023")</f>
        <v/>
      </c>
      <c r="T61">
        <f>HYPERLINK("https://klasma.github.io/Logging_1780/kartor/A 61654-2023 karta.png", "A 61654-2023")</f>
        <v/>
      </c>
      <c r="V61">
        <f>HYPERLINK("https://klasma.github.io/Logging_1780/klagomål/A 61654-2023 FSC-klagomål.docx", "A 61654-2023")</f>
        <v/>
      </c>
      <c r="W61">
        <f>HYPERLINK("https://klasma.github.io/Logging_1780/klagomålsmail/A 61654-2023 FSC-klagomål mail.docx", "A 61654-2023")</f>
        <v/>
      </c>
      <c r="X61">
        <f>HYPERLINK("https://klasma.github.io/Logging_1780/tillsyn/A 61654-2023 tillsynsbegäran.docx", "A 61654-2023")</f>
        <v/>
      </c>
      <c r="Y61">
        <f>HYPERLINK("https://klasma.github.io/Logging_1780/tillsynsmail/A 61654-2023 tillsynsbegäran mail.docx", "A 61654-2023")</f>
        <v/>
      </c>
    </row>
    <row r="62" ht="15" customHeight="1">
      <c r="A62" t="inlineStr">
        <is>
          <t>A 8674-2024</t>
        </is>
      </c>
      <c r="B62" s="1" t="n">
        <v>45354</v>
      </c>
      <c r="C62" s="1" t="n">
        <v>45676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Källpraktmossa</t>
        </is>
      </c>
      <c r="S62">
        <f>HYPERLINK("https://klasma.github.io/Logging_1780/artfynd/A 8674-2024 artfynd.xlsx", "A 8674-2024")</f>
        <v/>
      </c>
      <c r="T62">
        <f>HYPERLINK("https://klasma.github.io/Logging_1780/kartor/A 8674-2024 karta.png", "A 8674-2024")</f>
        <v/>
      </c>
      <c r="V62">
        <f>HYPERLINK("https://klasma.github.io/Logging_1780/klagomål/A 8674-2024 FSC-klagomål.docx", "A 8674-2024")</f>
        <v/>
      </c>
      <c r="W62">
        <f>HYPERLINK("https://klasma.github.io/Logging_1780/klagomålsmail/A 8674-2024 FSC-klagomål mail.docx", "A 8674-2024")</f>
        <v/>
      </c>
      <c r="X62">
        <f>HYPERLINK("https://klasma.github.io/Logging_1780/tillsyn/A 8674-2024 tillsynsbegäran.docx", "A 8674-2024")</f>
        <v/>
      </c>
      <c r="Y62">
        <f>HYPERLINK("https://klasma.github.io/Logging_1780/tillsynsmail/A 8674-2024 tillsynsbegäran mail.docx", "A 8674-2024")</f>
        <v/>
      </c>
    </row>
    <row r="63" ht="15" customHeight="1">
      <c r="A63" t="inlineStr">
        <is>
          <t>A 23338-2024</t>
        </is>
      </c>
      <c r="B63" s="1" t="n">
        <v>45453</v>
      </c>
      <c r="C63" s="1" t="n">
        <v>45676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HYPERLINK("https://klasma.github.io/Logging_1780/artfynd/A 23338-2024 artfynd.xlsx", "A 23338-2024")</f>
        <v/>
      </c>
      <c r="T63">
        <f>HYPERLINK("https://klasma.github.io/Logging_1780/kartor/A 23338-2024 karta.png", "A 23338-2024")</f>
        <v/>
      </c>
      <c r="V63">
        <f>HYPERLINK("https://klasma.github.io/Logging_1780/klagomål/A 23338-2024 FSC-klagomål.docx", "A 23338-2024")</f>
        <v/>
      </c>
      <c r="W63">
        <f>HYPERLINK("https://klasma.github.io/Logging_1780/klagomålsmail/A 23338-2024 FSC-klagomål mail.docx", "A 23338-2024")</f>
        <v/>
      </c>
      <c r="X63">
        <f>HYPERLINK("https://klasma.github.io/Logging_1780/tillsyn/A 23338-2024 tillsynsbegäran.docx", "A 23338-2024")</f>
        <v/>
      </c>
      <c r="Y63">
        <f>HYPERLINK("https://klasma.github.io/Logging_1780/tillsynsmail/A 23338-2024 tillsynsbegäran mail.docx", "A 23338-2024")</f>
        <v/>
      </c>
    </row>
    <row r="64" ht="15" customHeight="1">
      <c r="A64" t="inlineStr">
        <is>
          <t>A 46668-2024</t>
        </is>
      </c>
      <c r="B64" s="1" t="n">
        <v>45583</v>
      </c>
      <c r="C64" s="1" t="n">
        <v>45676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HYPERLINK("https://klasma.github.io/Logging_1780/artfynd/A 46668-2024 artfynd.xlsx", "A 46668-2024")</f>
        <v/>
      </c>
      <c r="T64">
        <f>HYPERLINK("https://klasma.github.io/Logging_1780/kartor/A 46668-2024 karta.png", "A 46668-2024")</f>
        <v/>
      </c>
      <c r="V64">
        <f>HYPERLINK("https://klasma.github.io/Logging_1780/klagomål/A 46668-2024 FSC-klagomål.docx", "A 46668-2024")</f>
        <v/>
      </c>
      <c r="W64">
        <f>HYPERLINK("https://klasma.github.io/Logging_1780/klagomålsmail/A 46668-2024 FSC-klagomål mail.docx", "A 46668-2024")</f>
        <v/>
      </c>
      <c r="X64">
        <f>HYPERLINK("https://klasma.github.io/Logging_1780/tillsyn/A 46668-2024 tillsynsbegäran.docx", "A 46668-2024")</f>
        <v/>
      </c>
      <c r="Y64">
        <f>HYPERLINK("https://klasma.github.io/Logging_1780/tillsynsmail/A 46668-2024 tillsynsbegäran mail.docx", "A 46668-2024")</f>
        <v/>
      </c>
    </row>
    <row r="65" ht="15" customHeight="1">
      <c r="A65" t="inlineStr">
        <is>
          <t>A 57349-2024</t>
        </is>
      </c>
      <c r="B65" s="1" t="n">
        <v>45629</v>
      </c>
      <c r="C65" s="1" t="n">
        <v>45676</v>
      </c>
      <c r="D65" t="inlineStr">
        <is>
          <t>VÄRMLANDS LÄN</t>
        </is>
      </c>
      <c r="E65" t="inlineStr">
        <is>
          <t>KARLSTAD</t>
        </is>
      </c>
      <c r="G65" t="n">
        <v>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HYPERLINK("https://klasma.github.io/Logging_1780/artfynd/A 57349-2024 artfynd.xlsx", "A 57349-2024")</f>
        <v/>
      </c>
      <c r="T65">
        <f>HYPERLINK("https://klasma.github.io/Logging_1780/kartor/A 57349-2024 karta.png", "A 57349-2024")</f>
        <v/>
      </c>
      <c r="V65">
        <f>HYPERLINK("https://klasma.github.io/Logging_1780/klagomål/A 57349-2024 FSC-klagomål.docx", "A 57349-2024")</f>
        <v/>
      </c>
      <c r="W65">
        <f>HYPERLINK("https://klasma.github.io/Logging_1780/klagomålsmail/A 57349-2024 FSC-klagomål mail.docx", "A 57349-2024")</f>
        <v/>
      </c>
      <c r="X65">
        <f>HYPERLINK("https://klasma.github.io/Logging_1780/tillsyn/A 57349-2024 tillsynsbegäran.docx", "A 57349-2024")</f>
        <v/>
      </c>
      <c r="Y65">
        <f>HYPERLINK("https://klasma.github.io/Logging_1780/tillsynsmail/A 57349-2024 tillsynsbegäran mail.docx", "A 57349-2024")</f>
        <v/>
      </c>
    </row>
    <row r="66" ht="15" customHeight="1">
      <c r="A66" t="inlineStr">
        <is>
          <t>A 60275-2024</t>
        </is>
      </c>
      <c r="B66" s="1" t="n">
        <v>45642</v>
      </c>
      <c r="C66" s="1" t="n">
        <v>45676</v>
      </c>
      <c r="D66" t="inlineStr">
        <is>
          <t>VÄRMLANDS LÄN</t>
        </is>
      </c>
      <c r="E66" t="inlineStr">
        <is>
          <t>KARLSTAD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HYPERLINK("https://klasma.github.io/Logging_1780/artfynd/A 60275-2024 artfynd.xlsx", "A 60275-2024")</f>
        <v/>
      </c>
      <c r="T66">
        <f>HYPERLINK("https://klasma.github.io/Logging_1780/kartor/A 60275-2024 karta.png", "A 60275-2024")</f>
        <v/>
      </c>
      <c r="V66">
        <f>HYPERLINK("https://klasma.github.io/Logging_1780/klagomål/A 60275-2024 FSC-klagomål.docx", "A 60275-2024")</f>
        <v/>
      </c>
      <c r="W66">
        <f>HYPERLINK("https://klasma.github.io/Logging_1780/klagomålsmail/A 60275-2024 FSC-klagomål mail.docx", "A 60275-2024")</f>
        <v/>
      </c>
      <c r="X66">
        <f>HYPERLINK("https://klasma.github.io/Logging_1780/tillsyn/A 60275-2024 tillsynsbegäran.docx", "A 60275-2024")</f>
        <v/>
      </c>
      <c r="Y66">
        <f>HYPERLINK("https://klasma.github.io/Logging_1780/tillsynsmail/A 60275-2024 tillsynsbegäran mail.docx", "A 60275-2024")</f>
        <v/>
      </c>
    </row>
    <row r="67" ht="15" customHeight="1">
      <c r="A67" t="inlineStr">
        <is>
          <t>A 18033-2019</t>
        </is>
      </c>
      <c r="B67" s="1" t="n">
        <v>43556</v>
      </c>
      <c r="C67" s="1" t="n">
        <v>45676</v>
      </c>
      <c r="D67" t="inlineStr">
        <is>
          <t>VÄRMLANDS LÄN</t>
        </is>
      </c>
      <c r="E67" t="inlineStr">
        <is>
          <t>KARLSTAD</t>
        </is>
      </c>
      <c r="G67" t="n">
        <v>16.5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18104-2019</t>
        </is>
      </c>
      <c r="B68" s="1" t="n">
        <v>43556</v>
      </c>
      <c r="C68" s="1" t="n">
        <v>45676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17923-2019</t>
        </is>
      </c>
      <c r="B69" s="1" t="n">
        <v>43557</v>
      </c>
      <c r="C69" s="1" t="n">
        <v>45676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18257-2019</t>
        </is>
      </c>
      <c r="B70" s="1" t="n">
        <v>43557</v>
      </c>
      <c r="C70" s="1" t="n">
        <v>45676</v>
      </c>
      <c r="D70" t="inlineStr">
        <is>
          <t>VÄRMLANDS LÄN</t>
        </is>
      </c>
      <c r="E70" t="inlineStr">
        <is>
          <t>KARLSTAD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18120-2019</t>
        </is>
      </c>
      <c r="B71" s="1" t="n">
        <v>43558</v>
      </c>
      <c r="C71" s="1" t="n">
        <v>45676</v>
      </c>
      <c r="D71" t="inlineStr">
        <is>
          <t>VÄRMLANDS LÄN</t>
        </is>
      </c>
      <c r="E71" t="inlineStr">
        <is>
          <t>KARLSTAD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18126-2019</t>
        </is>
      </c>
      <c r="B72" s="1" t="n">
        <v>43558</v>
      </c>
      <c r="C72" s="1" t="n">
        <v>45676</v>
      </c>
      <c r="D72" t="inlineStr">
        <is>
          <t>VÄRMLANDS LÄN</t>
        </is>
      </c>
      <c r="E72" t="inlineStr">
        <is>
          <t>KARLSTAD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18285-2019</t>
        </is>
      </c>
      <c r="B73" s="1" t="n">
        <v>43558</v>
      </c>
      <c r="C73" s="1" t="n">
        <v>45676</v>
      </c>
      <c r="D73" t="inlineStr">
        <is>
          <t>VÄRMLANDS LÄN</t>
        </is>
      </c>
      <c r="E73" t="inlineStr">
        <is>
          <t>KARLSTAD</t>
        </is>
      </c>
      <c r="F73" t="inlineStr">
        <is>
          <t>Övriga statliga verk och myndigheter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18525-2019</t>
        </is>
      </c>
      <c r="B74" s="1" t="n">
        <v>43559</v>
      </c>
      <c r="C74" s="1" t="n">
        <v>45676</v>
      </c>
      <c r="D74" t="inlineStr">
        <is>
          <t>VÄRMLANDS LÄN</t>
        </is>
      </c>
      <c r="E74" t="inlineStr">
        <is>
          <t>KARLSTAD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18938-2019</t>
        </is>
      </c>
      <c r="B75" s="1" t="n">
        <v>43563</v>
      </c>
      <c r="C75" s="1" t="n">
        <v>45676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19120-2019</t>
        </is>
      </c>
      <c r="B76" s="1" t="n">
        <v>43564</v>
      </c>
      <c r="C76" s="1" t="n">
        <v>45676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19226-2019</t>
        </is>
      </c>
      <c r="B77" s="1" t="n">
        <v>43564</v>
      </c>
      <c r="C77" s="1" t="n">
        <v>45676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19133-2019</t>
        </is>
      </c>
      <c r="B78" s="1" t="n">
        <v>43564</v>
      </c>
      <c r="C78" s="1" t="n">
        <v>45676</v>
      </c>
      <c r="D78" t="inlineStr">
        <is>
          <t>VÄRMLANDS LÄN</t>
        </is>
      </c>
      <c r="E78" t="inlineStr">
        <is>
          <t>KARLSTAD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20301-2019</t>
        </is>
      </c>
      <c r="B79" s="1" t="n">
        <v>43570</v>
      </c>
      <c r="C79" s="1" t="n">
        <v>45676</v>
      </c>
      <c r="D79" t="inlineStr">
        <is>
          <t>VÄRMLANDS LÄN</t>
        </is>
      </c>
      <c r="E79" t="inlineStr">
        <is>
          <t>KARLSTAD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20339-2019</t>
        </is>
      </c>
      <c r="B80" s="1" t="n">
        <v>43570</v>
      </c>
      <c r="C80" s="1" t="n">
        <v>45676</v>
      </c>
      <c r="D80" t="inlineStr">
        <is>
          <t>VÄRMLANDS LÄN</t>
        </is>
      </c>
      <c r="E80" t="inlineStr">
        <is>
          <t>KARLSTAD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20461-2019</t>
        </is>
      </c>
      <c r="B81" s="1" t="n">
        <v>43572</v>
      </c>
      <c r="C81" s="1" t="n">
        <v>45676</v>
      </c>
      <c r="D81" t="inlineStr">
        <is>
          <t>VÄRMLANDS LÄN</t>
        </is>
      </c>
      <c r="E81" t="inlineStr">
        <is>
          <t>KARLSTAD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20610-2019</t>
        </is>
      </c>
      <c r="B82" s="1" t="n">
        <v>43572</v>
      </c>
      <c r="C82" s="1" t="n">
        <v>45676</v>
      </c>
      <c r="D82" t="inlineStr">
        <is>
          <t>VÄRMLANDS LÄN</t>
        </is>
      </c>
      <c r="E82" t="inlineStr">
        <is>
          <t>KARLSTAD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20785-2019</t>
        </is>
      </c>
      <c r="B83" s="1" t="n">
        <v>43573</v>
      </c>
      <c r="C83" s="1" t="n">
        <v>45676</v>
      </c>
      <c r="D83" t="inlineStr">
        <is>
          <t>VÄRMLANDS LÄN</t>
        </is>
      </c>
      <c r="E83" t="inlineStr">
        <is>
          <t>KARLSTAD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20852-2019</t>
        </is>
      </c>
      <c r="B84" s="1" t="n">
        <v>43577</v>
      </c>
      <c r="C84" s="1" t="n">
        <v>45676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21350-2019</t>
        </is>
      </c>
      <c r="B85" s="1" t="n">
        <v>43579</v>
      </c>
      <c r="C85" s="1" t="n">
        <v>45676</v>
      </c>
      <c r="D85" t="inlineStr">
        <is>
          <t>VÄRMLANDS LÄN</t>
        </is>
      </c>
      <c r="E85" t="inlineStr">
        <is>
          <t>KARLSTAD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21573-2019</t>
        </is>
      </c>
      <c r="B86" s="1" t="n">
        <v>43580</v>
      </c>
      <c r="C86" s="1" t="n">
        <v>45676</v>
      </c>
      <c r="D86" t="inlineStr">
        <is>
          <t>VÄRMLANDS LÄN</t>
        </is>
      </c>
      <c r="E86" t="inlineStr">
        <is>
          <t>KARLSTAD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21899-2019</t>
        </is>
      </c>
      <c r="B87" s="1" t="n">
        <v>43584</v>
      </c>
      <c r="C87" s="1" t="n">
        <v>45676</v>
      </c>
      <c r="D87" t="inlineStr">
        <is>
          <t>VÄRMLANDS LÄN</t>
        </is>
      </c>
      <c r="E87" t="inlineStr">
        <is>
          <t>KARLSTAD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22386-2019</t>
        </is>
      </c>
      <c r="B88" s="1" t="n">
        <v>43587</v>
      </c>
      <c r="C88" s="1" t="n">
        <v>45676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22700-2019</t>
        </is>
      </c>
      <c r="B89" s="1" t="n">
        <v>43588</v>
      </c>
      <c r="C89" s="1" t="n">
        <v>45676</v>
      </c>
      <c r="D89" t="inlineStr">
        <is>
          <t>VÄRMLANDS LÄN</t>
        </is>
      </c>
      <c r="E89" t="inlineStr">
        <is>
          <t>KARLSTAD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23045-2019</t>
        </is>
      </c>
      <c r="B90" s="1" t="n">
        <v>43591</v>
      </c>
      <c r="C90" s="1" t="n">
        <v>45676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22841-2019</t>
        </is>
      </c>
      <c r="B91" s="1" t="n">
        <v>43591</v>
      </c>
      <c r="C91" s="1" t="n">
        <v>45676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23900-2019</t>
        </is>
      </c>
      <c r="B92" s="1" t="n">
        <v>43595</v>
      </c>
      <c r="C92" s="1" t="n">
        <v>45676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24002-2019</t>
        </is>
      </c>
      <c r="B93" s="1" t="n">
        <v>43598</v>
      </c>
      <c r="C93" s="1" t="n">
        <v>45676</v>
      </c>
      <c r="D93" t="inlineStr">
        <is>
          <t>VÄRMLANDS LÄN</t>
        </is>
      </c>
      <c r="E93" t="inlineStr">
        <is>
          <t>KARLSTAD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24028-2019</t>
        </is>
      </c>
      <c r="B94" s="1" t="n">
        <v>43598</v>
      </c>
      <c r="C94" s="1" t="n">
        <v>45676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24348-2019</t>
        </is>
      </c>
      <c r="B95" s="1" t="n">
        <v>43599</v>
      </c>
      <c r="C95" s="1" t="n">
        <v>45676</v>
      </c>
      <c r="D95" t="inlineStr">
        <is>
          <t>VÄRMLANDS LÄN</t>
        </is>
      </c>
      <c r="E95" t="inlineStr">
        <is>
          <t>KARLSTAD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24400-2019</t>
        </is>
      </c>
      <c r="B96" s="1" t="n">
        <v>43600</v>
      </c>
      <c r="C96" s="1" t="n">
        <v>45676</v>
      </c>
      <c r="D96" t="inlineStr">
        <is>
          <t>VÄRMLANDS LÄN</t>
        </is>
      </c>
      <c r="E96" t="inlineStr">
        <is>
          <t>KARLSTAD</t>
        </is>
      </c>
      <c r="G96" t="n">
        <v>17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24401-2019</t>
        </is>
      </c>
      <c r="B97" s="1" t="n">
        <v>43600</v>
      </c>
      <c r="C97" s="1" t="n">
        <v>45676</v>
      </c>
      <c r="D97" t="inlineStr">
        <is>
          <t>VÄRMLANDS LÄN</t>
        </is>
      </c>
      <c r="E97" t="inlineStr">
        <is>
          <t>KARLSTAD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24624-2019</t>
        </is>
      </c>
      <c r="B98" s="1" t="n">
        <v>43601</v>
      </c>
      <c r="C98" s="1" t="n">
        <v>45676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25045-2019</t>
        </is>
      </c>
      <c r="B99" s="1" t="n">
        <v>43604</v>
      </c>
      <c r="C99" s="1" t="n">
        <v>45676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25310-2019</t>
        </is>
      </c>
      <c r="B100" s="1" t="n">
        <v>43606</v>
      </c>
      <c r="C100" s="1" t="n">
        <v>45676</v>
      </c>
      <c r="D100" t="inlineStr">
        <is>
          <t>VÄRMLANDS LÄN</t>
        </is>
      </c>
      <c r="E100" t="inlineStr">
        <is>
          <t>KARLSTAD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25311-2019</t>
        </is>
      </c>
      <c r="B101" s="1" t="n">
        <v>43606</v>
      </c>
      <c r="C101" s="1" t="n">
        <v>45676</v>
      </c>
      <c r="D101" t="inlineStr">
        <is>
          <t>VÄRMLANDS LÄN</t>
        </is>
      </c>
      <c r="E101" t="inlineStr">
        <is>
          <t>KARLSTAD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25648-2019</t>
        </is>
      </c>
      <c r="B102" s="1" t="n">
        <v>43607</v>
      </c>
      <c r="C102" s="1" t="n">
        <v>45676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25638-2019</t>
        </is>
      </c>
      <c r="B103" s="1" t="n">
        <v>43607</v>
      </c>
      <c r="C103" s="1" t="n">
        <v>45676</v>
      </c>
      <c r="D103" t="inlineStr">
        <is>
          <t>VÄRMLANDS LÄN</t>
        </is>
      </c>
      <c r="E103" t="inlineStr">
        <is>
          <t>KARLSTAD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26844-2019</t>
        </is>
      </c>
      <c r="B104" s="1" t="n">
        <v>43608</v>
      </c>
      <c r="C104" s="1" t="n">
        <v>45676</v>
      </c>
      <c r="D104" t="inlineStr">
        <is>
          <t>VÄRMLANDS LÄN</t>
        </is>
      </c>
      <c r="E104" t="inlineStr">
        <is>
          <t>KARLSTAD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27375-2019</t>
        </is>
      </c>
      <c r="B105" s="1" t="n">
        <v>43616</v>
      </c>
      <c r="C105" s="1" t="n">
        <v>45676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29097-2019</t>
        </is>
      </c>
      <c r="B106" s="1" t="n">
        <v>43628</v>
      </c>
      <c r="C106" s="1" t="n">
        <v>45676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30641-2019</t>
        </is>
      </c>
      <c r="B107" s="1" t="n">
        <v>43636</v>
      </c>
      <c r="C107" s="1" t="n">
        <v>45676</v>
      </c>
      <c r="D107" t="inlineStr">
        <is>
          <t>VÄRMLANDS LÄN</t>
        </is>
      </c>
      <c r="E107" t="inlineStr">
        <is>
          <t>KARLSTAD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30975-2019</t>
        </is>
      </c>
      <c r="B108" s="1" t="n">
        <v>43639</v>
      </c>
      <c r="C108" s="1" t="n">
        <v>45676</v>
      </c>
      <c r="D108" t="inlineStr">
        <is>
          <t>VÄRMLANDS LÄN</t>
        </is>
      </c>
      <c r="E108" t="inlineStr">
        <is>
          <t>KARLSTAD</t>
        </is>
      </c>
      <c r="F108" t="inlineStr">
        <is>
          <t>Naturvårdsverket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31142-2019</t>
        </is>
      </c>
      <c r="B109" s="1" t="n">
        <v>43640</v>
      </c>
      <c r="C109" s="1" t="n">
        <v>45676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31631-2019</t>
        </is>
      </c>
      <c r="B110" s="1" t="n">
        <v>43642</v>
      </c>
      <c r="C110" s="1" t="n">
        <v>45676</v>
      </c>
      <c r="D110" t="inlineStr">
        <is>
          <t>VÄRMLANDS LÄN</t>
        </is>
      </c>
      <c r="E110" t="inlineStr">
        <is>
          <t>KARLSTAD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32406-2019</t>
        </is>
      </c>
      <c r="B111" s="1" t="n">
        <v>43644</v>
      </c>
      <c r="C111" s="1" t="n">
        <v>45676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32900-2019</t>
        </is>
      </c>
      <c r="B112" s="1" t="n">
        <v>43648</v>
      </c>
      <c r="C112" s="1" t="n">
        <v>45676</v>
      </c>
      <c r="D112" t="inlineStr">
        <is>
          <t>VÄRMLANDS LÄN</t>
        </is>
      </c>
      <c r="E112" t="inlineStr">
        <is>
          <t>KARLSTAD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34750-2019</t>
        </is>
      </c>
      <c r="B113" s="1" t="n">
        <v>43648</v>
      </c>
      <c r="C113" s="1" t="n">
        <v>45676</v>
      </c>
      <c r="D113" t="inlineStr">
        <is>
          <t>VÄRMLANDS LÄN</t>
        </is>
      </c>
      <c r="E113" t="inlineStr">
        <is>
          <t>KARLSTAD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35245-2019</t>
        </is>
      </c>
      <c r="B114" s="1" t="n">
        <v>43651</v>
      </c>
      <c r="C114" s="1" t="n">
        <v>45676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36579-2019</t>
        </is>
      </c>
      <c r="B115" s="1" t="n">
        <v>43671</v>
      </c>
      <c r="C115" s="1" t="n">
        <v>45676</v>
      </c>
      <c r="D115" t="inlineStr">
        <is>
          <t>VÄRMLANDS LÄN</t>
        </is>
      </c>
      <c r="E115" t="inlineStr">
        <is>
          <t>KARLSTAD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38594-2019</t>
        </is>
      </c>
      <c r="B116" s="1" t="n">
        <v>43684</v>
      </c>
      <c r="C116" s="1" t="n">
        <v>45676</v>
      </c>
      <c r="D116" t="inlineStr">
        <is>
          <t>VÄRMLANDS LÄN</t>
        </is>
      </c>
      <c r="E116" t="inlineStr">
        <is>
          <t>KARLSTAD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40698-2019</t>
        </is>
      </c>
      <c r="B117" s="1" t="n">
        <v>43684</v>
      </c>
      <c r="C117" s="1" t="n">
        <v>45676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41484-2019</t>
        </is>
      </c>
      <c r="B118" s="1" t="n">
        <v>43696</v>
      </c>
      <c r="C118" s="1" t="n">
        <v>45676</v>
      </c>
      <c r="D118" t="inlineStr">
        <is>
          <t>VÄRMLANDS LÄN</t>
        </is>
      </c>
      <c r="E118" t="inlineStr">
        <is>
          <t>KARLSTAD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41383-2019</t>
        </is>
      </c>
      <c r="B119" s="1" t="n">
        <v>43696</v>
      </c>
      <c r="C119" s="1" t="n">
        <v>45676</v>
      </c>
      <c r="D119" t="inlineStr">
        <is>
          <t>VÄRMLANDS LÄN</t>
        </is>
      </c>
      <c r="E119" t="inlineStr">
        <is>
          <t>KARLSTAD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44009-2019</t>
        </is>
      </c>
      <c r="B120" s="1" t="n">
        <v>43709</v>
      </c>
      <c r="C120" s="1" t="n">
        <v>45676</v>
      </c>
      <c r="D120" t="inlineStr">
        <is>
          <t>VÄRMLANDS LÄN</t>
        </is>
      </c>
      <c r="E120" t="inlineStr">
        <is>
          <t>KARLSTAD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44068-2019</t>
        </is>
      </c>
      <c r="B121" s="1" t="n">
        <v>43710</v>
      </c>
      <c r="C121" s="1" t="n">
        <v>45676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45352-2019</t>
        </is>
      </c>
      <c r="B122" s="1" t="n">
        <v>43714</v>
      </c>
      <c r="C122" s="1" t="n">
        <v>45676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45365-2019</t>
        </is>
      </c>
      <c r="B123" s="1" t="n">
        <v>43714</v>
      </c>
      <c r="C123" s="1" t="n">
        <v>45676</v>
      </c>
      <c r="D123" t="inlineStr">
        <is>
          <t>VÄRMLANDS LÄN</t>
        </is>
      </c>
      <c r="E123" t="inlineStr">
        <is>
          <t>KARLSTAD</t>
        </is>
      </c>
      <c r="F123" t="inlineStr">
        <is>
          <t>Naturvårdsverket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45370-2019</t>
        </is>
      </c>
      <c r="B124" s="1" t="n">
        <v>43714</v>
      </c>
      <c r="C124" s="1" t="n">
        <v>45676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45353-2019</t>
        </is>
      </c>
      <c r="B125" s="1" t="n">
        <v>43714</v>
      </c>
      <c r="C125" s="1" t="n">
        <v>45676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46389-2019</t>
        </is>
      </c>
      <c r="B126" s="1" t="n">
        <v>43714</v>
      </c>
      <c r="C126" s="1" t="n">
        <v>45676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46016-2019</t>
        </is>
      </c>
      <c r="B127" s="1" t="n">
        <v>43718</v>
      </c>
      <c r="C127" s="1" t="n">
        <v>45676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46536-2019</t>
        </is>
      </c>
      <c r="B128" s="1" t="n">
        <v>43719</v>
      </c>
      <c r="C128" s="1" t="n">
        <v>45676</v>
      </c>
      <c r="D128" t="inlineStr">
        <is>
          <t>VÄRMLANDS LÄN</t>
        </is>
      </c>
      <c r="E128" t="inlineStr">
        <is>
          <t>KARLSTAD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47188-2019</t>
        </is>
      </c>
      <c r="B129" s="1" t="n">
        <v>43721</v>
      </c>
      <c r="C129" s="1" t="n">
        <v>45676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47700-2019</t>
        </is>
      </c>
      <c r="B130" s="1" t="n">
        <v>43724</v>
      </c>
      <c r="C130" s="1" t="n">
        <v>45676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51551-2019</t>
        </is>
      </c>
      <c r="B131" s="1" t="n">
        <v>43733</v>
      </c>
      <c r="C131" s="1" t="n">
        <v>45676</v>
      </c>
      <c r="D131" t="inlineStr">
        <is>
          <t>VÄRMLANDS LÄN</t>
        </is>
      </c>
      <c r="E131" t="inlineStr">
        <is>
          <t>KARLSTAD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51761-2019</t>
        </is>
      </c>
      <c r="B132" s="1" t="n">
        <v>43741</v>
      </c>
      <c r="C132" s="1" t="n">
        <v>45676</v>
      </c>
      <c r="D132" t="inlineStr">
        <is>
          <t>VÄRMLANDS LÄN</t>
        </is>
      </c>
      <c r="E132" t="inlineStr">
        <is>
          <t>KARLSTAD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52392-2019</t>
        </is>
      </c>
      <c r="B133" s="1" t="n">
        <v>43745</v>
      </c>
      <c r="C133" s="1" t="n">
        <v>45676</v>
      </c>
      <c r="D133" t="inlineStr">
        <is>
          <t>VÄRMLANDS LÄN</t>
        </is>
      </c>
      <c r="E133" t="inlineStr">
        <is>
          <t>KARLSTAD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53041-2019</t>
        </is>
      </c>
      <c r="B134" s="1" t="n">
        <v>43747</v>
      </c>
      <c r="C134" s="1" t="n">
        <v>45676</v>
      </c>
      <c r="D134" t="inlineStr">
        <is>
          <t>VÄRMLANDS LÄN</t>
        </is>
      </c>
      <c r="E134" t="inlineStr">
        <is>
          <t>KARLSTAD</t>
        </is>
      </c>
      <c r="F134" t="inlineStr">
        <is>
          <t>Kyrkan</t>
        </is>
      </c>
      <c r="G134" t="n">
        <v>10.7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54442-2019</t>
        </is>
      </c>
      <c r="B135" s="1" t="n">
        <v>43747</v>
      </c>
      <c r="C135" s="1" t="n">
        <v>45676</v>
      </c>
      <c r="D135" t="inlineStr">
        <is>
          <t>VÄRMLANDS LÄN</t>
        </is>
      </c>
      <c r="E135" t="inlineStr">
        <is>
          <t>KARLSTAD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54438-2019</t>
        </is>
      </c>
      <c r="B136" s="1" t="n">
        <v>43747</v>
      </c>
      <c r="C136" s="1" t="n">
        <v>45676</v>
      </c>
      <c r="D136" t="inlineStr">
        <is>
          <t>VÄRMLANDS LÄN</t>
        </is>
      </c>
      <c r="E136" t="inlineStr">
        <is>
          <t>KARLSTAD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53451-2019</t>
        </is>
      </c>
      <c r="B137" s="1" t="n">
        <v>43748</v>
      </c>
      <c r="C137" s="1" t="n">
        <v>45676</v>
      </c>
      <c r="D137" t="inlineStr">
        <is>
          <t>VÄRMLANDS LÄN</t>
        </is>
      </c>
      <c r="E137" t="inlineStr">
        <is>
          <t>KARLSTAD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54890-2019</t>
        </is>
      </c>
      <c r="B138" s="1" t="n">
        <v>43749</v>
      </c>
      <c r="C138" s="1" t="n">
        <v>45676</v>
      </c>
      <c r="D138" t="inlineStr">
        <is>
          <t>VÄRMLANDS LÄN</t>
        </is>
      </c>
      <c r="E138" t="inlineStr">
        <is>
          <t>KARLSTAD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55371-2019</t>
        </is>
      </c>
      <c r="B139" s="1" t="n">
        <v>43754</v>
      </c>
      <c r="C139" s="1" t="n">
        <v>45676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54904-2019</t>
        </is>
      </c>
      <c r="B140" s="1" t="n">
        <v>43755</v>
      </c>
      <c r="C140" s="1" t="n">
        <v>45676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55367-2019</t>
        </is>
      </c>
      <c r="B141" s="1" t="n">
        <v>43756</v>
      </c>
      <c r="C141" s="1" t="n">
        <v>45676</v>
      </c>
      <c r="D141" t="inlineStr">
        <is>
          <t>VÄRMLANDS LÄN</t>
        </is>
      </c>
      <c r="E141" t="inlineStr">
        <is>
          <t>KARLSTAD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55561-2019</t>
        </is>
      </c>
      <c r="B142" s="1" t="n">
        <v>43759</v>
      </c>
      <c r="C142" s="1" t="n">
        <v>45676</v>
      </c>
      <c r="D142" t="inlineStr">
        <is>
          <t>VÄRMLANDS LÄN</t>
        </is>
      </c>
      <c r="E142" t="inlineStr">
        <is>
          <t>KARLSTAD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56863-2019</t>
        </is>
      </c>
      <c r="B143" s="1" t="n">
        <v>43759</v>
      </c>
      <c r="C143" s="1" t="n">
        <v>45676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55846-2019</t>
        </is>
      </c>
      <c r="B144" s="1" t="n">
        <v>43759</v>
      </c>
      <c r="C144" s="1" t="n">
        <v>45676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55574-2019</t>
        </is>
      </c>
      <c r="B145" s="1" t="n">
        <v>43760</v>
      </c>
      <c r="C145" s="1" t="n">
        <v>45676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55575-2019</t>
        </is>
      </c>
      <c r="B146" s="1" t="n">
        <v>43760</v>
      </c>
      <c r="C146" s="1" t="n">
        <v>45676</v>
      </c>
      <c r="D146" t="inlineStr">
        <is>
          <t>VÄRMLANDS LÄN</t>
        </is>
      </c>
      <c r="E146" t="inlineStr">
        <is>
          <t>KARLSTAD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57331-2019</t>
        </is>
      </c>
      <c r="B147" s="1" t="n">
        <v>43767</v>
      </c>
      <c r="C147" s="1" t="n">
        <v>45676</v>
      </c>
      <c r="D147" t="inlineStr">
        <is>
          <t>VÄRMLANDS LÄN</t>
        </is>
      </c>
      <c r="E147" t="inlineStr">
        <is>
          <t>KARLSTAD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60145-2019</t>
        </is>
      </c>
      <c r="B148" s="1" t="n">
        <v>43779</v>
      </c>
      <c r="C148" s="1" t="n">
        <v>45676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63890-2019</t>
        </is>
      </c>
      <c r="B149" s="1" t="n">
        <v>43790</v>
      </c>
      <c r="C149" s="1" t="n">
        <v>45676</v>
      </c>
      <c r="D149" t="inlineStr">
        <is>
          <t>VÄRMLANDS LÄN</t>
        </is>
      </c>
      <c r="E149" t="inlineStr">
        <is>
          <t>KARLSTAD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63253-2019</t>
        </is>
      </c>
      <c r="B150" s="1" t="n">
        <v>43793</v>
      </c>
      <c r="C150" s="1" t="n">
        <v>45676</v>
      </c>
      <c r="D150" t="inlineStr">
        <is>
          <t>VÄRMLANDS LÄN</t>
        </is>
      </c>
      <c r="E150" t="inlineStr">
        <is>
          <t>KARLSTAD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63254-2019</t>
        </is>
      </c>
      <c r="B151" s="1" t="n">
        <v>43793</v>
      </c>
      <c r="C151" s="1" t="n">
        <v>45676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64207-2019</t>
        </is>
      </c>
      <c r="B152" s="1" t="n">
        <v>43797</v>
      </c>
      <c r="C152" s="1" t="n">
        <v>45676</v>
      </c>
      <c r="D152" t="inlineStr">
        <is>
          <t>VÄRMLANDS LÄN</t>
        </is>
      </c>
      <c r="E152" t="inlineStr">
        <is>
          <t>KARLSTAD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64796-2019</t>
        </is>
      </c>
      <c r="B153" s="1" t="n">
        <v>43801</v>
      </c>
      <c r="C153" s="1" t="n">
        <v>45676</v>
      </c>
      <c r="D153" t="inlineStr">
        <is>
          <t>VÄRMLANDS LÄN</t>
        </is>
      </c>
      <c r="E153" t="inlineStr">
        <is>
          <t>KARLSTAD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67642-2019</t>
        </is>
      </c>
      <c r="B154" s="1" t="n">
        <v>43809</v>
      </c>
      <c r="C154" s="1" t="n">
        <v>45676</v>
      </c>
      <c r="D154" t="inlineStr">
        <is>
          <t>VÄRMLANDS LÄN</t>
        </is>
      </c>
      <c r="E154" t="inlineStr">
        <is>
          <t>KARLSTAD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66946-2019</t>
        </is>
      </c>
      <c r="B155" s="1" t="n">
        <v>43810</v>
      </c>
      <c r="C155" s="1" t="n">
        <v>45676</v>
      </c>
      <c r="D155" t="inlineStr">
        <is>
          <t>VÄRMLANDS LÄN</t>
        </is>
      </c>
      <c r="E155" t="inlineStr">
        <is>
          <t>KARLSTAD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67258-2019</t>
        </is>
      </c>
      <c r="B156" s="1" t="n">
        <v>43812</v>
      </c>
      <c r="C156" s="1" t="n">
        <v>45676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68960-2019</t>
        </is>
      </c>
      <c r="B157" s="1" t="n">
        <v>43815</v>
      </c>
      <c r="C157" s="1" t="n">
        <v>45676</v>
      </c>
      <c r="D157" t="inlineStr">
        <is>
          <t>VÄRMLANDS LÄN</t>
        </is>
      </c>
      <c r="E157" t="inlineStr">
        <is>
          <t>KARLSTAD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717-2020</t>
        </is>
      </c>
      <c r="B158" s="1" t="n">
        <v>43818</v>
      </c>
      <c r="C158" s="1" t="n">
        <v>45676</v>
      </c>
      <c r="D158" t="inlineStr">
        <is>
          <t>VÄRMLANDS LÄN</t>
        </is>
      </c>
      <c r="E158" t="inlineStr">
        <is>
          <t>KARLSTAD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718-2020</t>
        </is>
      </c>
      <c r="B159" s="1" t="n">
        <v>43818</v>
      </c>
      <c r="C159" s="1" t="n">
        <v>45676</v>
      </c>
      <c r="D159" t="inlineStr">
        <is>
          <t>VÄRMLANDS LÄN</t>
        </is>
      </c>
      <c r="E159" t="inlineStr">
        <is>
          <t>KARLSTAD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746-2020</t>
        </is>
      </c>
      <c r="B160" s="1" t="n">
        <v>43818</v>
      </c>
      <c r="C160" s="1" t="n">
        <v>45676</v>
      </c>
      <c r="D160" t="inlineStr">
        <is>
          <t>VÄRMLANDS LÄN</t>
        </is>
      </c>
      <c r="E160" t="inlineStr">
        <is>
          <t>KARLSTAD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68589-2019</t>
        </is>
      </c>
      <c r="B161" s="1" t="n">
        <v>43818</v>
      </c>
      <c r="C161" s="1" t="n">
        <v>45676</v>
      </c>
      <c r="D161" t="inlineStr">
        <is>
          <t>VÄRMLANDS LÄN</t>
        </is>
      </c>
      <c r="E161" t="inlineStr">
        <is>
          <t>KARLSTAD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68695-2019</t>
        </is>
      </c>
      <c r="B162" s="1" t="n">
        <v>43819</v>
      </c>
      <c r="C162" s="1" t="n">
        <v>45676</v>
      </c>
      <c r="D162" t="inlineStr">
        <is>
          <t>VÄRMLANDS LÄN</t>
        </is>
      </c>
      <c r="E162" t="inlineStr">
        <is>
          <t>KARLSTAD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955-2020</t>
        </is>
      </c>
      <c r="B163" s="1" t="n">
        <v>43819</v>
      </c>
      <c r="C163" s="1" t="n">
        <v>45676</v>
      </c>
      <c r="D163" t="inlineStr">
        <is>
          <t>VÄRMLANDS LÄN</t>
        </is>
      </c>
      <c r="E163" t="inlineStr">
        <is>
          <t>KARLSTAD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68898-2019</t>
        </is>
      </c>
      <c r="B164" s="1" t="n">
        <v>43821</v>
      </c>
      <c r="C164" s="1" t="n">
        <v>45676</v>
      </c>
      <c r="D164" t="inlineStr">
        <is>
          <t>VÄRMLANDS LÄN</t>
        </is>
      </c>
      <c r="E164" t="inlineStr">
        <is>
          <t>KARLSTAD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69022-2019</t>
        </is>
      </c>
      <c r="B165" s="1" t="n">
        <v>43826</v>
      </c>
      <c r="C165" s="1" t="n">
        <v>45676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2167-2020</t>
        </is>
      </c>
      <c r="B166" s="1" t="n">
        <v>43832</v>
      </c>
      <c r="C166" s="1" t="n">
        <v>45676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1663-2020</t>
        </is>
      </c>
      <c r="B167" s="1" t="n">
        <v>43832</v>
      </c>
      <c r="C167" s="1" t="n">
        <v>45676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1033-2020</t>
        </is>
      </c>
      <c r="B168" s="1" t="n">
        <v>43839</v>
      </c>
      <c r="C168" s="1" t="n">
        <v>45676</v>
      </c>
      <c r="D168" t="inlineStr">
        <is>
          <t>VÄRMLANDS LÄN</t>
        </is>
      </c>
      <c r="E168" t="inlineStr">
        <is>
          <t>KARLSTAD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2284-2020</t>
        </is>
      </c>
      <c r="B169" s="1" t="n">
        <v>43846</v>
      </c>
      <c r="C169" s="1" t="n">
        <v>45676</v>
      </c>
      <c r="D169" t="inlineStr">
        <is>
          <t>VÄRMLANDS LÄN</t>
        </is>
      </c>
      <c r="E169" t="inlineStr">
        <is>
          <t>KARLSTAD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3016-2020</t>
        </is>
      </c>
      <c r="B170" s="1" t="n">
        <v>43851</v>
      </c>
      <c r="C170" s="1" t="n">
        <v>45676</v>
      </c>
      <c r="D170" t="inlineStr">
        <is>
          <t>VÄRMLANDS LÄN</t>
        </is>
      </c>
      <c r="E170" t="inlineStr">
        <is>
          <t>KARLSTAD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6288-2020</t>
        </is>
      </c>
      <c r="B171" s="1" t="n">
        <v>43866</v>
      </c>
      <c r="C171" s="1" t="n">
        <v>45676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6309-2020</t>
        </is>
      </c>
      <c r="B172" s="1" t="n">
        <v>43866</v>
      </c>
      <c r="C172" s="1" t="n">
        <v>45676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7897-2020</t>
        </is>
      </c>
      <c r="B173" s="1" t="n">
        <v>43873</v>
      </c>
      <c r="C173" s="1" t="n">
        <v>45676</v>
      </c>
      <c r="D173" t="inlineStr">
        <is>
          <t>VÄRMLANDS LÄN</t>
        </is>
      </c>
      <c r="E173" t="inlineStr">
        <is>
          <t>KARLSTAD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7954-2020</t>
        </is>
      </c>
      <c r="B174" s="1" t="n">
        <v>43873</v>
      </c>
      <c r="C174" s="1" t="n">
        <v>45676</v>
      </c>
      <c r="D174" t="inlineStr">
        <is>
          <t>VÄRMLANDS LÄN</t>
        </is>
      </c>
      <c r="E174" t="inlineStr">
        <is>
          <t>KARLSTAD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7981-2020</t>
        </is>
      </c>
      <c r="B175" s="1" t="n">
        <v>43873</v>
      </c>
      <c r="C175" s="1" t="n">
        <v>45676</v>
      </c>
      <c r="D175" t="inlineStr">
        <is>
          <t>VÄRMLANDS LÄN</t>
        </is>
      </c>
      <c r="E175" t="inlineStr">
        <is>
          <t>KARLSTAD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7988-2020</t>
        </is>
      </c>
      <c r="B176" s="1" t="n">
        <v>43873</v>
      </c>
      <c r="C176" s="1" t="n">
        <v>45676</v>
      </c>
      <c r="D176" t="inlineStr">
        <is>
          <t>VÄRMLANDS LÄN</t>
        </is>
      </c>
      <c r="E176" t="inlineStr">
        <is>
          <t>KARLSTAD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7991-2020</t>
        </is>
      </c>
      <c r="B177" s="1" t="n">
        <v>43873</v>
      </c>
      <c r="C177" s="1" t="n">
        <v>45676</v>
      </c>
      <c r="D177" t="inlineStr">
        <is>
          <t>VÄRMLANDS LÄN</t>
        </is>
      </c>
      <c r="E177" t="inlineStr">
        <is>
          <t>KARLSTAD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7985-2020</t>
        </is>
      </c>
      <c r="B178" s="1" t="n">
        <v>43873</v>
      </c>
      <c r="C178" s="1" t="n">
        <v>45676</v>
      </c>
      <c r="D178" t="inlineStr">
        <is>
          <t>VÄRMLANDS LÄN</t>
        </is>
      </c>
      <c r="E178" t="inlineStr">
        <is>
          <t>KARLSTAD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8097-2020</t>
        </is>
      </c>
      <c r="B179" s="1" t="n">
        <v>43874</v>
      </c>
      <c r="C179" s="1" t="n">
        <v>45676</v>
      </c>
      <c r="D179" t="inlineStr">
        <is>
          <t>VÄRMLANDS LÄN</t>
        </is>
      </c>
      <c r="E179" t="inlineStr">
        <is>
          <t>KARLSTAD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8551-2020</t>
        </is>
      </c>
      <c r="B180" s="1" t="n">
        <v>43877</v>
      </c>
      <c r="C180" s="1" t="n">
        <v>45676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9146-2020</t>
        </is>
      </c>
      <c r="B181" s="1" t="n">
        <v>43879</v>
      </c>
      <c r="C181" s="1" t="n">
        <v>45676</v>
      </c>
      <c r="D181" t="inlineStr">
        <is>
          <t>VÄRMLANDS LÄN</t>
        </is>
      </c>
      <c r="E181" t="inlineStr">
        <is>
          <t>KARLSTAD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9702-2020</t>
        </is>
      </c>
      <c r="B182" s="1" t="n">
        <v>43881</v>
      </c>
      <c r="C182" s="1" t="n">
        <v>45676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10912-2020</t>
        </is>
      </c>
      <c r="B183" s="1" t="n">
        <v>43889</v>
      </c>
      <c r="C183" s="1" t="n">
        <v>45676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11031-2020</t>
        </is>
      </c>
      <c r="B184" s="1" t="n">
        <v>43889</v>
      </c>
      <c r="C184" s="1" t="n">
        <v>45676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11033-2020</t>
        </is>
      </c>
      <c r="B185" s="1" t="n">
        <v>43889</v>
      </c>
      <c r="C185" s="1" t="n">
        <v>45676</v>
      </c>
      <c r="D185" t="inlineStr">
        <is>
          <t>VÄRMLANDS LÄN</t>
        </is>
      </c>
      <c r="E185" t="inlineStr">
        <is>
          <t>KARLSTAD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12822-2020</t>
        </is>
      </c>
      <c r="B186" s="1" t="n">
        <v>43899</v>
      </c>
      <c r="C186" s="1" t="n">
        <v>45676</v>
      </c>
      <c r="D186" t="inlineStr">
        <is>
          <t>VÄRMLANDS LÄN</t>
        </is>
      </c>
      <c r="E186" t="inlineStr">
        <is>
          <t>KARLSTAD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13318-2020</t>
        </is>
      </c>
      <c r="B187" s="1" t="n">
        <v>43902</v>
      </c>
      <c r="C187" s="1" t="n">
        <v>45676</v>
      </c>
      <c r="D187" t="inlineStr">
        <is>
          <t>VÄRMLANDS LÄN</t>
        </is>
      </c>
      <c r="E187" t="inlineStr">
        <is>
          <t>KARLSTAD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13819-2020</t>
        </is>
      </c>
      <c r="B188" s="1" t="n">
        <v>43905</v>
      </c>
      <c r="C188" s="1" t="n">
        <v>45676</v>
      </c>
      <c r="D188" t="inlineStr">
        <is>
          <t>VÄRMLANDS LÄN</t>
        </is>
      </c>
      <c r="E188" t="inlineStr">
        <is>
          <t>KARLSTAD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13818-2020</t>
        </is>
      </c>
      <c r="B189" s="1" t="n">
        <v>43905</v>
      </c>
      <c r="C189" s="1" t="n">
        <v>45676</v>
      </c>
      <c r="D189" t="inlineStr">
        <is>
          <t>VÄRMLANDS LÄN</t>
        </is>
      </c>
      <c r="E189" t="inlineStr">
        <is>
          <t>KARLSTAD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14933-2020</t>
        </is>
      </c>
      <c r="B190" s="1" t="n">
        <v>43906</v>
      </c>
      <c r="C190" s="1" t="n">
        <v>45676</v>
      </c>
      <c r="D190" t="inlineStr">
        <is>
          <t>VÄRMLANDS LÄN</t>
        </is>
      </c>
      <c r="E190" t="inlineStr">
        <is>
          <t>KARLSTAD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14593-2020</t>
        </is>
      </c>
      <c r="B191" s="1" t="n">
        <v>43909</v>
      </c>
      <c r="C191" s="1" t="n">
        <v>45676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16457-2020</t>
        </is>
      </c>
      <c r="B192" s="1" t="n">
        <v>43909</v>
      </c>
      <c r="C192" s="1" t="n">
        <v>45676</v>
      </c>
      <c r="D192" t="inlineStr">
        <is>
          <t>VÄRMLANDS LÄN</t>
        </is>
      </c>
      <c r="E192" t="inlineStr">
        <is>
          <t>KARLSTAD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16576-2020</t>
        </is>
      </c>
      <c r="B193" s="1" t="n">
        <v>43909</v>
      </c>
      <c r="C193" s="1" t="n">
        <v>45676</v>
      </c>
      <c r="D193" t="inlineStr">
        <is>
          <t>VÄRMLANDS LÄN</t>
        </is>
      </c>
      <c r="E193" t="inlineStr">
        <is>
          <t>KARLSTAD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14948-2020</t>
        </is>
      </c>
      <c r="B194" s="1" t="n">
        <v>43910</v>
      </c>
      <c r="C194" s="1" t="n">
        <v>45676</v>
      </c>
      <c r="D194" t="inlineStr">
        <is>
          <t>VÄRMLANDS LÄN</t>
        </is>
      </c>
      <c r="E194" t="inlineStr">
        <is>
          <t>KARLSTAD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14961-2020</t>
        </is>
      </c>
      <c r="B195" s="1" t="n">
        <v>43910</v>
      </c>
      <c r="C195" s="1" t="n">
        <v>45676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14965-2020</t>
        </is>
      </c>
      <c r="B196" s="1" t="n">
        <v>43910</v>
      </c>
      <c r="C196" s="1" t="n">
        <v>45676</v>
      </c>
      <c r="D196" t="inlineStr">
        <is>
          <t>VÄRMLANDS LÄN</t>
        </is>
      </c>
      <c r="E196" t="inlineStr">
        <is>
          <t>KARLSTAD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14964-2020</t>
        </is>
      </c>
      <c r="B197" s="1" t="n">
        <v>43910</v>
      </c>
      <c r="C197" s="1" t="n">
        <v>45676</v>
      </c>
      <c r="D197" t="inlineStr">
        <is>
          <t>VÄRMLANDS LÄN</t>
        </is>
      </c>
      <c r="E197" t="inlineStr">
        <is>
          <t>KARLSTAD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15569-2020</t>
        </is>
      </c>
      <c r="B198" s="1" t="n">
        <v>43914</v>
      </c>
      <c r="C198" s="1" t="n">
        <v>45676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15535-2020</t>
        </is>
      </c>
      <c r="B199" s="1" t="n">
        <v>43914</v>
      </c>
      <c r="C199" s="1" t="n">
        <v>45676</v>
      </c>
      <c r="D199" t="inlineStr">
        <is>
          <t>VÄRMLANDS LÄN</t>
        </is>
      </c>
      <c r="E199" t="inlineStr">
        <is>
          <t>KARLSTAD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15538-2020</t>
        </is>
      </c>
      <c r="B200" s="1" t="n">
        <v>43914</v>
      </c>
      <c r="C200" s="1" t="n">
        <v>45676</v>
      </c>
      <c r="D200" t="inlineStr">
        <is>
          <t>VÄRMLANDS LÄN</t>
        </is>
      </c>
      <c r="E200" t="inlineStr">
        <is>
          <t>KARLSTAD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17289-2020</t>
        </is>
      </c>
      <c r="B201" s="1" t="n">
        <v>43915</v>
      </c>
      <c r="C201" s="1" t="n">
        <v>45676</v>
      </c>
      <c r="D201" t="inlineStr">
        <is>
          <t>VÄRMLANDS LÄN</t>
        </is>
      </c>
      <c r="E201" t="inlineStr">
        <is>
          <t>KARLSTAD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16032-2020</t>
        </is>
      </c>
      <c r="B202" s="1" t="n">
        <v>43916</v>
      </c>
      <c r="C202" s="1" t="n">
        <v>45676</v>
      </c>
      <c r="D202" t="inlineStr">
        <is>
          <t>VÄRMLANDS LÄN</t>
        </is>
      </c>
      <c r="E202" t="inlineStr">
        <is>
          <t>KARLSTAD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16280-2020</t>
        </is>
      </c>
      <c r="B203" s="1" t="n">
        <v>43917</v>
      </c>
      <c r="C203" s="1" t="n">
        <v>45676</v>
      </c>
      <c r="D203" t="inlineStr">
        <is>
          <t>VÄRMLANDS LÄN</t>
        </is>
      </c>
      <c r="E203" t="inlineStr">
        <is>
          <t>KARLSTAD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17545-2020</t>
        </is>
      </c>
      <c r="B204" s="1" t="n">
        <v>43920</v>
      </c>
      <c r="C204" s="1" t="n">
        <v>45676</v>
      </c>
      <c r="D204" t="inlineStr">
        <is>
          <t>VÄRMLANDS LÄN</t>
        </is>
      </c>
      <c r="E204" t="inlineStr">
        <is>
          <t>KARLSTAD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17958-2020</t>
        </is>
      </c>
      <c r="B205" s="1" t="n">
        <v>43925</v>
      </c>
      <c r="C205" s="1" t="n">
        <v>45676</v>
      </c>
      <c r="D205" t="inlineStr">
        <is>
          <t>VÄRMLANDS LÄN</t>
        </is>
      </c>
      <c r="E205" t="inlineStr">
        <is>
          <t>KARLSTAD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18157-2020</t>
        </is>
      </c>
      <c r="B206" s="1" t="n">
        <v>43927</v>
      </c>
      <c r="C206" s="1" t="n">
        <v>45676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18229-2020</t>
        </is>
      </c>
      <c r="B207" s="1" t="n">
        <v>43928</v>
      </c>
      <c r="C207" s="1" t="n">
        <v>45676</v>
      </c>
      <c r="D207" t="inlineStr">
        <is>
          <t>VÄRMLANDS LÄN</t>
        </is>
      </c>
      <c r="E207" t="inlineStr">
        <is>
          <t>KARLSTAD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20945-2020</t>
        </is>
      </c>
      <c r="B208" s="1" t="n">
        <v>43950</v>
      </c>
      <c r="C208" s="1" t="n">
        <v>45676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20959-2020</t>
        </is>
      </c>
      <c r="B209" s="1" t="n">
        <v>43950</v>
      </c>
      <c r="C209" s="1" t="n">
        <v>45676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22200-2020</t>
        </is>
      </c>
      <c r="B210" s="1" t="n">
        <v>43962</v>
      </c>
      <c r="C210" s="1" t="n">
        <v>45676</v>
      </c>
      <c r="D210" t="inlineStr">
        <is>
          <t>VÄRMLANDS LÄN</t>
        </is>
      </c>
      <c r="E210" t="inlineStr">
        <is>
          <t>KARLSTAD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22198-2020</t>
        </is>
      </c>
      <c r="B211" s="1" t="n">
        <v>43962</v>
      </c>
      <c r="C211" s="1" t="n">
        <v>45676</v>
      </c>
      <c r="D211" t="inlineStr">
        <is>
          <t>VÄRMLANDS LÄN</t>
        </is>
      </c>
      <c r="E211" t="inlineStr">
        <is>
          <t>KARLSTAD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22513-2020</t>
        </is>
      </c>
      <c r="B212" s="1" t="n">
        <v>43963</v>
      </c>
      <c r="C212" s="1" t="n">
        <v>45676</v>
      </c>
      <c r="D212" t="inlineStr">
        <is>
          <t>VÄRMLANDS LÄN</t>
        </is>
      </c>
      <c r="E212" t="inlineStr">
        <is>
          <t>KARLSTAD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23694-2020</t>
        </is>
      </c>
      <c r="B213" s="1" t="n">
        <v>43970</v>
      </c>
      <c r="C213" s="1" t="n">
        <v>45676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23691-2020</t>
        </is>
      </c>
      <c r="B214" s="1" t="n">
        <v>43970</v>
      </c>
      <c r="C214" s="1" t="n">
        <v>45676</v>
      </c>
      <c r="D214" t="inlineStr">
        <is>
          <t>VÄRMLANDS LÄN</t>
        </is>
      </c>
      <c r="E214" t="inlineStr">
        <is>
          <t>KARLSTAD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24676-2020</t>
        </is>
      </c>
      <c r="B215" s="1" t="n">
        <v>43978</v>
      </c>
      <c r="C215" s="1" t="n">
        <v>45676</v>
      </c>
      <c r="D215" t="inlineStr">
        <is>
          <t>VÄRMLANDS LÄN</t>
        </is>
      </c>
      <c r="E215" t="inlineStr">
        <is>
          <t>KARLSTAD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26113-2020</t>
        </is>
      </c>
      <c r="B216" s="1" t="n">
        <v>43984</v>
      </c>
      <c r="C216" s="1" t="n">
        <v>45676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26786-2020</t>
        </is>
      </c>
      <c r="B217" s="1" t="n">
        <v>43987</v>
      </c>
      <c r="C217" s="1" t="n">
        <v>45676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27248-2020</t>
        </is>
      </c>
      <c r="B218" s="1" t="n">
        <v>43991</v>
      </c>
      <c r="C218" s="1" t="n">
        <v>45676</v>
      </c>
      <c r="D218" t="inlineStr">
        <is>
          <t>VÄRMLANDS LÄN</t>
        </is>
      </c>
      <c r="E218" t="inlineStr">
        <is>
          <t>KARLSTAD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27225-2020</t>
        </is>
      </c>
      <c r="B219" s="1" t="n">
        <v>43992</v>
      </c>
      <c r="C219" s="1" t="n">
        <v>45676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27224-2020</t>
        </is>
      </c>
      <c r="B220" s="1" t="n">
        <v>43992</v>
      </c>
      <c r="C220" s="1" t="n">
        <v>45676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27463-2020</t>
        </is>
      </c>
      <c r="B221" s="1" t="n">
        <v>43993</v>
      </c>
      <c r="C221" s="1" t="n">
        <v>45676</v>
      </c>
      <c r="D221" t="inlineStr">
        <is>
          <t>VÄRMLANDS LÄN</t>
        </is>
      </c>
      <c r="E221" t="inlineStr">
        <is>
          <t>KARLSTAD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27802-2020</t>
        </is>
      </c>
      <c r="B222" s="1" t="n">
        <v>43994</v>
      </c>
      <c r="C222" s="1" t="n">
        <v>45676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27804-2020</t>
        </is>
      </c>
      <c r="B223" s="1" t="n">
        <v>43994</v>
      </c>
      <c r="C223" s="1" t="n">
        <v>45676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29568-2020</t>
        </is>
      </c>
      <c r="B224" s="1" t="n">
        <v>44004</v>
      </c>
      <c r="C224" s="1" t="n">
        <v>45676</v>
      </c>
      <c r="D224" t="inlineStr">
        <is>
          <t>VÄRMLANDS LÄN</t>
        </is>
      </c>
      <c r="E224" t="inlineStr">
        <is>
          <t>KARLSTAD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29681-2020</t>
        </is>
      </c>
      <c r="B225" s="1" t="n">
        <v>44005</v>
      </c>
      <c r="C225" s="1" t="n">
        <v>45676</v>
      </c>
      <c r="D225" t="inlineStr">
        <is>
          <t>VÄRMLANDS LÄN</t>
        </is>
      </c>
      <c r="E225" t="inlineStr">
        <is>
          <t>KARLSTAD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30960-2020</t>
        </is>
      </c>
      <c r="B226" s="1" t="n">
        <v>44011</v>
      </c>
      <c r="C226" s="1" t="n">
        <v>45676</v>
      </c>
      <c r="D226" t="inlineStr">
        <is>
          <t>VÄRMLANDS LÄN</t>
        </is>
      </c>
      <c r="E226" t="inlineStr">
        <is>
          <t>KARLSTAD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31381-2020</t>
        </is>
      </c>
      <c r="B227" s="1" t="n">
        <v>44012</v>
      </c>
      <c r="C227" s="1" t="n">
        <v>45676</v>
      </c>
      <c r="D227" t="inlineStr">
        <is>
          <t>VÄRMLANDS LÄN</t>
        </is>
      </c>
      <c r="E227" t="inlineStr">
        <is>
          <t>KARLSTAD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31379-2020</t>
        </is>
      </c>
      <c r="B228" s="1" t="n">
        <v>44012</v>
      </c>
      <c r="C228" s="1" t="n">
        <v>45676</v>
      </c>
      <c r="D228" t="inlineStr">
        <is>
          <t>VÄRMLANDS LÄN</t>
        </is>
      </c>
      <c r="E228" t="inlineStr">
        <is>
          <t>KARLSTAD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32171-2020</t>
        </is>
      </c>
      <c r="B229" s="1" t="n">
        <v>44015</v>
      </c>
      <c r="C229" s="1" t="n">
        <v>45676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33157-2020</t>
        </is>
      </c>
      <c r="B230" s="1" t="n">
        <v>44021</v>
      </c>
      <c r="C230" s="1" t="n">
        <v>45676</v>
      </c>
      <c r="D230" t="inlineStr">
        <is>
          <t>VÄRMLANDS LÄN</t>
        </is>
      </c>
      <c r="E230" t="inlineStr">
        <is>
          <t>KARLSTAD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33164-2020</t>
        </is>
      </c>
      <c r="B231" s="1" t="n">
        <v>44021</v>
      </c>
      <c r="C231" s="1" t="n">
        <v>45676</v>
      </c>
      <c r="D231" t="inlineStr">
        <is>
          <t>VÄRMLANDS LÄN</t>
        </is>
      </c>
      <c r="E231" t="inlineStr">
        <is>
          <t>KARLSTAD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33173-2020</t>
        </is>
      </c>
      <c r="B232" s="1" t="n">
        <v>44021</v>
      </c>
      <c r="C232" s="1" t="n">
        <v>45676</v>
      </c>
      <c r="D232" t="inlineStr">
        <is>
          <t>VÄRMLANDS LÄN</t>
        </is>
      </c>
      <c r="E232" t="inlineStr">
        <is>
          <t>KARLSTAD</t>
        </is>
      </c>
      <c r="G232" t="n">
        <v>15.4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33160-2020</t>
        </is>
      </c>
      <c r="B233" s="1" t="n">
        <v>44021</v>
      </c>
      <c r="C233" s="1" t="n">
        <v>45676</v>
      </c>
      <c r="D233" t="inlineStr">
        <is>
          <t>VÄRMLANDS LÄN</t>
        </is>
      </c>
      <c r="E233" t="inlineStr">
        <is>
          <t>KARLSTAD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33167-2020</t>
        </is>
      </c>
      <c r="B234" s="1" t="n">
        <v>44021</v>
      </c>
      <c r="C234" s="1" t="n">
        <v>45676</v>
      </c>
      <c r="D234" t="inlineStr">
        <is>
          <t>VÄRMLANDS LÄN</t>
        </is>
      </c>
      <c r="E234" t="inlineStr">
        <is>
          <t>KARLSTAD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33150-2020</t>
        </is>
      </c>
      <c r="B235" s="1" t="n">
        <v>44021</v>
      </c>
      <c r="C235" s="1" t="n">
        <v>45676</v>
      </c>
      <c r="D235" t="inlineStr">
        <is>
          <t>VÄRMLANDS LÄN</t>
        </is>
      </c>
      <c r="E235" t="inlineStr">
        <is>
          <t>KARLSTAD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33161-2020</t>
        </is>
      </c>
      <c r="B236" s="1" t="n">
        <v>44021</v>
      </c>
      <c r="C236" s="1" t="n">
        <v>45676</v>
      </c>
      <c r="D236" t="inlineStr">
        <is>
          <t>VÄRMLANDS LÄN</t>
        </is>
      </c>
      <c r="E236" t="inlineStr">
        <is>
          <t>KARLSTAD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33169-2020</t>
        </is>
      </c>
      <c r="B237" s="1" t="n">
        <v>44021</v>
      </c>
      <c r="C237" s="1" t="n">
        <v>45676</v>
      </c>
      <c r="D237" t="inlineStr">
        <is>
          <t>VÄRMLANDS LÄN</t>
        </is>
      </c>
      <c r="E237" t="inlineStr">
        <is>
          <t>KARLSTAD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33163-2020</t>
        </is>
      </c>
      <c r="B238" s="1" t="n">
        <v>44021</v>
      </c>
      <c r="C238" s="1" t="n">
        <v>45676</v>
      </c>
      <c r="D238" t="inlineStr">
        <is>
          <t>VÄRMLANDS LÄN</t>
        </is>
      </c>
      <c r="E238" t="inlineStr">
        <is>
          <t>KARLSTAD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35999-2020</t>
        </is>
      </c>
      <c r="B239" s="1" t="n">
        <v>44047</v>
      </c>
      <c r="C239" s="1" t="n">
        <v>45676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36038-2020</t>
        </is>
      </c>
      <c r="B240" s="1" t="n">
        <v>44047</v>
      </c>
      <c r="C240" s="1" t="n">
        <v>45676</v>
      </c>
      <c r="D240" t="inlineStr">
        <is>
          <t>VÄRMLANDS LÄN</t>
        </is>
      </c>
      <c r="E240" t="inlineStr">
        <is>
          <t>KARLSTAD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36056-2020</t>
        </is>
      </c>
      <c r="B241" s="1" t="n">
        <v>44048</v>
      </c>
      <c r="C241" s="1" t="n">
        <v>45676</v>
      </c>
      <c r="D241" t="inlineStr">
        <is>
          <t>VÄRMLANDS LÄN</t>
        </is>
      </c>
      <c r="E241" t="inlineStr">
        <is>
          <t>KARLSTAD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36062-2020</t>
        </is>
      </c>
      <c r="B242" s="1" t="n">
        <v>44048</v>
      </c>
      <c r="C242" s="1" t="n">
        <v>45676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36476-2020</t>
        </is>
      </c>
      <c r="B243" s="1" t="n">
        <v>44049</v>
      </c>
      <c r="C243" s="1" t="n">
        <v>45676</v>
      </c>
      <c r="D243" t="inlineStr">
        <is>
          <t>VÄRMLANDS LÄN</t>
        </is>
      </c>
      <c r="E243" t="inlineStr">
        <is>
          <t>KARLSTAD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36619-2020</t>
        </is>
      </c>
      <c r="B244" s="1" t="n">
        <v>44050</v>
      </c>
      <c r="C244" s="1" t="n">
        <v>45676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38055-2020</t>
        </is>
      </c>
      <c r="B245" s="1" t="n">
        <v>44057</v>
      </c>
      <c r="C245" s="1" t="n">
        <v>45676</v>
      </c>
      <c r="D245" t="inlineStr">
        <is>
          <t>VÄRMLANDS LÄN</t>
        </is>
      </c>
      <c r="E245" t="inlineStr">
        <is>
          <t>KARLSTAD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38618-2020</t>
        </is>
      </c>
      <c r="B246" s="1" t="n">
        <v>44061</v>
      </c>
      <c r="C246" s="1" t="n">
        <v>45676</v>
      </c>
      <c r="D246" t="inlineStr">
        <is>
          <t>VÄRMLANDS LÄN</t>
        </is>
      </c>
      <c r="E246" t="inlineStr">
        <is>
          <t>KARLSTAD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41972-2020</t>
        </is>
      </c>
      <c r="B247" s="1" t="n">
        <v>44062</v>
      </c>
      <c r="C247" s="1" t="n">
        <v>45676</v>
      </c>
      <c r="D247" t="inlineStr">
        <is>
          <t>VÄRMLANDS LÄN</t>
        </is>
      </c>
      <c r="E247" t="inlineStr">
        <is>
          <t>KARLSTAD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39731-2020</t>
        </is>
      </c>
      <c r="B248" s="1" t="n">
        <v>44067</v>
      </c>
      <c r="C248" s="1" t="n">
        <v>45676</v>
      </c>
      <c r="D248" t="inlineStr">
        <is>
          <t>VÄRMLANDS LÄN</t>
        </is>
      </c>
      <c r="E248" t="inlineStr">
        <is>
          <t>KARLSTAD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39803-2020</t>
        </is>
      </c>
      <c r="B249" s="1" t="n">
        <v>44067</v>
      </c>
      <c r="C249" s="1" t="n">
        <v>45676</v>
      </c>
      <c r="D249" t="inlineStr">
        <is>
          <t>VÄRMLANDS LÄN</t>
        </is>
      </c>
      <c r="E249" t="inlineStr">
        <is>
          <t>KARLSTAD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39738-2020</t>
        </is>
      </c>
      <c r="B250" s="1" t="n">
        <v>44067</v>
      </c>
      <c r="C250" s="1" t="n">
        <v>45676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39806-2020</t>
        </is>
      </c>
      <c r="B251" s="1" t="n">
        <v>44067</v>
      </c>
      <c r="C251" s="1" t="n">
        <v>45676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41653-2020</t>
        </is>
      </c>
      <c r="B252" s="1" t="n">
        <v>44074</v>
      </c>
      <c r="C252" s="1" t="n">
        <v>45676</v>
      </c>
      <c r="D252" t="inlineStr">
        <is>
          <t>VÄRMLANDS LÄN</t>
        </is>
      </c>
      <c r="E252" t="inlineStr">
        <is>
          <t>KARLSTAD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42103-2020</t>
        </is>
      </c>
      <c r="B253" s="1" t="n">
        <v>44074</v>
      </c>
      <c r="C253" s="1" t="n">
        <v>45676</v>
      </c>
      <c r="D253" t="inlineStr">
        <is>
          <t>VÄRMLANDS LÄN</t>
        </is>
      </c>
      <c r="E253" t="inlineStr">
        <is>
          <t>KARLSTAD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42175-2020</t>
        </is>
      </c>
      <c r="B254" s="1" t="n">
        <v>44075</v>
      </c>
      <c r="C254" s="1" t="n">
        <v>45676</v>
      </c>
      <c r="D254" t="inlineStr">
        <is>
          <t>VÄRMLANDS LÄN</t>
        </is>
      </c>
      <c r="E254" t="inlineStr">
        <is>
          <t>KARLSTAD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42531-2020</t>
        </is>
      </c>
      <c r="B255" s="1" t="n">
        <v>44077</v>
      </c>
      <c r="C255" s="1" t="n">
        <v>45676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42877-2020</t>
        </is>
      </c>
      <c r="B256" s="1" t="n">
        <v>44078</v>
      </c>
      <c r="C256" s="1" t="n">
        <v>45676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43679-2020</t>
        </is>
      </c>
      <c r="B257" s="1" t="n">
        <v>44078</v>
      </c>
      <c r="C257" s="1" t="n">
        <v>45676</v>
      </c>
      <c r="D257" t="inlineStr">
        <is>
          <t>VÄRMLANDS LÄN</t>
        </is>
      </c>
      <c r="E257" t="inlineStr">
        <is>
          <t>KARLSTAD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43049-2020</t>
        </is>
      </c>
      <c r="B258" s="1" t="n">
        <v>44078</v>
      </c>
      <c r="C258" s="1" t="n">
        <v>45676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43669-2020</t>
        </is>
      </c>
      <c r="B259" s="1" t="n">
        <v>44078</v>
      </c>
      <c r="C259" s="1" t="n">
        <v>45676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43179-2020</t>
        </is>
      </c>
      <c r="B260" s="1" t="n">
        <v>44081</v>
      </c>
      <c r="C260" s="1" t="n">
        <v>45676</v>
      </c>
      <c r="D260" t="inlineStr">
        <is>
          <t>VÄRMLANDS LÄN</t>
        </is>
      </c>
      <c r="E260" t="inlineStr">
        <is>
          <t>KARLSTAD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44304-2020</t>
        </is>
      </c>
      <c r="B261" s="1" t="n">
        <v>44082</v>
      </c>
      <c r="C261" s="1" t="n">
        <v>45676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44309-2020</t>
        </is>
      </c>
      <c r="B262" s="1" t="n">
        <v>44082</v>
      </c>
      <c r="C262" s="1" t="n">
        <v>45676</v>
      </c>
      <c r="D262" t="inlineStr">
        <is>
          <t>VÄRMLANDS LÄN</t>
        </is>
      </c>
      <c r="E262" t="inlineStr">
        <is>
          <t>KARLSTAD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45123-2020</t>
        </is>
      </c>
      <c r="B263" s="1" t="n">
        <v>44083</v>
      </c>
      <c r="C263" s="1" t="n">
        <v>45676</v>
      </c>
      <c r="D263" t="inlineStr">
        <is>
          <t>VÄRMLANDS LÄN</t>
        </is>
      </c>
      <c r="E263" t="inlineStr">
        <is>
          <t>KARLSTAD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45182-2020</t>
        </is>
      </c>
      <c r="B264" s="1" t="n">
        <v>44084</v>
      </c>
      <c r="C264" s="1" t="n">
        <v>45676</v>
      </c>
      <c r="D264" t="inlineStr">
        <is>
          <t>VÄRMLANDS LÄN</t>
        </is>
      </c>
      <c r="E264" t="inlineStr">
        <is>
          <t>KARLSTAD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45186-2020</t>
        </is>
      </c>
      <c r="B265" s="1" t="n">
        <v>44084</v>
      </c>
      <c r="C265" s="1" t="n">
        <v>45676</v>
      </c>
      <c r="D265" t="inlineStr">
        <is>
          <t>VÄRMLANDS LÄN</t>
        </is>
      </c>
      <c r="E265" t="inlineStr">
        <is>
          <t>KARLSTAD</t>
        </is>
      </c>
      <c r="G265" t="n">
        <v>11.5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45174-2020</t>
        </is>
      </c>
      <c r="B266" s="1" t="n">
        <v>44084</v>
      </c>
      <c r="C266" s="1" t="n">
        <v>45676</v>
      </c>
      <c r="D266" t="inlineStr">
        <is>
          <t>VÄRMLANDS LÄN</t>
        </is>
      </c>
      <c r="E266" t="inlineStr">
        <is>
          <t>KARLSTAD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45328-2020</t>
        </is>
      </c>
      <c r="B267" s="1" t="n">
        <v>44085</v>
      </c>
      <c r="C267" s="1" t="n">
        <v>45676</v>
      </c>
      <c r="D267" t="inlineStr">
        <is>
          <t>VÄRMLANDS LÄN</t>
        </is>
      </c>
      <c r="E267" t="inlineStr">
        <is>
          <t>KARLSTAD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45463-2020</t>
        </is>
      </c>
      <c r="B268" s="1" t="n">
        <v>44085</v>
      </c>
      <c r="C268" s="1" t="n">
        <v>45676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46836-2020</t>
        </is>
      </c>
      <c r="B269" s="1" t="n">
        <v>44090</v>
      </c>
      <c r="C269" s="1" t="n">
        <v>45676</v>
      </c>
      <c r="D269" t="inlineStr">
        <is>
          <t>VÄRMLANDS LÄN</t>
        </is>
      </c>
      <c r="E269" t="inlineStr">
        <is>
          <t>KARLSTAD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46666-2020</t>
        </is>
      </c>
      <c r="B270" s="1" t="n">
        <v>44095</v>
      </c>
      <c r="C270" s="1" t="n">
        <v>45676</v>
      </c>
      <c r="D270" t="inlineStr">
        <is>
          <t>VÄRMLANDS LÄN</t>
        </is>
      </c>
      <c r="E270" t="inlineStr">
        <is>
          <t>KARLSTAD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48553-2020</t>
        </is>
      </c>
      <c r="B271" s="1" t="n">
        <v>44098</v>
      </c>
      <c r="C271" s="1" t="n">
        <v>45676</v>
      </c>
      <c r="D271" t="inlineStr">
        <is>
          <t>VÄRMLANDS LÄN</t>
        </is>
      </c>
      <c r="E271" t="inlineStr">
        <is>
          <t>KARLSTAD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48568-2020</t>
        </is>
      </c>
      <c r="B272" s="1" t="n">
        <v>44098</v>
      </c>
      <c r="C272" s="1" t="n">
        <v>45676</v>
      </c>
      <c r="D272" t="inlineStr">
        <is>
          <t>VÄRMLANDS LÄN</t>
        </is>
      </c>
      <c r="E272" t="inlineStr">
        <is>
          <t>KARLSTAD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48566-2020</t>
        </is>
      </c>
      <c r="B273" s="1" t="n">
        <v>44098</v>
      </c>
      <c r="C273" s="1" t="n">
        <v>45676</v>
      </c>
      <c r="D273" t="inlineStr">
        <is>
          <t>VÄRMLANDS LÄN</t>
        </is>
      </c>
      <c r="E273" t="inlineStr">
        <is>
          <t>KARLSTAD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48561-2020</t>
        </is>
      </c>
      <c r="B274" s="1" t="n">
        <v>44098</v>
      </c>
      <c r="C274" s="1" t="n">
        <v>45676</v>
      </c>
      <c r="D274" t="inlineStr">
        <is>
          <t>VÄRMLANDS LÄN</t>
        </is>
      </c>
      <c r="E274" t="inlineStr">
        <is>
          <t>KARLSTAD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48560-2020</t>
        </is>
      </c>
      <c r="B275" s="1" t="n">
        <v>44098</v>
      </c>
      <c r="C275" s="1" t="n">
        <v>45676</v>
      </c>
      <c r="D275" t="inlineStr">
        <is>
          <t>VÄRMLANDS LÄN</t>
        </is>
      </c>
      <c r="E275" t="inlineStr">
        <is>
          <t>KARLSTAD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48243-2020</t>
        </is>
      </c>
      <c r="B276" s="1" t="n">
        <v>44102</v>
      </c>
      <c r="C276" s="1" t="n">
        <v>45676</v>
      </c>
      <c r="D276" t="inlineStr">
        <is>
          <t>VÄRMLANDS LÄN</t>
        </is>
      </c>
      <c r="E276" t="inlineStr">
        <is>
          <t>KARLSTAD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51956-2020</t>
        </is>
      </c>
      <c r="B277" s="1" t="n">
        <v>44110</v>
      </c>
      <c r="C277" s="1" t="n">
        <v>45676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51948-2020</t>
        </is>
      </c>
      <c r="B278" s="1" t="n">
        <v>44110</v>
      </c>
      <c r="C278" s="1" t="n">
        <v>45676</v>
      </c>
      <c r="D278" t="inlineStr">
        <is>
          <t>VÄRMLANDS LÄN</t>
        </is>
      </c>
      <c r="E278" t="inlineStr">
        <is>
          <t>KARLSTAD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50833-2020</t>
        </is>
      </c>
      <c r="B279" s="1" t="n">
        <v>44111</v>
      </c>
      <c r="C279" s="1" t="n">
        <v>45676</v>
      </c>
      <c r="D279" t="inlineStr">
        <is>
          <t>VÄRMLANDS LÄN</t>
        </is>
      </c>
      <c r="E279" t="inlineStr">
        <is>
          <t>KARLSTAD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51390-2020</t>
        </is>
      </c>
      <c r="B280" s="1" t="n">
        <v>44113</v>
      </c>
      <c r="C280" s="1" t="n">
        <v>45676</v>
      </c>
      <c r="D280" t="inlineStr">
        <is>
          <t>VÄRMLANDS LÄN</t>
        </is>
      </c>
      <c r="E280" t="inlineStr">
        <is>
          <t>KARLSTAD</t>
        </is>
      </c>
      <c r="F280" t="inlineStr">
        <is>
          <t>Övriga statliga verk och myndigheter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51510-2020</t>
        </is>
      </c>
      <c r="B281" s="1" t="n">
        <v>44113</v>
      </c>
      <c r="C281" s="1" t="n">
        <v>45676</v>
      </c>
      <c r="D281" t="inlineStr">
        <is>
          <t>VÄRMLANDS LÄN</t>
        </is>
      </c>
      <c r="E281" t="inlineStr">
        <is>
          <t>KARLSTAD</t>
        </is>
      </c>
      <c r="F281" t="inlineStr">
        <is>
          <t>Kommuner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52621-2020</t>
        </is>
      </c>
      <c r="B282" s="1" t="n">
        <v>44118</v>
      </c>
      <c r="C282" s="1" t="n">
        <v>45676</v>
      </c>
      <c r="D282" t="inlineStr">
        <is>
          <t>VÄRMLANDS LÄN</t>
        </is>
      </c>
      <c r="E282" t="inlineStr">
        <is>
          <t>KARLSTAD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55457-2020</t>
        </is>
      </c>
      <c r="B283" s="1" t="n">
        <v>44130</v>
      </c>
      <c r="C283" s="1" t="n">
        <v>45676</v>
      </c>
      <c r="D283" t="inlineStr">
        <is>
          <t>VÄRMLANDS LÄN</t>
        </is>
      </c>
      <c r="E283" t="inlineStr">
        <is>
          <t>KARLSTAD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55433-2020</t>
        </is>
      </c>
      <c r="B284" s="1" t="n">
        <v>44130</v>
      </c>
      <c r="C284" s="1" t="n">
        <v>45676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55790-2020</t>
        </is>
      </c>
      <c r="B285" s="1" t="n">
        <v>44131</v>
      </c>
      <c r="C285" s="1" t="n">
        <v>45676</v>
      </c>
      <c r="D285" t="inlineStr">
        <is>
          <t>VÄRMLANDS LÄN</t>
        </is>
      </c>
      <c r="E285" t="inlineStr">
        <is>
          <t>KARLSTAD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55737-2020</t>
        </is>
      </c>
      <c r="B286" s="1" t="n">
        <v>44132</v>
      </c>
      <c r="C286" s="1" t="n">
        <v>45676</v>
      </c>
      <c r="D286" t="inlineStr">
        <is>
          <t>VÄRMLANDS LÄN</t>
        </is>
      </c>
      <c r="E286" t="inlineStr">
        <is>
          <t>KARLSTAD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57003-2020</t>
        </is>
      </c>
      <c r="B287" s="1" t="n">
        <v>44138</v>
      </c>
      <c r="C287" s="1" t="n">
        <v>45676</v>
      </c>
      <c r="D287" t="inlineStr">
        <is>
          <t>VÄRMLANDS LÄN</t>
        </is>
      </c>
      <c r="E287" t="inlineStr">
        <is>
          <t>KARLSTAD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58713-2020</t>
        </is>
      </c>
      <c r="B288" s="1" t="n">
        <v>44146</v>
      </c>
      <c r="C288" s="1" t="n">
        <v>45676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59703-2020</t>
        </is>
      </c>
      <c r="B289" s="1" t="n">
        <v>44151</v>
      </c>
      <c r="C289" s="1" t="n">
        <v>45676</v>
      </c>
      <c r="D289" t="inlineStr">
        <is>
          <t>VÄRMLANDS LÄN</t>
        </is>
      </c>
      <c r="E289" t="inlineStr">
        <is>
          <t>KARLSTAD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60082-2020</t>
        </is>
      </c>
      <c r="B290" s="1" t="n">
        <v>44152</v>
      </c>
      <c r="C290" s="1" t="n">
        <v>45676</v>
      </c>
      <c r="D290" t="inlineStr">
        <is>
          <t>VÄRMLANDS LÄN</t>
        </is>
      </c>
      <c r="E290" t="inlineStr">
        <is>
          <t>KARLSTAD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60587-2020</t>
        </is>
      </c>
      <c r="B291" s="1" t="n">
        <v>44153</v>
      </c>
      <c r="C291" s="1" t="n">
        <v>45676</v>
      </c>
      <c r="D291" t="inlineStr">
        <is>
          <t>VÄRMLANDS LÄN</t>
        </is>
      </c>
      <c r="E291" t="inlineStr">
        <is>
          <t>KARLSTAD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61687-2020</t>
        </is>
      </c>
      <c r="B292" s="1" t="n">
        <v>44158</v>
      </c>
      <c r="C292" s="1" t="n">
        <v>45676</v>
      </c>
      <c r="D292" t="inlineStr">
        <is>
          <t>VÄRMLANDS LÄN</t>
        </is>
      </c>
      <c r="E292" t="inlineStr">
        <is>
          <t>KARLSTAD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62130-2020</t>
        </is>
      </c>
      <c r="B293" s="1" t="n">
        <v>44158</v>
      </c>
      <c r="C293" s="1" t="n">
        <v>45676</v>
      </c>
      <c r="D293" t="inlineStr">
        <is>
          <t>VÄRMLANDS LÄN</t>
        </is>
      </c>
      <c r="E293" t="inlineStr">
        <is>
          <t>KARLSTAD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62074-2020</t>
        </is>
      </c>
      <c r="B294" s="1" t="n">
        <v>44159</v>
      </c>
      <c r="C294" s="1" t="n">
        <v>45676</v>
      </c>
      <c r="D294" t="inlineStr">
        <is>
          <t>VÄRMLANDS LÄN</t>
        </is>
      </c>
      <c r="E294" t="inlineStr">
        <is>
          <t>KARLSTAD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62245-2020</t>
        </is>
      </c>
      <c r="B295" s="1" t="n">
        <v>44160</v>
      </c>
      <c r="C295" s="1" t="n">
        <v>45676</v>
      </c>
      <c r="D295" t="inlineStr">
        <is>
          <t>VÄRMLANDS LÄN</t>
        </is>
      </c>
      <c r="E295" t="inlineStr">
        <is>
          <t>KARLSTAD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63486-2020</t>
        </is>
      </c>
      <c r="B296" s="1" t="n">
        <v>44165</v>
      </c>
      <c r="C296" s="1" t="n">
        <v>45676</v>
      </c>
      <c r="D296" t="inlineStr">
        <is>
          <t>VÄRMLANDS LÄN</t>
        </is>
      </c>
      <c r="E296" t="inlineStr">
        <is>
          <t>KARLSTAD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65920-2020</t>
        </is>
      </c>
      <c r="B297" s="1" t="n">
        <v>44175</v>
      </c>
      <c r="C297" s="1" t="n">
        <v>45676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67022-2020</t>
        </is>
      </c>
      <c r="B298" s="1" t="n">
        <v>44180</v>
      </c>
      <c r="C298" s="1" t="n">
        <v>45676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68355-2020</t>
        </is>
      </c>
      <c r="B299" s="1" t="n">
        <v>44182</v>
      </c>
      <c r="C299" s="1" t="n">
        <v>45676</v>
      </c>
      <c r="D299" t="inlineStr">
        <is>
          <t>VÄRMLANDS LÄN</t>
        </is>
      </c>
      <c r="E299" t="inlineStr">
        <is>
          <t>KARLSTAD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68842-2020</t>
        </is>
      </c>
      <c r="B300" s="1" t="n">
        <v>44187</v>
      </c>
      <c r="C300" s="1" t="n">
        <v>45676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68988-2020</t>
        </is>
      </c>
      <c r="B301" s="1" t="n">
        <v>44188</v>
      </c>
      <c r="C301" s="1" t="n">
        <v>45676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637-2021</t>
        </is>
      </c>
      <c r="B302" s="1" t="n">
        <v>44203</v>
      </c>
      <c r="C302" s="1" t="n">
        <v>45676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1486-2021</t>
        </is>
      </c>
      <c r="B303" s="1" t="n">
        <v>44208</v>
      </c>
      <c r="C303" s="1" t="n">
        <v>45676</v>
      </c>
      <c r="D303" t="inlineStr">
        <is>
          <t>VÄRMLANDS LÄN</t>
        </is>
      </c>
      <c r="E303" t="inlineStr">
        <is>
          <t>KARLSTAD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4176-2021</t>
        </is>
      </c>
      <c r="B304" s="1" t="n">
        <v>44218</v>
      </c>
      <c r="C304" s="1" t="n">
        <v>45676</v>
      </c>
      <c r="D304" t="inlineStr">
        <is>
          <t>VÄRMLANDS LÄN</t>
        </is>
      </c>
      <c r="E304" t="inlineStr">
        <is>
          <t>KARLSTAD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3883-2021</t>
        </is>
      </c>
      <c r="B305" s="1" t="n">
        <v>44222</v>
      </c>
      <c r="C305" s="1" t="n">
        <v>45676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3942-2021</t>
        </is>
      </c>
      <c r="B306" s="1" t="n">
        <v>44222</v>
      </c>
      <c r="C306" s="1" t="n">
        <v>45676</v>
      </c>
      <c r="D306" t="inlineStr">
        <is>
          <t>VÄRMLANDS LÄN</t>
        </is>
      </c>
      <c r="E306" t="inlineStr">
        <is>
          <t>KARLSTAD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4450-2021</t>
        </is>
      </c>
      <c r="B307" s="1" t="n">
        <v>44222</v>
      </c>
      <c r="C307" s="1" t="n">
        <v>45676</v>
      </c>
      <c r="D307" t="inlineStr">
        <is>
          <t>VÄRMLANDS LÄN</t>
        </is>
      </c>
      <c r="E307" t="inlineStr">
        <is>
          <t>KARLSTAD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4681-2021</t>
        </is>
      </c>
      <c r="B308" s="1" t="n">
        <v>44225</v>
      </c>
      <c r="C308" s="1" t="n">
        <v>45676</v>
      </c>
      <c r="D308" t="inlineStr">
        <is>
          <t>VÄRMLANDS LÄN</t>
        </is>
      </c>
      <c r="E308" t="inlineStr">
        <is>
          <t>KARLSTAD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5682-2021</t>
        </is>
      </c>
      <c r="B309" s="1" t="n">
        <v>44225</v>
      </c>
      <c r="C309" s="1" t="n">
        <v>45676</v>
      </c>
      <c r="D309" t="inlineStr">
        <is>
          <t>VÄRMLANDS LÄN</t>
        </is>
      </c>
      <c r="E309" t="inlineStr">
        <is>
          <t>KARLSTAD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5197-2021</t>
        </is>
      </c>
      <c r="B310" s="1" t="n">
        <v>44228</v>
      </c>
      <c r="C310" s="1" t="n">
        <v>45676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5710-2021</t>
        </is>
      </c>
      <c r="B311" s="1" t="n">
        <v>44230</v>
      </c>
      <c r="C311" s="1" t="n">
        <v>45676</v>
      </c>
      <c r="D311" t="inlineStr">
        <is>
          <t>VÄRMLANDS LÄN</t>
        </is>
      </c>
      <c r="E311" t="inlineStr">
        <is>
          <t>KARLSTAD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7253-2021</t>
        </is>
      </c>
      <c r="B312" s="1" t="n">
        <v>44238</v>
      </c>
      <c r="C312" s="1" t="n">
        <v>45676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8228-2021</t>
        </is>
      </c>
      <c r="B313" s="1" t="n">
        <v>44243</v>
      </c>
      <c r="C313" s="1" t="n">
        <v>45676</v>
      </c>
      <c r="D313" t="inlineStr">
        <is>
          <t>VÄRMLANDS LÄN</t>
        </is>
      </c>
      <c r="E313" t="inlineStr">
        <is>
          <t>KARLSTAD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8230-2021</t>
        </is>
      </c>
      <c r="B314" s="1" t="n">
        <v>44243</v>
      </c>
      <c r="C314" s="1" t="n">
        <v>45676</v>
      </c>
      <c r="D314" t="inlineStr">
        <is>
          <t>VÄRMLANDS LÄN</t>
        </is>
      </c>
      <c r="E314" t="inlineStr">
        <is>
          <t>KARLSTAD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8435-2021</t>
        </is>
      </c>
      <c r="B315" s="1" t="n">
        <v>44245</v>
      </c>
      <c r="C315" s="1" t="n">
        <v>45676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9825-2021</t>
        </is>
      </c>
      <c r="B316" s="1" t="n">
        <v>44252</v>
      </c>
      <c r="C316" s="1" t="n">
        <v>45676</v>
      </c>
      <c r="D316" t="inlineStr">
        <is>
          <t>VÄRMLANDS LÄN</t>
        </is>
      </c>
      <c r="E316" t="inlineStr">
        <is>
          <t>KARLSTAD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10157-2021</t>
        </is>
      </c>
      <c r="B317" s="1" t="n">
        <v>44256</v>
      </c>
      <c r="C317" s="1" t="n">
        <v>45676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10717-2021</t>
        </is>
      </c>
      <c r="B318" s="1" t="n">
        <v>44258</v>
      </c>
      <c r="C318" s="1" t="n">
        <v>45676</v>
      </c>
      <c r="D318" t="inlineStr">
        <is>
          <t>VÄRMLANDS LÄN</t>
        </is>
      </c>
      <c r="E318" t="inlineStr">
        <is>
          <t>KARLSTAD</t>
        </is>
      </c>
      <c r="G318" t="n">
        <v>25.2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11577-2021</t>
        </is>
      </c>
      <c r="B319" s="1" t="n">
        <v>44264</v>
      </c>
      <c r="C319" s="1" t="n">
        <v>45676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14475-2021</t>
        </is>
      </c>
      <c r="B320" s="1" t="n">
        <v>44279</v>
      </c>
      <c r="C320" s="1" t="n">
        <v>45676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25.3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14469-2021</t>
        </is>
      </c>
      <c r="B321" s="1" t="n">
        <v>44279</v>
      </c>
      <c r="C321" s="1" t="n">
        <v>45676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15149-2021</t>
        </is>
      </c>
      <c r="B322" s="1" t="n">
        <v>44284</v>
      </c>
      <c r="C322" s="1" t="n">
        <v>45676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15810-2021</t>
        </is>
      </c>
      <c r="B323" s="1" t="n">
        <v>44286</v>
      </c>
      <c r="C323" s="1" t="n">
        <v>45676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16206-2021</t>
        </is>
      </c>
      <c r="B324" s="1" t="n">
        <v>44292</v>
      </c>
      <c r="C324" s="1" t="n">
        <v>45676</v>
      </c>
      <c r="D324" t="inlineStr">
        <is>
          <t>VÄRMLANDS LÄN</t>
        </is>
      </c>
      <c r="E324" t="inlineStr">
        <is>
          <t>KARLSTAD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16820-2021</t>
        </is>
      </c>
      <c r="B325" s="1" t="n">
        <v>44295</v>
      </c>
      <c r="C325" s="1" t="n">
        <v>45676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16861-2021</t>
        </is>
      </c>
      <c r="B326" s="1" t="n">
        <v>44295</v>
      </c>
      <c r="C326" s="1" t="n">
        <v>45676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17208-2021</t>
        </is>
      </c>
      <c r="B327" s="1" t="n">
        <v>44298</v>
      </c>
      <c r="C327" s="1" t="n">
        <v>45676</v>
      </c>
      <c r="D327" t="inlineStr">
        <is>
          <t>VÄRMLANDS LÄN</t>
        </is>
      </c>
      <c r="E327" t="inlineStr">
        <is>
          <t>KARLSTAD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18755-2021</t>
        </is>
      </c>
      <c r="B328" s="1" t="n">
        <v>44307</v>
      </c>
      <c r="C328" s="1" t="n">
        <v>45676</v>
      </c>
      <c r="D328" t="inlineStr">
        <is>
          <t>VÄRMLANDS LÄN</t>
        </is>
      </c>
      <c r="E328" t="inlineStr">
        <is>
          <t>KARLSTAD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21656-2021</t>
        </is>
      </c>
      <c r="B329" s="1" t="n">
        <v>44322</v>
      </c>
      <c r="C329" s="1" t="n">
        <v>45676</v>
      </c>
      <c r="D329" t="inlineStr">
        <is>
          <t>VÄRMLANDS LÄN</t>
        </is>
      </c>
      <c r="E329" t="inlineStr">
        <is>
          <t>KARLSTAD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21818-2021</t>
        </is>
      </c>
      <c r="B330" s="1" t="n">
        <v>44322</v>
      </c>
      <c r="C330" s="1" t="n">
        <v>45676</v>
      </c>
      <c r="D330" t="inlineStr">
        <is>
          <t>VÄRMLANDS LÄN</t>
        </is>
      </c>
      <c r="E330" t="inlineStr">
        <is>
          <t>KARLSTAD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21826-2021</t>
        </is>
      </c>
      <c r="B331" s="1" t="n">
        <v>44322</v>
      </c>
      <c r="C331" s="1" t="n">
        <v>45676</v>
      </c>
      <c r="D331" t="inlineStr">
        <is>
          <t>VÄRMLANDS LÄN</t>
        </is>
      </c>
      <c r="E331" t="inlineStr">
        <is>
          <t>KARLSTAD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21840-2021</t>
        </is>
      </c>
      <c r="B332" s="1" t="n">
        <v>44322</v>
      </c>
      <c r="C332" s="1" t="n">
        <v>45676</v>
      </c>
      <c r="D332" t="inlineStr">
        <is>
          <t>VÄRMLANDS LÄN</t>
        </is>
      </c>
      <c r="E332" t="inlineStr">
        <is>
          <t>KARLSTAD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21862-2021</t>
        </is>
      </c>
      <c r="B333" s="1" t="n">
        <v>44322</v>
      </c>
      <c r="C333" s="1" t="n">
        <v>45676</v>
      </c>
      <c r="D333" t="inlineStr">
        <is>
          <t>VÄRMLANDS LÄN</t>
        </is>
      </c>
      <c r="E333" t="inlineStr">
        <is>
          <t>KARLSTAD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22091-2021</t>
        </is>
      </c>
      <c r="B334" s="1" t="n">
        <v>44323</v>
      </c>
      <c r="C334" s="1" t="n">
        <v>45676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22149-2021</t>
        </is>
      </c>
      <c r="B335" s="1" t="n">
        <v>44324</v>
      </c>
      <c r="C335" s="1" t="n">
        <v>45676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22350-2021</t>
        </is>
      </c>
      <c r="B336" s="1" t="n">
        <v>44326</v>
      </c>
      <c r="C336" s="1" t="n">
        <v>45676</v>
      </c>
      <c r="D336" t="inlineStr">
        <is>
          <t>VÄRMLANDS LÄN</t>
        </is>
      </c>
      <c r="E336" t="inlineStr">
        <is>
          <t>KARLSTAD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22657-2021</t>
        </is>
      </c>
      <c r="B337" s="1" t="n">
        <v>44327</v>
      </c>
      <c r="C337" s="1" t="n">
        <v>45676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23254-2021</t>
        </is>
      </c>
      <c r="B338" s="1" t="n">
        <v>44333</v>
      </c>
      <c r="C338" s="1" t="n">
        <v>45676</v>
      </c>
      <c r="D338" t="inlineStr">
        <is>
          <t>VÄRMLANDS LÄN</t>
        </is>
      </c>
      <c r="E338" t="inlineStr">
        <is>
          <t>KARLSTAD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23314-2021</t>
        </is>
      </c>
      <c r="B339" s="1" t="n">
        <v>44333</v>
      </c>
      <c r="C339" s="1" t="n">
        <v>45676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23248-2021</t>
        </is>
      </c>
      <c r="B340" s="1" t="n">
        <v>44333</v>
      </c>
      <c r="C340" s="1" t="n">
        <v>45676</v>
      </c>
      <c r="D340" t="inlineStr">
        <is>
          <t>VÄRMLANDS LÄN</t>
        </is>
      </c>
      <c r="E340" t="inlineStr">
        <is>
          <t>KARLSTAD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23786-2021</t>
        </is>
      </c>
      <c r="B341" s="1" t="n">
        <v>44335</v>
      </c>
      <c r="C341" s="1" t="n">
        <v>45676</v>
      </c>
      <c r="D341" t="inlineStr">
        <is>
          <t>VÄRMLANDS LÄN</t>
        </is>
      </c>
      <c r="E341" t="inlineStr">
        <is>
          <t>KARLSTAD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25248-2021</t>
        </is>
      </c>
      <c r="B342" s="1" t="n">
        <v>44342</v>
      </c>
      <c r="C342" s="1" t="n">
        <v>45676</v>
      </c>
      <c r="D342" t="inlineStr">
        <is>
          <t>VÄRMLANDS LÄN</t>
        </is>
      </c>
      <c r="E342" t="inlineStr">
        <is>
          <t>KARLSTAD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27670-2021</t>
        </is>
      </c>
      <c r="B343" s="1" t="n">
        <v>44354</v>
      </c>
      <c r="C343" s="1" t="n">
        <v>45676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27688-2021</t>
        </is>
      </c>
      <c r="B344" s="1" t="n">
        <v>44354</v>
      </c>
      <c r="C344" s="1" t="n">
        <v>45676</v>
      </c>
      <c r="D344" t="inlineStr">
        <is>
          <t>VÄRMLANDS LÄN</t>
        </is>
      </c>
      <c r="E344" t="inlineStr">
        <is>
          <t>KARLSTAD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28402-2021</t>
        </is>
      </c>
      <c r="B345" s="1" t="n">
        <v>44356</v>
      </c>
      <c r="C345" s="1" t="n">
        <v>45676</v>
      </c>
      <c r="D345" t="inlineStr">
        <is>
          <t>VÄRMLANDS LÄN</t>
        </is>
      </c>
      <c r="E345" t="inlineStr">
        <is>
          <t>KARLSTAD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28983-2021</t>
        </is>
      </c>
      <c r="B346" s="1" t="n">
        <v>44358</v>
      </c>
      <c r="C346" s="1" t="n">
        <v>45676</v>
      </c>
      <c r="D346" t="inlineStr">
        <is>
          <t>VÄRMLANDS LÄN</t>
        </is>
      </c>
      <c r="E346" t="inlineStr">
        <is>
          <t>KARLSTAD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28991-2021</t>
        </is>
      </c>
      <c r="B347" s="1" t="n">
        <v>44358</v>
      </c>
      <c r="C347" s="1" t="n">
        <v>45676</v>
      </c>
      <c r="D347" t="inlineStr">
        <is>
          <t>VÄRMLANDS LÄN</t>
        </is>
      </c>
      <c r="E347" t="inlineStr">
        <is>
          <t>KARLSTAD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28987-2021</t>
        </is>
      </c>
      <c r="B348" s="1" t="n">
        <v>44358</v>
      </c>
      <c r="C348" s="1" t="n">
        <v>45676</v>
      </c>
      <c r="D348" t="inlineStr">
        <is>
          <t>VÄRMLANDS LÄN</t>
        </is>
      </c>
      <c r="E348" t="inlineStr">
        <is>
          <t>KARLSTAD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29253-2021</t>
        </is>
      </c>
      <c r="B349" s="1" t="n">
        <v>44358</v>
      </c>
      <c r="C349" s="1" t="n">
        <v>45676</v>
      </c>
      <c r="D349" t="inlineStr">
        <is>
          <t>VÄRMLANDS LÄN</t>
        </is>
      </c>
      <c r="E349" t="inlineStr">
        <is>
          <t>KARLSTAD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29280-2021</t>
        </is>
      </c>
      <c r="B350" s="1" t="n">
        <v>44361</v>
      </c>
      <c r="C350" s="1" t="n">
        <v>45676</v>
      </c>
      <c r="D350" t="inlineStr">
        <is>
          <t>VÄRMLANDS LÄN</t>
        </is>
      </c>
      <c r="E350" t="inlineStr">
        <is>
          <t>KARLSTAD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30111-2021</t>
        </is>
      </c>
      <c r="B351" s="1" t="n">
        <v>44363</v>
      </c>
      <c r="C351" s="1" t="n">
        <v>45676</v>
      </c>
      <c r="D351" t="inlineStr">
        <is>
          <t>VÄRMLANDS LÄN</t>
        </is>
      </c>
      <c r="E351" t="inlineStr">
        <is>
          <t>KARLSTAD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32350-2021</t>
        </is>
      </c>
      <c r="B352" s="1" t="n">
        <v>44371</v>
      </c>
      <c r="C352" s="1" t="n">
        <v>45676</v>
      </c>
      <c r="D352" t="inlineStr">
        <is>
          <t>VÄRMLANDS LÄN</t>
        </is>
      </c>
      <c r="E352" t="inlineStr">
        <is>
          <t>KARLSTAD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32943-2021</t>
        </is>
      </c>
      <c r="B353" s="1" t="n">
        <v>44376</v>
      </c>
      <c r="C353" s="1" t="n">
        <v>45676</v>
      </c>
      <c r="D353" t="inlineStr">
        <is>
          <t>VÄRMLANDS LÄN</t>
        </is>
      </c>
      <c r="E353" t="inlineStr">
        <is>
          <t>KARLSTAD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32940-2021</t>
        </is>
      </c>
      <c r="B354" s="1" t="n">
        <v>44376</v>
      </c>
      <c r="C354" s="1" t="n">
        <v>45676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33593-2021</t>
        </is>
      </c>
      <c r="B355" s="1" t="n">
        <v>44378</v>
      </c>
      <c r="C355" s="1" t="n">
        <v>45676</v>
      </c>
      <c r="D355" t="inlineStr">
        <is>
          <t>VÄRMLANDS LÄN</t>
        </is>
      </c>
      <c r="E355" t="inlineStr">
        <is>
          <t>KARLSTAD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34261-2021</t>
        </is>
      </c>
      <c r="B356" s="1" t="n">
        <v>44379</v>
      </c>
      <c r="C356" s="1" t="n">
        <v>45676</v>
      </c>
      <c r="D356" t="inlineStr">
        <is>
          <t>VÄRMLANDS LÄN</t>
        </is>
      </c>
      <c r="E356" t="inlineStr">
        <is>
          <t>KARLSTAD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34359-2021</t>
        </is>
      </c>
      <c r="B357" s="1" t="n">
        <v>44379</v>
      </c>
      <c r="C357" s="1" t="n">
        <v>45676</v>
      </c>
      <c r="D357" t="inlineStr">
        <is>
          <t>VÄRMLANDS LÄN</t>
        </is>
      </c>
      <c r="E357" t="inlineStr">
        <is>
          <t>KARLSTAD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34290-2021</t>
        </is>
      </c>
      <c r="B358" s="1" t="n">
        <v>44379</v>
      </c>
      <c r="C358" s="1" t="n">
        <v>45676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34275-2021</t>
        </is>
      </c>
      <c r="B359" s="1" t="n">
        <v>44379</v>
      </c>
      <c r="C359" s="1" t="n">
        <v>45676</v>
      </c>
      <c r="D359" t="inlineStr">
        <is>
          <t>VÄRMLANDS LÄN</t>
        </is>
      </c>
      <c r="E359" t="inlineStr">
        <is>
          <t>KARLSTAD</t>
        </is>
      </c>
      <c r="F359" t="inlineStr">
        <is>
          <t>Kyrkan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34618-2021</t>
        </is>
      </c>
      <c r="B360" s="1" t="n">
        <v>44382</v>
      </c>
      <c r="C360" s="1" t="n">
        <v>45676</v>
      </c>
      <c r="D360" t="inlineStr">
        <is>
          <t>VÄRMLANDS LÄN</t>
        </is>
      </c>
      <c r="E360" t="inlineStr">
        <is>
          <t>KARLSTAD</t>
        </is>
      </c>
      <c r="F360" t="inlineStr">
        <is>
          <t>Bergvik skog väst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35248-2021</t>
        </is>
      </c>
      <c r="B361" s="1" t="n">
        <v>44384</v>
      </c>
      <c r="C361" s="1" t="n">
        <v>45676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35412-2021</t>
        </is>
      </c>
      <c r="B362" s="1" t="n">
        <v>44385</v>
      </c>
      <c r="C362" s="1" t="n">
        <v>45676</v>
      </c>
      <c r="D362" t="inlineStr">
        <is>
          <t>VÄRMLANDS LÄN</t>
        </is>
      </c>
      <c r="E362" t="inlineStr">
        <is>
          <t>KARLSTAD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37125-2021</t>
        </is>
      </c>
      <c r="B363" s="1" t="n">
        <v>44396</v>
      </c>
      <c r="C363" s="1" t="n">
        <v>45676</v>
      </c>
      <c r="D363" t="inlineStr">
        <is>
          <t>VÄRMLANDS LÄN</t>
        </is>
      </c>
      <c r="E363" t="inlineStr">
        <is>
          <t>KARLSTAD</t>
        </is>
      </c>
      <c r="F363" t="inlineStr">
        <is>
          <t>Naturvårdsverket</t>
        </is>
      </c>
      <c r="G363" t="n">
        <v>16.9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37543-2021</t>
        </is>
      </c>
      <c r="B364" s="1" t="n">
        <v>44399</v>
      </c>
      <c r="C364" s="1" t="n">
        <v>45676</v>
      </c>
      <c r="D364" t="inlineStr">
        <is>
          <t>VÄRMLANDS LÄN</t>
        </is>
      </c>
      <c r="E364" t="inlineStr">
        <is>
          <t>KARLSTAD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37878-2021</t>
        </is>
      </c>
      <c r="B365" s="1" t="n">
        <v>44403</v>
      </c>
      <c r="C365" s="1" t="n">
        <v>45676</v>
      </c>
      <c r="D365" t="inlineStr">
        <is>
          <t>VÄRMLANDS LÄN</t>
        </is>
      </c>
      <c r="E365" t="inlineStr">
        <is>
          <t>KARLSTAD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37888-2021</t>
        </is>
      </c>
      <c r="B366" s="1" t="n">
        <v>44403</v>
      </c>
      <c r="C366" s="1" t="n">
        <v>45676</v>
      </c>
      <c r="D366" t="inlineStr">
        <is>
          <t>VÄRMLANDS LÄN</t>
        </is>
      </c>
      <c r="E366" t="inlineStr">
        <is>
          <t>KARLSTAD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37873-2021</t>
        </is>
      </c>
      <c r="B367" s="1" t="n">
        <v>44403</v>
      </c>
      <c r="C367" s="1" t="n">
        <v>45676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38061-2021</t>
        </is>
      </c>
      <c r="B368" s="1" t="n">
        <v>44404</v>
      </c>
      <c r="C368" s="1" t="n">
        <v>45676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38121-2021</t>
        </is>
      </c>
      <c r="B369" s="1" t="n">
        <v>44405</v>
      </c>
      <c r="C369" s="1" t="n">
        <v>45676</v>
      </c>
      <c r="D369" t="inlineStr">
        <is>
          <t>VÄRMLANDS LÄN</t>
        </is>
      </c>
      <c r="E369" t="inlineStr">
        <is>
          <t>KARLSTAD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38124-2021</t>
        </is>
      </c>
      <c r="B370" s="1" t="n">
        <v>44405</v>
      </c>
      <c r="C370" s="1" t="n">
        <v>45676</v>
      </c>
      <c r="D370" t="inlineStr">
        <is>
          <t>VÄRMLANDS LÄN</t>
        </is>
      </c>
      <c r="E370" t="inlineStr">
        <is>
          <t>KARLSTAD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39229-2021</t>
        </is>
      </c>
      <c r="B371" s="1" t="n">
        <v>44413</v>
      </c>
      <c r="C371" s="1" t="n">
        <v>45676</v>
      </c>
      <c r="D371" t="inlineStr">
        <is>
          <t>VÄRMLANDS LÄN</t>
        </is>
      </c>
      <c r="E371" t="inlineStr">
        <is>
          <t>KARLSTAD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40893-2021</t>
        </is>
      </c>
      <c r="B372" s="1" t="n">
        <v>44421</v>
      </c>
      <c r="C372" s="1" t="n">
        <v>45676</v>
      </c>
      <c r="D372" t="inlineStr">
        <is>
          <t>VÄRMLANDS LÄN</t>
        </is>
      </c>
      <c r="E372" t="inlineStr">
        <is>
          <t>KARLSTAD</t>
        </is>
      </c>
      <c r="F372" t="inlineStr">
        <is>
          <t>Bergvik skog väst AB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41519-2021</t>
        </is>
      </c>
      <c r="B373" s="1" t="n">
        <v>44425</v>
      </c>
      <c r="C373" s="1" t="n">
        <v>45676</v>
      </c>
      <c r="D373" t="inlineStr">
        <is>
          <t>VÄRMLANDS LÄN</t>
        </is>
      </c>
      <c r="E373" t="inlineStr">
        <is>
          <t>KARLSTAD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42053-2021</t>
        </is>
      </c>
      <c r="B374" s="1" t="n">
        <v>44426</v>
      </c>
      <c r="C374" s="1" t="n">
        <v>45676</v>
      </c>
      <c r="D374" t="inlineStr">
        <is>
          <t>VÄRMLANDS LÄN</t>
        </is>
      </c>
      <c r="E374" t="inlineStr">
        <is>
          <t>KARLSTAD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42060-2021</t>
        </is>
      </c>
      <c r="B375" s="1" t="n">
        <v>44426</v>
      </c>
      <c r="C375" s="1" t="n">
        <v>45676</v>
      </c>
      <c r="D375" t="inlineStr">
        <is>
          <t>VÄRMLANDS LÄN</t>
        </is>
      </c>
      <c r="E375" t="inlineStr">
        <is>
          <t>KARLSTAD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41944-2021</t>
        </is>
      </c>
      <c r="B376" s="1" t="n">
        <v>44426</v>
      </c>
      <c r="C376" s="1" t="n">
        <v>45676</v>
      </c>
      <c r="D376" t="inlineStr">
        <is>
          <t>VÄRMLANDS LÄN</t>
        </is>
      </c>
      <c r="E376" t="inlineStr">
        <is>
          <t>KARLSTAD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42283-2021</t>
        </is>
      </c>
      <c r="B377" s="1" t="n">
        <v>44427</v>
      </c>
      <c r="C377" s="1" t="n">
        <v>45676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42664-2021</t>
        </is>
      </c>
      <c r="B378" s="1" t="n">
        <v>44428</v>
      </c>
      <c r="C378" s="1" t="n">
        <v>45676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42725-2021</t>
        </is>
      </c>
      <c r="B379" s="1" t="n">
        <v>44428</v>
      </c>
      <c r="C379" s="1" t="n">
        <v>45676</v>
      </c>
      <c r="D379" t="inlineStr">
        <is>
          <t>VÄRMLANDS LÄN</t>
        </is>
      </c>
      <c r="E379" t="inlineStr">
        <is>
          <t>KARLSTAD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42901-2021</t>
        </is>
      </c>
      <c r="B380" s="1" t="n">
        <v>44431</v>
      </c>
      <c r="C380" s="1" t="n">
        <v>45676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43263-2021</t>
        </is>
      </c>
      <c r="B381" s="1" t="n">
        <v>44432</v>
      </c>
      <c r="C381" s="1" t="n">
        <v>45676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43542-2021</t>
        </is>
      </c>
      <c r="B382" s="1" t="n">
        <v>44433</v>
      </c>
      <c r="C382" s="1" t="n">
        <v>45676</v>
      </c>
      <c r="D382" t="inlineStr">
        <is>
          <t>VÄRMLANDS LÄN</t>
        </is>
      </c>
      <c r="E382" t="inlineStr">
        <is>
          <t>KARLSTAD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45905-2021</t>
        </is>
      </c>
      <c r="B383" s="1" t="n">
        <v>44441</v>
      </c>
      <c r="C383" s="1" t="n">
        <v>45676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46808-2021</t>
        </is>
      </c>
      <c r="B384" s="1" t="n">
        <v>44446</v>
      </c>
      <c r="C384" s="1" t="n">
        <v>45676</v>
      </c>
      <c r="D384" t="inlineStr">
        <is>
          <t>VÄRMLANDS LÄN</t>
        </is>
      </c>
      <c r="E384" t="inlineStr">
        <is>
          <t>KARLSTAD</t>
        </is>
      </c>
      <c r="G384" t="n">
        <v>15.3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46812-2021</t>
        </is>
      </c>
      <c r="B385" s="1" t="n">
        <v>44446</v>
      </c>
      <c r="C385" s="1" t="n">
        <v>45676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46814-2021</t>
        </is>
      </c>
      <c r="B386" s="1" t="n">
        <v>44446</v>
      </c>
      <c r="C386" s="1" t="n">
        <v>45676</v>
      </c>
      <c r="D386" t="inlineStr">
        <is>
          <t>VÄRMLANDS LÄN</t>
        </is>
      </c>
      <c r="E386" t="inlineStr">
        <is>
          <t>KARLSTAD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47041-2021</t>
        </is>
      </c>
      <c r="B387" s="1" t="n">
        <v>44446</v>
      </c>
      <c r="C387" s="1" t="n">
        <v>45676</v>
      </c>
      <c r="D387" t="inlineStr">
        <is>
          <t>VÄRMLANDS LÄN</t>
        </is>
      </c>
      <c r="E387" t="inlineStr">
        <is>
          <t>KARLSTAD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47055-2021</t>
        </is>
      </c>
      <c r="B388" s="1" t="n">
        <v>44446</v>
      </c>
      <c r="C388" s="1" t="n">
        <v>45676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47134-2021</t>
        </is>
      </c>
      <c r="B389" s="1" t="n">
        <v>44446</v>
      </c>
      <c r="C389" s="1" t="n">
        <v>45676</v>
      </c>
      <c r="D389" t="inlineStr">
        <is>
          <t>VÄRMLANDS LÄN</t>
        </is>
      </c>
      <c r="E389" t="inlineStr">
        <is>
          <t>KARLSTAD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45676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45676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45676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45676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45676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45676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45676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45676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45676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45676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45676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45676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45676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45676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45676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45676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45676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45676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45676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45676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45676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45676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45676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45676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45676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45676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45676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45676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45676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45676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45676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45676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45676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45676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45676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45676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45676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45676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45676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45676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45676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45676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45676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45676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45676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45676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45676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45676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45676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45676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45676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45676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45676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45676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45676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45676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45676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45676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45676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45676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45676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45676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45676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45676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45676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45676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45676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45676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45676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45676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45676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45676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45676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45676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45676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45676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45676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45676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45676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45676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45676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45676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45676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45676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45676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45676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45676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45676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45676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45676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45676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45676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45676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45676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45676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45676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45676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45676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45676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45676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45676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45676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45676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45676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45676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45676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45676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45676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45676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45676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45676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45676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45676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45676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45676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45676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45676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45676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45676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45676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45676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45676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45676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45676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45676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45676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45676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45676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45676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45676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45676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45676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45676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45676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45676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45676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45676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45676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45676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45676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45676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45676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45676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45676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45676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45676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45676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45676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45676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45676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45676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45676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45676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45676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45676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45676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45676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45676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45676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45676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45676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45676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45676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45676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45676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45676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45676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45676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45676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45676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45676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45676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45676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45676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45676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45676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45676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45676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45676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45676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45676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45676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45676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45676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45676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45676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45676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45676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45676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45676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45676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45676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45676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45676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45676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45676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45676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45676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45676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45676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45676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45676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45676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45676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45676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45676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45676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45676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45676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45676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45676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45676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45676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45676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45676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45676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45676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45676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45676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45676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45676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45676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45676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45676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45676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45676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45676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45676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45676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45676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45676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45676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45676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45676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45676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45676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45676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45676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45676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45676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45676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45676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45676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45676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45676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45676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45676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45676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45676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45676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45676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45676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45676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45676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45676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45676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45676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45676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45676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45676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45676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45676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45676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45676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45676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45676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45676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45676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45676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45676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45676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45676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45676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45676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45676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45676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45676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45676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45676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45676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45676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45676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45676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45676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45676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45676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45676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45676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45676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45676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45676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45676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45676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45676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45676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45676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45676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45676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45676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45676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45676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45676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45676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45676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45676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45676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45676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45676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45676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45676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45676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45676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45676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45676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45676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45676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45676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45676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45676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45676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45676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45676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45676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45676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45676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45676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45676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45676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45676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45676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45676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45676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45676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45676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45676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45676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45676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45676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45676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45676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45676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45676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45676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45676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45676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45676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45676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45676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45676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45676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45676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45676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45676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45676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45676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45676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45676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45676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45676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45676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45676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45676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45676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45676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45676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45676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45676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45676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45676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45676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45676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45676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45676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45676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45676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45676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45676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45676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45676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45676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45676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45676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45676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45676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45676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45676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45676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45676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45676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45676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45676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45676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45676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45676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45676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45676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45676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45676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45676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45676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45676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45676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45676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45676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45676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45676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45676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45676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45676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45676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45676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45676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45676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45676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45676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45676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45676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45676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45676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45676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45676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45676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45676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45676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45676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45676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45676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45676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45676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45676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45676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45676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45676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45676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45676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45676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45676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45676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45676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45676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45676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45676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45676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45676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45676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45676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45676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45676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45676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45676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45676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45676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45676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45676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45676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45676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45676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45676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45676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45676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45676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45676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45676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45676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45676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45676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45676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45676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45676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45676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45676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45676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45676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45676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45676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45676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45676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45676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45676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45676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45676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45676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45676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45676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45676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45676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45676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45676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45676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45676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45676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45676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45676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45676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45676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45676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45676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45676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45676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45676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45676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45676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45676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45676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45676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45676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45676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45676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45676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45676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45676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45676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45676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45676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45676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45676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45676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45676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45676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45676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45676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45676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45676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45676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45676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45676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45676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45676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45676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45676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45676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45676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45676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45676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45676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45676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45676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45676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45676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45676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45676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45676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45676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45676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45676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45676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45676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45676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45676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45676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45676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45676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45676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45676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45676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45676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45676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45676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45676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45676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45676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45676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45676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45676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45676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45676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45676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45676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45676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45676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45676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45676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45676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45676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45676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45676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45676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45676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45676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45676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45676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45676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45676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45676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45676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45676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45676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45676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45676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45676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45676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45676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45676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45676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45676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45676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45676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45676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45676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45676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45676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45676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45676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45676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45676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45676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45676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45676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45676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45676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45676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45676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45676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45676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45676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45676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45676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45676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45676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45676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45676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45676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45676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45676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45676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45676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45676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45676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45676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45676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45676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45676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45676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45676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45676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45676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45676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45676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45676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45676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45676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45676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45676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45676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45676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45676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45676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45676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45676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45676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45676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45676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45676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45676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45676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45676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45676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45676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45676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45676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45676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45676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45676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45676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45676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45676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45676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45676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45676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45676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45676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45676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45676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45676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45676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45676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45676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45676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45676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45676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45676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45676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45676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45676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45676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45676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45676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45676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45676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45676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45676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45676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45676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45676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45676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45676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45676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45676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45676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45676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45676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45676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45676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45676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45676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45676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45676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45676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45676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45676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45676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45676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45676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45676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45676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45676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45676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45676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45676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45676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45676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45676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45676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45676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45676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45676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45676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45676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45676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45676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45676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45676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59892-2024</t>
        </is>
      </c>
      <c r="B1122" s="1" t="n">
        <v>45641</v>
      </c>
      <c r="C1122" s="1" t="n">
        <v>45676</v>
      </c>
      <c r="D1122" t="inlineStr">
        <is>
          <t>VÄRMLANDS LÄN</t>
        </is>
      </c>
      <c r="E1122" t="inlineStr">
        <is>
          <t>KARLSTAD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59888-2024</t>
        </is>
      </c>
      <c r="B1123" s="1" t="n">
        <v>45641</v>
      </c>
      <c r="C1123" s="1" t="n">
        <v>45676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45676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60278-2024</t>
        </is>
      </c>
      <c r="B1125" s="1" t="n">
        <v>45642</v>
      </c>
      <c r="C1125" s="1" t="n">
        <v>45676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60280-2024</t>
        </is>
      </c>
      <c r="B1126" s="1" t="n">
        <v>45642</v>
      </c>
      <c r="C1126" s="1" t="n">
        <v>45676</v>
      </c>
      <c r="D1126" t="inlineStr">
        <is>
          <t>VÄRMLANDS LÄN</t>
        </is>
      </c>
      <c r="E1126" t="inlineStr">
        <is>
          <t>KARLSTAD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45676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45676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60907-2024</t>
        </is>
      </c>
      <c r="B1129" s="1" t="n">
        <v>45645</v>
      </c>
      <c r="C1129" s="1" t="n">
        <v>45676</v>
      </c>
      <c r="D1129" t="inlineStr">
        <is>
          <t>VÄRMLANDS LÄN</t>
        </is>
      </c>
      <c r="E1129" t="inlineStr">
        <is>
          <t>KARLSTAD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45676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45676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45676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45676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61747-2024</t>
        </is>
      </c>
      <c r="B1134" s="1" t="n">
        <v>45649</v>
      </c>
      <c r="C1134" s="1" t="n">
        <v>45676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648-2025</t>
        </is>
      </c>
      <c r="B1135" s="1" t="n">
        <v>45664</v>
      </c>
      <c r="C1135" s="1" t="n">
        <v>45676</v>
      </c>
      <c r="D1135" t="inlineStr">
        <is>
          <t>VÄRMLANDS LÄN</t>
        </is>
      </c>
      <c r="E1135" t="inlineStr">
        <is>
          <t>KARLSTAD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HYPERLINK("https://klasma.github.io/Logging_1780/knärot/A 648-2025 karta knärot.png", "A 648-2025")</f>
        <v/>
      </c>
      <c r="V1135">
        <f>HYPERLINK("https://klasma.github.io/Logging_1780/klagomål/A 648-2025 FSC-klagomål.docx", "A 648-2025")</f>
        <v/>
      </c>
      <c r="W1135">
        <f>HYPERLINK("https://klasma.github.io/Logging_1780/klagomålsmail/A 648-2025 FSC-klagomål mail.docx", "A 648-2025")</f>
        <v/>
      </c>
      <c r="X1135">
        <f>HYPERLINK("https://klasma.github.io/Logging_1780/tillsyn/A 648-2025 tillsynsbegäran.docx", "A 648-2025")</f>
        <v/>
      </c>
      <c r="Y1135">
        <f>HYPERLINK("https://klasma.github.io/Logging_1780/tillsynsmail/A 648-2025 tillsynsbegäran mail.docx", "A 648-2025")</f>
        <v/>
      </c>
    </row>
    <row r="1136" ht="15" customHeight="1">
      <c r="A1136" t="inlineStr">
        <is>
          <t>A 900-2025</t>
        </is>
      </c>
      <c r="B1136" s="1" t="n">
        <v>45665</v>
      </c>
      <c r="C1136" s="1" t="n">
        <v>45676</v>
      </c>
      <c r="D1136" t="inlineStr">
        <is>
          <t>VÄRMLANDS LÄN</t>
        </is>
      </c>
      <c r="E1136" t="inlineStr">
        <is>
          <t>KARLSTAD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904-2025</t>
        </is>
      </c>
      <c r="B1137" s="1" t="n">
        <v>45665</v>
      </c>
      <c r="C1137" s="1" t="n">
        <v>45676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1164-2025</t>
        </is>
      </c>
      <c r="B1138" s="1" t="n">
        <v>45666</v>
      </c>
      <c r="C1138" s="1" t="n">
        <v>45676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1935-2025</t>
        </is>
      </c>
      <c r="B1139" s="1" t="n">
        <v>45671</v>
      </c>
      <c r="C1139" s="1" t="n">
        <v>45676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2061-2025</t>
        </is>
      </c>
      <c r="B1140" s="1" t="n">
        <v>45672</v>
      </c>
      <c r="C1140" s="1" t="n">
        <v>45676</v>
      </c>
      <c r="D1140" t="inlineStr">
        <is>
          <t>VÄRMLANDS LÄN</t>
        </is>
      </c>
      <c r="E1140" t="inlineStr">
        <is>
          <t>KARLSTAD</t>
        </is>
      </c>
      <c r="F1140" t="inlineStr">
        <is>
          <t>Övriga statliga verk och myndigheter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2475-2025</t>
        </is>
      </c>
      <c r="B1141" s="1" t="n">
        <v>45674</v>
      </c>
      <c r="C1141" s="1" t="n">
        <v>45676</v>
      </c>
      <c r="D1141" t="inlineStr">
        <is>
          <t>VÄRMLANDS LÄN</t>
        </is>
      </c>
      <c r="E1141" t="inlineStr">
        <is>
          <t>KARLSTAD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2516-2025</t>
        </is>
      </c>
      <c r="B1142" s="1" t="n">
        <v>45674</v>
      </c>
      <c r="C1142" s="1" t="n">
        <v>45676</v>
      </c>
      <c r="D1142" t="inlineStr">
        <is>
          <t>VÄRMLANDS LÄN</t>
        </is>
      </c>
      <c r="E1142" t="inlineStr">
        <is>
          <t>KARLSTAD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2025-01-19T15:56:22Z</dcterms:created>
  <dcterms:modified xmlns:dcterms="http://purl.org/dc/terms/" xmlns:xsi="http://www.w3.org/2001/XMLSchema-instance" xsi:type="dcterms:W3CDTF">2025-01-19T15:56:23Z</dcterms:modified>
</cp:coreProperties>
</file>