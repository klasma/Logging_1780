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46235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46235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46235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46235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46235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46235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46235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46235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46235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46235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46235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46235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46235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46235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46235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46235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46235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46235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46235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46235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46235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46235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46235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46235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46235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46235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46235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46235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46235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46235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46235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46235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46235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46235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46235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46235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46235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46235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59641-2021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44493</v>
      </c>
      <c r="E49" s="1" t="n">
        <v>46235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HYPERLINK("https://klasma.github.io/Logging_1780/artfynd/A 59641-2021 artfynd.xlsx", "A 59641-2021")</f>
        <v/>
      </c>
      <c r="X49">
        <f>HYPERLINK("https://klasma.github.io/Logging_1780/kartor/A 59641-2021 karta.png", "A 59641-2021")</f>
        <v/>
      </c>
      <c r="Y49">
        <f>HYPERLINK("https://klasma.github.io/Logging_1780/kartor_geotiff/A 59641-2021 georefererad karta.tif", "A 59641-2021")</f>
        <v/>
      </c>
      <c r="AA49">
        <f>HYPERLINK("https://klasma.github.io/Logging_1780/klagomål/A 59641-2021 FSC-klagomål.docx", "A 59641-2021")</f>
        <v/>
      </c>
      <c r="AB49">
        <f>HYPERLINK("https://klasma.github.io/Logging_1780/klagomålsmail/A 59641-2021 FSC-klagomål mail.docx", "A 59641-2021")</f>
        <v/>
      </c>
      <c r="AC49">
        <f>HYPERLINK("https://klasma.github.io/Logging_1780/tillsyn/A 59641-2021 tillsynsbegäran.docx", "A 59641-2021")</f>
        <v/>
      </c>
      <c r="AD49">
        <f>HYPERLINK("https://klasma.github.io/Logging_1780/tillsynsmail/A 59641-2021 tillsynsbegäran mail.docx", "A 59641-2021")</f>
        <v/>
      </c>
    </row>
    <row r="50" ht="15" customHeight="1">
      <c r="A50" t="inlineStr">
        <is>
          <t>A 48588-2021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44452</v>
      </c>
      <c r="E50" s="1" t="n">
        <v>46235</v>
      </c>
      <c r="F50" t="inlineStr">
        <is>
          <t>VÄRMLANDS LÄN</t>
        </is>
      </c>
      <c r="G50" t="inlineStr">
        <is>
          <t>KARLSTAD</t>
        </is>
      </c>
      <c r="I50" t="n">
        <v>7.3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HYPERLINK("https://klasma.github.io/Logging_1780/artfynd/A 48588-2021 artfynd.xlsx", "A 48588-2021")</f>
        <v/>
      </c>
      <c r="X50">
        <f>HYPERLINK("https://klasma.github.io/Logging_1780/kartor/A 48588-2021 karta.png", "A 48588-2021")</f>
        <v/>
      </c>
      <c r="Y50">
        <f>HYPERLINK("https://klasma.github.io/Logging_1780/kartor_geotiff/A 48588-2021 georefererad karta.tif", "A 48588-2021")</f>
        <v/>
      </c>
      <c r="AA50">
        <f>HYPERLINK("https://klasma.github.io/Logging_1780/klagomål/A 48588-2021 FSC-klagomål.docx", "A 48588-2021")</f>
        <v/>
      </c>
      <c r="AB50">
        <f>HYPERLINK("https://klasma.github.io/Logging_1780/klagomålsmail/A 48588-2021 FSC-klagomål mail.docx", "A 48588-2021")</f>
        <v/>
      </c>
      <c r="AC50">
        <f>HYPERLINK("https://klasma.github.io/Logging_1780/tillsyn/A 48588-2021 tillsynsbegäran.docx", "A 48588-2021")</f>
        <v/>
      </c>
      <c r="AD50">
        <f>HYPERLINK("https://klasma.github.io/Logging_1780/tillsynsmail/A 48588-2021 tillsynsbegäran mail.docx", "A 48588-2021")</f>
        <v/>
      </c>
      <c r="AE50">
        <f>HYPERLINK("https://klasma.github.io/Logging_1780/fåglar/A 48588-2021 prioriterade fågelarter.docx", "A 48588-2021")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46235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46235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46235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18470-2022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46235</v>
      </c>
      <c r="F54" t="inlineStr">
        <is>
          <t>VÄRMLANDS LÄN</t>
        </is>
      </c>
      <c r="G54" t="inlineStr">
        <is>
          <t>KARLSTAD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Sparvuggla</t>
        </is>
      </c>
      <c r="W54">
        <f>HYPERLINK("https://klasma.github.io/Logging_1780/artfynd/A 18470-2022 artfynd.xlsx", "A 18470-2022")</f>
        <v/>
      </c>
      <c r="X54">
        <f>HYPERLINK("https://klasma.github.io/Logging_1780/kartor/A 18470-2022 karta.png", "A 18470-2022")</f>
        <v/>
      </c>
      <c r="Y54">
        <f>HYPERLINK("https://klasma.github.io/Logging_1780/kartor_geotiff/A 18470-2022 georefererad karta.tif", "A 18470-2022")</f>
        <v/>
      </c>
      <c r="AA54">
        <f>HYPERLINK("https://klasma.github.io/Logging_1780/klagomål/A 18470-2022 FSC-klagomål.docx", "A 18470-2022")</f>
        <v/>
      </c>
      <c r="AB54">
        <f>HYPERLINK("https://klasma.github.io/Logging_1780/klagomålsmail/A 18470-2022 FSC-klagomål mail.docx", "A 18470-2022")</f>
        <v/>
      </c>
      <c r="AC54">
        <f>HYPERLINK("https://klasma.github.io/Logging_1780/tillsyn/A 18470-2022 tillsynsbegäran.docx", "A 18470-2022")</f>
        <v/>
      </c>
      <c r="AD54">
        <f>HYPERLINK("https://klasma.github.io/Logging_1780/tillsynsmail/A 18470-2022 tillsynsbegäran mail.docx", "A 18470-2022")</f>
        <v/>
      </c>
      <c r="AE54">
        <f>HYPERLINK("https://klasma.github.io/Logging_1780/fåglar/A 18470-2022 prioriterade fågelarter.docx", "A 18470-2022")</f>
        <v/>
      </c>
    </row>
    <row r="55" ht="15" customHeight="1">
      <c r="A55" t="inlineStr">
        <is>
          <t>A 9470-2023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46235</v>
      </c>
      <c r="F55" t="inlineStr">
        <is>
          <t>VÄRMLANDS LÄN</t>
        </is>
      </c>
      <c r="G55" t="inlineStr">
        <is>
          <t>KARLSTAD</t>
        </is>
      </c>
      <c r="H55" t="inlineStr">
        <is>
          <t>Kyrkan</t>
        </is>
      </c>
      <c r="I55" t="n">
        <v>9.800000000000001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HYPERLINK("https://klasma.github.io/Logging_1780/artfynd/A 9470-2023 artfynd.xlsx", "A 9470-2023")</f>
        <v/>
      </c>
      <c r="X55">
        <f>HYPERLINK("https://klasma.github.io/Logging_1780/kartor/A 9470-2023 karta.png", "A 9470-2023")</f>
        <v/>
      </c>
      <c r="Y55">
        <f>HYPERLINK("https://klasma.github.io/Logging_1780/kartor_geotiff/A 9470-2023 georefererad karta.tif", "A 9470-2023")</f>
        <v/>
      </c>
      <c r="AA55">
        <f>HYPERLINK("https://klasma.github.io/Logging_1780/klagomål/A 9470-2023 FSC-klagomål.docx", "A 9470-2023")</f>
        <v/>
      </c>
      <c r="AB55">
        <f>HYPERLINK("https://klasma.github.io/Logging_1780/klagomålsmail/A 9470-2023 FSC-klagomål mail.docx", "A 9470-2023")</f>
        <v/>
      </c>
      <c r="AC55">
        <f>HYPERLINK("https://klasma.github.io/Logging_1780/tillsyn/A 9470-2023 tillsynsbegäran.docx", "A 9470-2023")</f>
        <v/>
      </c>
      <c r="AD55">
        <f>HYPERLINK("https://klasma.github.io/Logging_1780/tillsynsmail/A 9470-2023 tillsynsbegäran mail.docx", "A 9470-2023")</f>
        <v/>
      </c>
    </row>
    <row r="56" ht="15" customHeight="1">
      <c r="A56" t="inlineStr">
        <is>
          <t>A 49765-2025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46235</v>
      </c>
      <c r="F56" t="inlineStr">
        <is>
          <t>VÄRMLANDS LÄN</t>
        </is>
      </c>
      <c r="G56" t="inlineStr">
        <is>
          <t>KARLSTAD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Slöjvaxskivling</t>
        </is>
      </c>
      <c r="W56">
        <f>HYPERLINK("https://klasma.github.io/Logging_1780/artfynd/A 49765-2025 artfynd.xlsx", "A 49765-2025")</f>
        <v/>
      </c>
      <c r="X56">
        <f>HYPERLINK("https://klasma.github.io/Logging_1780/kartor/A 49765-2025 karta.png", "A 49765-2025")</f>
        <v/>
      </c>
      <c r="Y56">
        <f>HYPERLINK("https://klasma.github.io/Logging_1780/kartor_geotiff/A 49765-2025 georefererad karta.tif", "A 49765-2025")</f>
        <v/>
      </c>
      <c r="AA56">
        <f>HYPERLINK("https://klasma.github.io/Logging_1780/klagomål/A 49765-2025 FSC-klagomål.docx", "A 49765-2025")</f>
        <v/>
      </c>
      <c r="AB56">
        <f>HYPERLINK("https://klasma.github.io/Logging_1780/klagomålsmail/A 49765-2025 FSC-klagomål mail.docx", "A 49765-2025")</f>
        <v/>
      </c>
      <c r="AC56">
        <f>HYPERLINK("https://klasma.github.io/Logging_1780/tillsyn/A 49765-2025 tillsynsbegäran.docx", "A 49765-2025")</f>
        <v/>
      </c>
      <c r="AD56">
        <f>HYPERLINK("https://klasma.github.io/Logging_1780/tillsynsmail/A 49765-2025 tillsynsbegäran mail.docx", "A 49765-2025")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46235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46235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46235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56241-2025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46235</v>
      </c>
      <c r="F60" t="inlineStr">
        <is>
          <t>VÄRMLANDS LÄN</t>
        </is>
      </c>
      <c r="G60" t="inlineStr">
        <is>
          <t>KARLSTAD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HYPERLINK("https://klasma.github.io/Logging_1780/artfynd/A 56241-2025 artfynd.xlsx", "A 56241-2025")</f>
        <v/>
      </c>
      <c r="X60">
        <f>HYPERLINK("https://klasma.github.io/Logging_1780/kartor/A 56241-2025 karta.png", "A 56241-2025")</f>
        <v/>
      </c>
      <c r="Y60">
        <f>HYPERLINK("https://klasma.github.io/Logging_1780/kartor_geotiff/A 56241-2025 georefererad karta.tif", "A 56241-2025")</f>
        <v/>
      </c>
      <c r="AA60">
        <f>HYPERLINK("https://klasma.github.io/Logging_1780/klagomål/A 56241-2025 FSC-klagomål.docx", "A 56241-2025")</f>
        <v/>
      </c>
      <c r="AB60">
        <f>HYPERLINK("https://klasma.github.io/Logging_1780/klagomålsmail/A 56241-2025 FSC-klagomål mail.docx", "A 56241-2025")</f>
        <v/>
      </c>
      <c r="AC60">
        <f>HYPERLINK("https://klasma.github.io/Logging_1780/tillsyn/A 56241-2025 tillsynsbegäran.docx", "A 56241-2025")</f>
        <v/>
      </c>
      <c r="AD60">
        <f>HYPERLINK("https://klasma.github.io/Logging_1780/tillsynsmail/A 56241-2025 tillsynsbegäran mail.docx", "A 56241-2025")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46235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46235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46235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36886-2022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46235</v>
      </c>
      <c r="F64" t="inlineStr">
        <is>
          <t>VÄRMLANDS LÄN</t>
        </is>
      </c>
      <c r="G64" t="inlineStr">
        <is>
          <t>KARLSTAD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Gröngöling</t>
        </is>
      </c>
      <c r="W64">
        <f>HYPERLINK("https://klasma.github.io/Logging_1780/artfynd/A 36886-2022 artfynd.xlsx", "A 36886-2022")</f>
        <v/>
      </c>
      <c r="X64">
        <f>HYPERLINK("https://klasma.github.io/Logging_1780/kartor/A 36886-2022 karta.png", "A 36886-2022")</f>
        <v/>
      </c>
      <c r="Y64">
        <f>HYPERLINK("https://klasma.github.io/Logging_1780/kartor_geotiff/A 36886-2022 georefererad karta.tif", "A 36886-2022")</f>
        <v/>
      </c>
      <c r="AA64">
        <f>HYPERLINK("https://klasma.github.io/Logging_1780/klagomål/A 36886-2022 FSC-klagomål.docx", "A 36886-2022")</f>
        <v/>
      </c>
      <c r="AB64">
        <f>HYPERLINK("https://klasma.github.io/Logging_1780/klagomålsmail/A 36886-2022 FSC-klagomål mail.docx", "A 36886-2022")</f>
        <v/>
      </c>
      <c r="AC64">
        <f>HYPERLINK("https://klasma.github.io/Logging_1780/tillsyn/A 36886-2022 tillsynsbegäran.docx", "A 36886-2022")</f>
        <v/>
      </c>
      <c r="AD64">
        <f>HYPERLINK("https://klasma.github.io/Logging_1780/tillsynsmail/A 36886-2022 tillsynsbegäran mail.docx", "A 36886-2022")</f>
        <v/>
      </c>
    </row>
    <row r="65" ht="15" customHeight="1">
      <c r="A65" t="inlineStr">
        <is>
          <t>A 3736-2023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44949</v>
      </c>
      <c r="E65" s="1" t="n">
        <v>46235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Gullklöver</t>
        </is>
      </c>
      <c r="W65">
        <f>HYPERLINK("https://klasma.github.io/Logging_1780/artfynd/A 3736-2023 artfynd.xlsx", "A 3736-2023")</f>
        <v/>
      </c>
      <c r="X65">
        <f>HYPERLINK("https://klasma.github.io/Logging_1780/kartor/A 3736-2023 karta.png", "A 3736-2023")</f>
        <v/>
      </c>
      <c r="Y65">
        <f>HYPERLINK("https://klasma.github.io/Logging_1780/kartor_geotiff/A 3736-2023 georefererad karta.tif", "A 3736-2023")</f>
        <v/>
      </c>
      <c r="AA65">
        <f>HYPERLINK("https://klasma.github.io/Logging_1780/klagomål/A 3736-2023 FSC-klagomål.docx", "A 3736-2023")</f>
        <v/>
      </c>
      <c r="AB65">
        <f>HYPERLINK("https://klasma.github.io/Logging_1780/klagomålsmail/A 3736-2023 FSC-klagomål mail.docx", "A 3736-2023")</f>
        <v/>
      </c>
      <c r="AC65">
        <f>HYPERLINK("https://klasma.github.io/Logging_1780/tillsyn/A 3736-2023 tillsynsbegäran.docx", "A 3736-2023")</f>
        <v/>
      </c>
      <c r="AD65">
        <f>HYPERLINK("https://klasma.github.io/Logging_1780/tillsynsmail/A 3736-2023 tillsynsbegäran mail.docx", "A 3736-2023")</f>
        <v/>
      </c>
    </row>
    <row r="66" ht="15" customHeight="1">
      <c r="A66" t="inlineStr">
        <is>
          <t>A 5131-2026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46235</v>
      </c>
      <c r="F66" t="inlineStr">
        <is>
          <t>VÄRMLANDS LÄN</t>
        </is>
      </c>
      <c r="G66" t="inlineStr">
        <is>
          <t>KARLSTAD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 taggsvamp</t>
        </is>
      </c>
      <c r="W66">
        <f>HYPERLINK("https://klasma.github.io/Logging_1780/artfynd/A 5131-2026 artfynd.xlsx", "A 5131-2026")</f>
        <v/>
      </c>
      <c r="X66">
        <f>HYPERLINK("https://klasma.github.io/Logging_1780/kartor/A 5131-2026 karta.png", "A 5131-2026")</f>
        <v/>
      </c>
      <c r="Y66">
        <f>HYPERLINK("https://klasma.github.io/Logging_1780/kartor_geotiff/A 5131-2026 georefererad karta.tif", "A 5131-2026")</f>
        <v/>
      </c>
      <c r="AA66">
        <f>HYPERLINK("https://klasma.github.io/Logging_1780/klagomål/A 5131-2026 FSC-klagomål.docx", "A 5131-2026")</f>
        <v/>
      </c>
      <c r="AB66">
        <f>HYPERLINK("https://klasma.github.io/Logging_1780/klagomålsmail/A 5131-2026 FSC-klagomål mail.docx", "A 5131-2026")</f>
        <v/>
      </c>
      <c r="AC66">
        <f>HYPERLINK("https://klasma.github.io/Logging_1780/tillsyn/A 5131-2026 tillsynsbegäran.docx", "A 5131-2026")</f>
        <v/>
      </c>
      <c r="AD66">
        <f>HYPERLINK("https://klasma.github.io/Logging_1780/tillsynsmail/A 5131-2026 tillsynsbegäran mail.docx", "A 5131-2026")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46235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A 14002-2022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46235</v>
      </c>
      <c r="F68" t="inlineStr">
        <is>
          <t>VÄRMLANDS LÄN</t>
        </is>
      </c>
      <c r="G68" t="inlineStr">
        <is>
          <t>KARLSTAD</t>
        </is>
      </c>
      <c r="I68" t="n">
        <v>2.3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t="n">
        <v>3</v>
      </c>
      <c r="V68" s="2" t="inlineStr">
        <is>
          <t>Knärot</t>
        </is>
      </c>
      <c r="W68">
        <f>HYPERLINK("https://klasma.github.io/Logging_1780/artfynd/A 14002-2022 artfynd.xlsx", "A 14002-2022")</f>
        <v/>
      </c>
      <c r="X68">
        <f>HYPERLINK("https://klasma.github.io/Logging_1780/kartor/A 14002-2022 karta.png", "A 14002-2022")</f>
        <v/>
      </c>
      <c r="Y68">
        <f>HYPERLINK("https://klasma.github.io/Logging_1780/kartor_geotiff/A 14002-2022 georefererad karta.tif", "A 14002-2022")</f>
        <v/>
      </c>
      <c r="Z68">
        <f>HYPERLINK("https://klasma.github.io/Logging_1780/knärot/A 14002-2022 karta knärot.png", "A 14002-2022")</f>
        <v/>
      </c>
      <c r="AA68">
        <f>HYPERLINK("https://klasma.github.io/Logging_1780/klagomål/A 14002-2022 FSC-klagomål.docx", "A 14002-2022")</f>
        <v/>
      </c>
      <c r="AB68">
        <f>HYPERLINK("https://klasma.github.io/Logging_1780/klagomålsmail/A 14002-2022 FSC-klagomål mail.docx", "A 14002-2022")</f>
        <v/>
      </c>
      <c r="AC68">
        <f>HYPERLINK("https://klasma.github.io/Logging_1780/tillsyn/A 14002-2022 tillsynsbegäran.docx", "A 14002-2022")</f>
        <v/>
      </c>
      <c r="AD68">
        <f>HYPERLINK("https://klasma.github.io/Logging_1780/tillsynsmail/A 14002-2022 tillsynsbegäran mail.docx", "A 14002-2022")</f>
        <v/>
      </c>
    </row>
    <row r="69" ht="15" customHeight="1">
      <c r="A69" t="inlineStr">
        <is>
          <t>A 13259-2026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46235</v>
      </c>
      <c r="F69" t="inlineStr">
        <is>
          <t>VÄRMLANDS LÄN</t>
        </is>
      </c>
      <c r="G69" t="inlineStr">
        <is>
          <t>KARLSTAD</t>
        </is>
      </c>
      <c r="I69" t="n">
        <v>5.2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HYPERLINK("https://klasma.github.io/Logging_1780/artfynd/A 13259-2026 artfynd.xlsx", "A 13259-2026")</f>
        <v/>
      </c>
      <c r="X69">
        <f>HYPERLINK("https://klasma.github.io/Logging_1780/kartor/A 13259-2026 karta.png", "A 13259-2026")</f>
        <v/>
      </c>
      <c r="Y69">
        <f>HYPERLINK("https://klasma.github.io/Logging_1780/kartor_geotiff/A 13259-2026 georefererad karta.tif", "A 13259-2026")</f>
        <v/>
      </c>
      <c r="AA69">
        <f>HYPERLINK("https://klasma.github.io/Logging_1780/klagomål/A 13259-2026 FSC-klagomål.docx", "A 13259-2026")</f>
        <v/>
      </c>
      <c r="AB69">
        <f>HYPERLINK("https://klasma.github.io/Logging_1780/klagomålsmail/A 13259-2026 FSC-klagomål mail.docx", "A 13259-2026")</f>
        <v/>
      </c>
      <c r="AC69">
        <f>HYPERLINK("https://klasma.github.io/Logging_1780/tillsyn/A 13259-2026 tillsynsbegäran.docx", "A 13259-2026")</f>
        <v/>
      </c>
      <c r="AD69">
        <f>HYPERLINK("https://klasma.github.io/Logging_1780/tillsynsmail/A 13259-2026 tillsynsbegäran mail.docx", "A 13259-2026")</f>
        <v/>
      </c>
    </row>
    <row r="70" ht="15" customHeight="1">
      <c r="A70" t="inlineStr">
        <is>
          <t>A 20241-2022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44698</v>
      </c>
      <c r="E70" s="1" t="n">
        <v>46235</v>
      </c>
      <c r="F70" t="inlineStr">
        <is>
          <t>VÄRMLANDS LÄN</t>
        </is>
      </c>
      <c r="G70" t="inlineStr">
        <is>
          <t>KARLSTAD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Större vattensalamander</t>
        </is>
      </c>
      <c r="W70">
        <f>HYPERLINK("https://klasma.github.io/Logging_1780/artfynd/A 20241-2022 artfynd.xlsx", "A 20241-2022")</f>
        <v/>
      </c>
      <c r="X70">
        <f>HYPERLINK("https://klasma.github.io/Logging_1780/kartor/A 20241-2022 karta.png", "A 20241-2022")</f>
        <v/>
      </c>
      <c r="Y70">
        <f>HYPERLINK("https://klasma.github.io/Logging_1780/kartor_geotiff/A 20241-2022 georefererad karta.tif", "A 20241-2022")</f>
        <v/>
      </c>
      <c r="AA70">
        <f>HYPERLINK("https://klasma.github.io/Logging_1780/klagomål/A 20241-2022 FSC-klagomål.docx", "A 20241-2022")</f>
        <v/>
      </c>
      <c r="AB70">
        <f>HYPERLINK("https://klasma.github.io/Logging_1780/klagomålsmail/A 20241-2022 FSC-klagomål mail.docx", "A 20241-2022")</f>
        <v/>
      </c>
      <c r="AC70">
        <f>HYPERLINK("https://klasma.github.io/Logging_1780/tillsyn/A 20241-2022 tillsynsbegäran.docx", "A 20241-2022")</f>
        <v/>
      </c>
      <c r="AD70">
        <f>HYPERLINK("https://klasma.github.io/Logging_1780/tillsynsmail/A 20241-2022 tillsynsbegäran mail.docx", "A 20241-2022")</f>
        <v/>
      </c>
    </row>
    <row r="71" ht="15" customHeight="1">
      <c r="A71" t="inlineStr">
        <is>
          <t>A 16739-2026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46113</v>
      </c>
      <c r="E71" s="1" t="n">
        <v>46235</v>
      </c>
      <c r="F71" t="inlineStr">
        <is>
          <t>VÄRMLANDS LÄN</t>
        </is>
      </c>
      <c r="G71" t="inlineStr">
        <is>
          <t>KARLSTAD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HYPERLINK("https://klasma.github.io/Logging_1780/artfynd/A 16739-2026 artfynd.xlsx", "A 16739-2026")</f>
        <v/>
      </c>
      <c r="X71">
        <f>HYPERLINK("https://klasma.github.io/Logging_1780/kartor/A 16739-2026 karta.png", "A 16739-2026")</f>
        <v/>
      </c>
      <c r="Y71">
        <f>HYPERLINK("https://klasma.github.io/Logging_1780/kartor_geotiff/A 16739-2026 georefererad karta.tif", "A 16739-2026")</f>
        <v/>
      </c>
      <c r="AA71">
        <f>HYPERLINK("https://klasma.github.io/Logging_1780/klagomål/A 16739-2026 FSC-klagomål.docx", "A 16739-2026")</f>
        <v/>
      </c>
      <c r="AB71">
        <f>HYPERLINK("https://klasma.github.io/Logging_1780/klagomålsmail/A 16739-2026 FSC-klagomål mail.docx", "A 16739-2026")</f>
        <v/>
      </c>
      <c r="AC71">
        <f>HYPERLINK("https://klasma.github.io/Logging_1780/tillsyn/A 16739-2026 tillsynsbegäran.docx", "A 16739-2026")</f>
        <v/>
      </c>
      <c r="AD71">
        <f>HYPERLINK("https://klasma.github.io/Logging_1780/tillsynsmail/A 16739-2026 tillsynsbegäran mail.docx", "A 16739-2026")</f>
        <v/>
      </c>
      <c r="AE71">
        <f>HYPERLINK("https://klasma.github.io/Logging_1780/fåglar/A 16739-2026 prioriterade fågelarter.docx", "A 16739-2026")</f>
        <v/>
      </c>
    </row>
    <row r="72" ht="15" customHeight="1">
      <c r="A72" t="inlineStr">
        <is>
          <t>A 21919-2023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46235</v>
      </c>
      <c r="F72" t="inlineStr">
        <is>
          <t>VÄRMLANDS LÄN</t>
        </is>
      </c>
      <c r="G72" t="inlineStr">
        <is>
          <t>KARLSTAD</t>
        </is>
      </c>
      <c r="I72" t="n">
        <v>2.5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HYPERLINK("https://klasma.github.io/Logging_1780/artfynd/A 21919-2023 artfynd.xlsx", "A 21919-2023")</f>
        <v/>
      </c>
      <c r="X72">
        <f>HYPERLINK("https://klasma.github.io/Logging_1780/kartor/A 21919-2023 karta.png", "A 21919-2023")</f>
        <v/>
      </c>
      <c r="Y72">
        <f>HYPERLINK("https://klasma.github.io/Logging_1780/kartor_geotiff/A 21919-2023 georefererad karta.tif", "A 21919-2023")</f>
        <v/>
      </c>
      <c r="AA72">
        <f>HYPERLINK("https://klasma.github.io/Logging_1780/klagomål/A 21919-2023 FSC-klagomål.docx", "A 21919-2023")</f>
        <v/>
      </c>
      <c r="AB72">
        <f>HYPERLINK("https://klasma.github.io/Logging_1780/klagomålsmail/A 21919-2023 FSC-klagomål mail.docx", "A 21919-2023")</f>
        <v/>
      </c>
      <c r="AC72">
        <f>HYPERLINK("https://klasma.github.io/Logging_1780/tillsyn/A 21919-2023 tillsynsbegäran.docx", "A 21919-2023")</f>
        <v/>
      </c>
      <c r="AD72">
        <f>HYPERLINK("https://klasma.github.io/Logging_1780/tillsynsmail/A 21919-2023 tillsynsbegäran mail.docx", "A 21919-2023")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46235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46235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46235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46235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46235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46235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46235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46235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46235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46235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46235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46235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46235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46235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46235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46235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46235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46235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46235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46235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46235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46235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46235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46235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46235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46235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46235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46235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46235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46235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46235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46235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46235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46235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46235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46235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46235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46235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46235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46235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46235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46235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46235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46235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46235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46235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46235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46235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46235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46235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59626-2021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46235</v>
      </c>
      <c r="F123" t="inlineStr">
        <is>
          <t>VÄRMLANDS LÄN</t>
        </is>
      </c>
      <c r="G123" t="inlineStr">
        <is>
          <t>KARLSTAD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46235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46235</v>
      </c>
      <c r="F125" t="inlineStr">
        <is>
          <t>VÄRMLANDS LÄN</t>
        </is>
      </c>
      <c r="G125" t="inlineStr">
        <is>
          <t>KARLSTAD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42283-2021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44427</v>
      </c>
      <c r="E126" s="1" t="n">
        <v>46235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46235</v>
      </c>
      <c r="F127" t="inlineStr">
        <is>
          <t>VÄRMLANDS LÄN</t>
        </is>
      </c>
      <c r="G127" t="inlineStr">
        <is>
          <t>KARLSTAD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46235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46235</v>
      </c>
      <c r="F129" t="inlineStr">
        <is>
          <t>VÄRMLANDS LÄN</t>
        </is>
      </c>
      <c r="G129" t="inlineStr">
        <is>
          <t>KARLSTAD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45450</v>
      </c>
      <c r="E130" s="1" t="n">
        <v>46235</v>
      </c>
      <c r="F130" t="inlineStr">
        <is>
          <t>VÄRMLANDS LÄN</t>
        </is>
      </c>
      <c r="G130" t="inlineStr">
        <is>
          <t>KARLSTAD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46235</v>
      </c>
      <c r="F131" t="inlineStr">
        <is>
          <t>VÄRMLANDS LÄN</t>
        </is>
      </c>
      <c r="G131" t="inlineStr">
        <is>
          <t>KARLSTAD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46235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46235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46235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46235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44432</v>
      </c>
      <c r="E136" s="1" t="n">
        <v>46235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46235</v>
      </c>
      <c r="F137" t="inlineStr">
        <is>
          <t>VÄRMLANDS LÄN</t>
        </is>
      </c>
      <c r="G137" t="inlineStr">
        <is>
          <t>KARLSTAD</t>
        </is>
      </c>
      <c r="H137" t="inlineStr">
        <is>
          <t>Naturvårdsverket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46235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46235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44426</v>
      </c>
      <c r="E140" s="1" t="n">
        <v>46235</v>
      </c>
      <c r="F140" t="inlineStr">
        <is>
          <t>VÄRMLANDS LÄN</t>
        </is>
      </c>
      <c r="G140" t="inlineStr">
        <is>
          <t>KARLSTAD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46235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73318-2021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46235</v>
      </c>
      <c r="F142" t="inlineStr">
        <is>
          <t>VÄRMLANDS LÄN</t>
        </is>
      </c>
      <c r="G142" t="inlineStr">
        <is>
          <t>KARLSTAD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51086-2021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46235</v>
      </c>
      <c r="F143" t="inlineStr">
        <is>
          <t>VÄRMLANDS LÄN</t>
        </is>
      </c>
      <c r="G143" t="inlineStr">
        <is>
          <t>KARLSTAD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40855-2022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44825</v>
      </c>
      <c r="E144" s="1" t="n">
        <v>46235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42664-2021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44428</v>
      </c>
      <c r="E145" s="1" t="n">
        <v>46235</v>
      </c>
      <c r="F145" t="inlineStr">
        <is>
          <t>VÄRMLANDS LÄN</t>
        </is>
      </c>
      <c r="G145" t="inlineStr">
        <is>
          <t>KARLSTAD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46235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46235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46235</v>
      </c>
      <c r="F148" t="inlineStr">
        <is>
          <t>VÄRMLANDS LÄN</t>
        </is>
      </c>
      <c r="G148" t="inlineStr">
        <is>
          <t>KARLSTAD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57469-2021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46235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72346-2021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44544</v>
      </c>
      <c r="E150" s="1" t="n">
        <v>46235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46235</v>
      </c>
      <c r="F151" t="inlineStr">
        <is>
          <t>VÄRMLANDS LÄN</t>
        </is>
      </c>
      <c r="G151" t="inlineStr">
        <is>
          <t>KARLSTAD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46235</v>
      </c>
      <c r="F152" t="inlineStr">
        <is>
          <t>VÄRMLANDS LÄN</t>
        </is>
      </c>
      <c r="G152" t="inlineStr">
        <is>
          <t>KARLSTAD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8483-2022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44613</v>
      </c>
      <c r="E153" s="1" t="n">
        <v>46235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46235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48633-2021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44452</v>
      </c>
      <c r="E155" s="1" t="n">
        <v>46235</v>
      </c>
      <c r="F155" t="inlineStr">
        <is>
          <t>VÄRMLANDS LÄN</t>
        </is>
      </c>
      <c r="G155" t="inlineStr">
        <is>
          <t>KARLSTAD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44872</v>
      </c>
      <c r="E156" s="1" t="n">
        <v>46235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46235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46235</v>
      </c>
      <c r="F158" t="inlineStr">
        <is>
          <t>VÄRMLANDS LÄN</t>
        </is>
      </c>
      <c r="G158" t="inlineStr">
        <is>
          <t>KARLSTAD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44763</v>
      </c>
      <c r="E159" s="1" t="n">
        <v>46235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44593</v>
      </c>
      <c r="E160" s="1" t="n">
        <v>46235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46235</v>
      </c>
      <c r="F161" t="inlineStr">
        <is>
          <t>VÄRMLANDS LÄN</t>
        </is>
      </c>
      <c r="G161" t="inlineStr">
        <is>
          <t>KARLSTAD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46235</v>
      </c>
      <c r="F162" t="inlineStr">
        <is>
          <t>VÄRMLANDS LÄN</t>
        </is>
      </c>
      <c r="G162" t="inlineStr">
        <is>
          <t>KARLSTAD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46235</v>
      </c>
      <c r="F163" t="inlineStr">
        <is>
          <t>VÄRMLANDS LÄN</t>
        </is>
      </c>
      <c r="G163" t="inlineStr">
        <is>
          <t>KARLSTAD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46235</v>
      </c>
      <c r="F164" t="inlineStr">
        <is>
          <t>VÄRMLANDS LÄN</t>
        </is>
      </c>
      <c r="G164" t="inlineStr">
        <is>
          <t>KARLSTAD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46235</v>
      </c>
      <c r="F165" t="inlineStr">
        <is>
          <t>VÄRMLANDS LÄN</t>
        </is>
      </c>
      <c r="G165" t="inlineStr">
        <is>
          <t>KARLSTAD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45177</v>
      </c>
      <c r="E166" s="1" t="n">
        <v>46235</v>
      </c>
      <c r="F166" t="inlineStr">
        <is>
          <t>VÄRMLANDS LÄN</t>
        </is>
      </c>
      <c r="G166" t="inlineStr">
        <is>
          <t>KARLSTAD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46235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46235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46235</v>
      </c>
      <c r="F169" t="inlineStr">
        <is>
          <t>VÄRMLANDS LÄN</t>
        </is>
      </c>
      <c r="G169" t="inlineStr">
        <is>
          <t>KARLSTAD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46235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46235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46235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50400-2021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44459</v>
      </c>
      <c r="E173" s="1" t="n">
        <v>46235</v>
      </c>
      <c r="F173" t="inlineStr">
        <is>
          <t>VÄRMLANDS LÄN</t>
        </is>
      </c>
      <c r="G173" t="inlineStr">
        <is>
          <t>KARLSTAD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46235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46235</v>
      </c>
      <c r="F175" t="inlineStr">
        <is>
          <t>VÄRMLANDS LÄN</t>
        </is>
      </c>
      <c r="G175" t="inlineStr">
        <is>
          <t>KARLSTAD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44654</v>
      </c>
      <c r="E176" s="1" t="n">
        <v>46235</v>
      </c>
      <c r="F176" t="inlineStr">
        <is>
          <t>VÄRMLANDS LÄN</t>
        </is>
      </c>
      <c r="G176" t="inlineStr">
        <is>
          <t>KARLSTAD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46235</v>
      </c>
      <c r="F177" t="inlineStr">
        <is>
          <t>VÄRMLANDS LÄN</t>
        </is>
      </c>
      <c r="G177" t="inlineStr">
        <is>
          <t>KARLSTAD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44484</v>
      </c>
      <c r="E178" s="1" t="n">
        <v>46235</v>
      </c>
      <c r="F178" t="inlineStr">
        <is>
          <t>VÄRMLANDS LÄN</t>
        </is>
      </c>
      <c r="G178" t="inlineStr">
        <is>
          <t>KARLSTAD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45035</v>
      </c>
      <c r="E179" s="1" t="n">
        <v>46235</v>
      </c>
      <c r="F179" t="inlineStr">
        <is>
          <t>VÄRMLANDS LÄN</t>
        </is>
      </c>
      <c r="G179" t="inlineStr">
        <is>
          <t>KARLSTAD</t>
        </is>
      </c>
      <c r="H179" t="inlineStr">
        <is>
          <t>Kommuner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44446</v>
      </c>
      <c r="E180" s="1" t="n">
        <v>46235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46235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46235</v>
      </c>
      <c r="F182" t="inlineStr">
        <is>
          <t>VÄRMLANDS LÄN</t>
        </is>
      </c>
      <c r="G182" t="inlineStr">
        <is>
          <t>KARLSTAD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46235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46235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70127-2021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44533</v>
      </c>
      <c r="E185" s="1" t="n">
        <v>46235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46235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46235</v>
      </c>
      <c r="F187" t="inlineStr">
        <is>
          <t>VÄRMLANDS LÄN</t>
        </is>
      </c>
      <c r="G187" t="inlineStr">
        <is>
          <t>KARLSTAD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46235</v>
      </c>
      <c r="F188" t="inlineStr">
        <is>
          <t>VÄRMLANDS LÄN</t>
        </is>
      </c>
      <c r="G188" t="inlineStr">
        <is>
          <t>KARLSTAD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53305-2023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45229</v>
      </c>
      <c r="E189" s="1" t="n">
        <v>46235</v>
      </c>
      <c r="F189" t="inlineStr">
        <is>
          <t>VÄRMLANDS LÄN</t>
        </is>
      </c>
      <c r="G189" t="inlineStr">
        <is>
          <t>KARLSTAD</t>
        </is>
      </c>
      <c r="H189" t="inlineStr">
        <is>
          <t>Övriga Aktiebolag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46235</v>
      </c>
      <c r="F190" t="inlineStr">
        <is>
          <t>VÄRMLANDS LÄN</t>
        </is>
      </c>
      <c r="G190" t="inlineStr">
        <is>
          <t>KARLSTAD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46235</v>
      </c>
      <c r="F191" t="inlineStr">
        <is>
          <t>VÄRMLANDS LÄN</t>
        </is>
      </c>
      <c r="G191" t="inlineStr">
        <is>
          <t>KARLSTAD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46235</v>
      </c>
      <c r="F192" t="inlineStr">
        <is>
          <t>VÄRMLANDS LÄN</t>
        </is>
      </c>
      <c r="G192" t="inlineStr">
        <is>
          <t>KARLSTAD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46235</v>
      </c>
      <c r="F193" t="inlineStr">
        <is>
          <t>VÄRMLANDS LÄN</t>
        </is>
      </c>
      <c r="G193" t="inlineStr">
        <is>
          <t>KARLSTAD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73753-2021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46235</v>
      </c>
      <c r="F194" t="inlineStr">
        <is>
          <t>VÄRMLANDS LÄN</t>
        </is>
      </c>
      <c r="G194" t="inlineStr">
        <is>
          <t>KARLSTAD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46235</v>
      </c>
      <c r="F195" t="inlineStr">
        <is>
          <t>VÄRMLANDS LÄN</t>
        </is>
      </c>
      <c r="G195" t="inlineStr">
        <is>
          <t>KARLSTAD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46235</v>
      </c>
      <c r="F196" t="inlineStr">
        <is>
          <t>VÄRMLANDS LÄN</t>
        </is>
      </c>
      <c r="G196" t="inlineStr">
        <is>
          <t>KARLSTAD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46235</v>
      </c>
      <c r="F197" t="inlineStr">
        <is>
          <t>VÄRMLANDS LÄN</t>
        </is>
      </c>
      <c r="G197" t="inlineStr">
        <is>
          <t>KARLSTAD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46235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46235</v>
      </c>
      <c r="F199" t="inlineStr">
        <is>
          <t>VÄRMLANDS LÄN</t>
        </is>
      </c>
      <c r="G199" t="inlineStr">
        <is>
          <t>KARLSTAD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46235</v>
      </c>
      <c r="F200" t="inlineStr">
        <is>
          <t>VÄRMLANDS LÄN</t>
        </is>
      </c>
      <c r="G200" t="inlineStr">
        <is>
          <t>KARLSTAD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46235</v>
      </c>
      <c r="F201" t="inlineStr">
        <is>
          <t>VÄRMLANDS LÄN</t>
        </is>
      </c>
      <c r="G201" t="inlineStr">
        <is>
          <t>KARLSTAD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46235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46235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45379</v>
      </c>
      <c r="E204" s="1" t="n">
        <v>46235</v>
      </c>
      <c r="F204" t="inlineStr">
        <is>
          <t>VÄRMLANDS LÄN</t>
        </is>
      </c>
      <c r="G204" t="inlineStr">
        <is>
          <t>KARLSTAD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55250-2022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44887</v>
      </c>
      <c r="E205" s="1" t="n">
        <v>46235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46235</v>
      </c>
      <c r="F206" t="inlineStr">
        <is>
          <t>VÄRMLANDS LÄN</t>
        </is>
      </c>
      <c r="G206" t="inlineStr">
        <is>
          <t>KARLSTAD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46235</v>
      </c>
      <c r="F207" t="inlineStr">
        <is>
          <t>VÄRMLANDS LÄN</t>
        </is>
      </c>
      <c r="G207" t="inlineStr">
        <is>
          <t>KARLSTAD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46235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46235</v>
      </c>
      <c r="F209" t="inlineStr">
        <is>
          <t>VÄRMLANDS LÄN</t>
        </is>
      </c>
      <c r="G209" t="inlineStr">
        <is>
          <t>KARLSTAD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46235</v>
      </c>
      <c r="F210" t="inlineStr">
        <is>
          <t>VÄRMLANDS LÄN</t>
        </is>
      </c>
      <c r="G210" t="inlineStr">
        <is>
          <t>KARLSTAD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46235</v>
      </c>
      <c r="F211" t="inlineStr">
        <is>
          <t>VÄRMLANDS LÄN</t>
        </is>
      </c>
      <c r="G211" t="inlineStr">
        <is>
          <t>KARLSTAD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46235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19666-2023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45051</v>
      </c>
      <c r="E213" s="1" t="n">
        <v>46235</v>
      </c>
      <c r="F213" t="inlineStr">
        <is>
          <t>VÄRMLANDS LÄN</t>
        </is>
      </c>
      <c r="G213" t="inlineStr">
        <is>
          <t>KARLSTAD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46235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46235</v>
      </c>
      <c r="F215" t="inlineStr">
        <is>
          <t>VÄRMLANDS LÄN</t>
        </is>
      </c>
      <c r="G215" t="inlineStr">
        <is>
          <t>KARLSTAD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46235</v>
      </c>
      <c r="F216" t="inlineStr">
        <is>
          <t>VÄRMLANDS LÄN</t>
        </is>
      </c>
      <c r="G216" t="inlineStr">
        <is>
          <t>KARLSTAD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46235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46235</v>
      </c>
      <c r="F218" t="inlineStr">
        <is>
          <t>VÄRMLANDS LÄN</t>
        </is>
      </c>
      <c r="G218" t="inlineStr">
        <is>
          <t>KARLSTAD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46235</v>
      </c>
      <c r="F219" t="inlineStr">
        <is>
          <t>VÄRMLANDS LÄN</t>
        </is>
      </c>
      <c r="G219" t="inlineStr">
        <is>
          <t>KARLSTAD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46235</v>
      </c>
      <c r="F220" t="inlineStr">
        <is>
          <t>VÄRMLANDS LÄN</t>
        </is>
      </c>
      <c r="G220" t="inlineStr">
        <is>
          <t>KARLSTAD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44634</v>
      </c>
      <c r="E221" s="1" t="n">
        <v>46235</v>
      </c>
      <c r="F221" t="inlineStr">
        <is>
          <t>VÄRMLANDS LÄN</t>
        </is>
      </c>
      <c r="G221" t="inlineStr">
        <is>
          <t>KARLSTAD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46235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45911</v>
      </c>
      <c r="E223" s="1" t="n">
        <v>46235</v>
      </c>
      <c r="F223" t="inlineStr">
        <is>
          <t>VÄRMLANDS LÄN</t>
        </is>
      </c>
      <c r="G223" t="inlineStr">
        <is>
          <t>KARLSTAD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46235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46235</v>
      </c>
      <c r="F225" t="inlineStr">
        <is>
          <t>VÄRMLANDS LÄN</t>
        </is>
      </c>
      <c r="G225" t="inlineStr">
        <is>
          <t>KARLSTAD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46235</v>
      </c>
      <c r="F226" t="inlineStr">
        <is>
          <t>VÄRMLANDS LÄN</t>
        </is>
      </c>
      <c r="G226" t="inlineStr">
        <is>
          <t>KARLSTAD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46235</v>
      </c>
      <c r="F227" t="inlineStr">
        <is>
          <t>VÄRMLANDS LÄN</t>
        </is>
      </c>
      <c r="G227" t="inlineStr">
        <is>
          <t>KARLSTAD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46235</v>
      </c>
      <c r="F228" t="inlineStr">
        <is>
          <t>VÄRMLANDS LÄN</t>
        </is>
      </c>
      <c r="G228" t="inlineStr">
        <is>
          <t>KARLSTAD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46235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46235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46235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45308</v>
      </c>
      <c r="E232" s="1" t="n">
        <v>46235</v>
      </c>
      <c r="F232" t="inlineStr">
        <is>
          <t>VÄRMLANDS LÄN</t>
        </is>
      </c>
      <c r="G232" t="inlineStr">
        <is>
          <t>KARLSTAD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46235</v>
      </c>
      <c r="F233" t="inlineStr">
        <is>
          <t>VÄRMLANDS LÄN</t>
        </is>
      </c>
      <c r="G233" t="inlineStr">
        <is>
          <t>KARLSTAD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46235</v>
      </c>
      <c r="F234" t="inlineStr">
        <is>
          <t>VÄRMLANDS LÄN</t>
        </is>
      </c>
      <c r="G234" t="inlineStr">
        <is>
          <t>KARLSTAD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45723</v>
      </c>
      <c r="E235" s="1" t="n">
        <v>46235</v>
      </c>
      <c r="F235" t="inlineStr">
        <is>
          <t>VÄRMLANDS LÄN</t>
        </is>
      </c>
      <c r="G235" t="inlineStr">
        <is>
          <t>KARLSTAD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46235</v>
      </c>
      <c r="F236" t="inlineStr">
        <is>
          <t>VÄRMLANDS LÄN</t>
        </is>
      </c>
      <c r="G236" t="inlineStr">
        <is>
          <t>KARLSTAD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44913</v>
      </c>
      <c r="E237" s="1" t="n">
        <v>46235</v>
      </c>
      <c r="F237" t="inlineStr">
        <is>
          <t>VÄRMLANDS LÄN</t>
        </is>
      </c>
      <c r="G237" t="inlineStr">
        <is>
          <t>KARLSTAD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46235</v>
      </c>
      <c r="F238" t="inlineStr">
        <is>
          <t>VÄRMLANDS LÄN</t>
        </is>
      </c>
      <c r="G238" t="inlineStr">
        <is>
          <t>KARLSTAD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44666</v>
      </c>
      <c r="E239" s="1" t="n">
        <v>46235</v>
      </c>
      <c r="F239" t="inlineStr">
        <is>
          <t>VÄRMLANDS LÄN</t>
        </is>
      </c>
      <c r="G239" t="inlineStr">
        <is>
          <t>KARLSTAD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46235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45836</v>
      </c>
      <c r="E241" s="1" t="n">
        <v>46235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46235</v>
      </c>
      <c r="F242" t="inlineStr">
        <is>
          <t>VÄRMLANDS LÄN</t>
        </is>
      </c>
      <c r="G242" t="inlineStr">
        <is>
          <t>KARLSTAD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46235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46235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46235</v>
      </c>
      <c r="F245" t="inlineStr">
        <is>
          <t>VÄRMLANDS LÄN</t>
        </is>
      </c>
      <c r="G245" t="inlineStr">
        <is>
          <t>KARLSTAD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46235</v>
      </c>
      <c r="F246" t="inlineStr">
        <is>
          <t>VÄRMLANDS LÄN</t>
        </is>
      </c>
      <c r="G246" t="inlineStr">
        <is>
          <t>KARLSTAD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46235</v>
      </c>
      <c r="F247" t="inlineStr">
        <is>
          <t>VÄRMLANDS LÄN</t>
        </is>
      </c>
      <c r="G247" t="inlineStr">
        <is>
          <t>KARLSTAD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46235</v>
      </c>
      <c r="F248" t="inlineStr">
        <is>
          <t>VÄRMLANDS LÄN</t>
        </is>
      </c>
      <c r="G248" t="inlineStr">
        <is>
          <t>KARLSTAD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46235</v>
      </c>
      <c r="F249" t="inlineStr">
        <is>
          <t>VÄRMLANDS LÄN</t>
        </is>
      </c>
      <c r="G249" t="inlineStr">
        <is>
          <t>KARLSTAD</t>
        </is>
      </c>
      <c r="H249" t="inlineStr">
        <is>
          <t>Övriga statliga verk och myndigheter</t>
        </is>
      </c>
      <c r="I249" t="n">
        <v>11.6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46235</v>
      </c>
      <c r="F250" t="inlineStr">
        <is>
          <t>VÄRMLANDS LÄN</t>
        </is>
      </c>
      <c r="G250" t="inlineStr">
        <is>
          <t>KARLSTAD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46235</v>
      </c>
      <c r="F251" t="inlineStr">
        <is>
          <t>VÄRMLANDS LÄN</t>
        </is>
      </c>
      <c r="G251" t="inlineStr">
        <is>
          <t>KARLSTAD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46235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46235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46235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46235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46235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46235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46235</v>
      </c>
      <c r="F258" t="inlineStr">
        <is>
          <t>VÄRMLANDS LÄN</t>
        </is>
      </c>
      <c r="G258" t="inlineStr">
        <is>
          <t>KARLSTAD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46235</v>
      </c>
      <c r="F259" t="inlineStr">
        <is>
          <t>VÄRMLANDS LÄN</t>
        </is>
      </c>
      <c r="G259" t="inlineStr">
        <is>
          <t>KARLSTAD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46235</v>
      </c>
      <c r="F260" t="inlineStr">
        <is>
          <t>VÄRMLANDS LÄN</t>
        </is>
      </c>
      <c r="G260" t="inlineStr">
        <is>
          <t>KARLSTAD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45618</v>
      </c>
      <c r="E261" s="1" t="n">
        <v>46235</v>
      </c>
      <c r="F261" t="inlineStr">
        <is>
          <t>VÄRMLANDS LÄN</t>
        </is>
      </c>
      <c r="G261" t="inlineStr">
        <is>
          <t>KARLSTAD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45012</v>
      </c>
      <c r="E262" s="1" t="n">
        <v>46235</v>
      </c>
      <c r="F262" t="inlineStr">
        <is>
          <t>VÄRMLANDS LÄN</t>
        </is>
      </c>
      <c r="G262" t="inlineStr">
        <is>
          <t>KARLSTAD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46235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45196</v>
      </c>
      <c r="E264" s="1" t="n">
        <v>46235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46235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46235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46235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46235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69008-2021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44530</v>
      </c>
      <c r="E269" s="1" t="n">
        <v>46235</v>
      </c>
      <c r="F269" t="inlineStr">
        <is>
          <t>VÄRMLANDS LÄN</t>
        </is>
      </c>
      <c r="G269" t="inlineStr">
        <is>
          <t>KARLSTAD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46235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44985</v>
      </c>
      <c r="E271" s="1" t="n">
        <v>46235</v>
      </c>
      <c r="F271" t="inlineStr">
        <is>
          <t>VÄRMLANDS LÄN</t>
        </is>
      </c>
      <c r="G271" t="inlineStr">
        <is>
          <t>KARLSTAD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46235</v>
      </c>
      <c r="F272" t="inlineStr">
        <is>
          <t>VÄRMLANDS LÄN</t>
        </is>
      </c>
      <c r="G272" t="inlineStr">
        <is>
          <t>KARLSTAD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46235</v>
      </c>
      <c r="F273" t="inlineStr">
        <is>
          <t>VÄRMLANDS LÄN</t>
        </is>
      </c>
      <c r="G273" t="inlineStr">
        <is>
          <t>KARLSTAD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72772-2021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44547</v>
      </c>
      <c r="E274" s="1" t="n">
        <v>46235</v>
      </c>
      <c r="F274" t="inlineStr">
        <is>
          <t>VÄRMLANDS LÄN</t>
        </is>
      </c>
      <c r="G274" t="inlineStr">
        <is>
          <t>KARLSTAD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45641</v>
      </c>
      <c r="E275" s="1" t="n">
        <v>46235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45243</v>
      </c>
      <c r="E276" s="1" t="n">
        <v>46235</v>
      </c>
      <c r="F276" t="inlineStr">
        <is>
          <t>VÄRMLANDS LÄN</t>
        </is>
      </c>
      <c r="G276" t="inlineStr">
        <is>
          <t>KARLSTAD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46235</v>
      </c>
      <c r="F277" t="inlineStr">
        <is>
          <t>VÄRMLANDS LÄN</t>
        </is>
      </c>
      <c r="G277" t="inlineStr">
        <is>
          <t>KARLSTAD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46235</v>
      </c>
      <c r="F278" t="inlineStr">
        <is>
          <t>VÄRMLANDS LÄN</t>
        </is>
      </c>
      <c r="G278" t="inlineStr">
        <is>
          <t>KARLSTAD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46235</v>
      </c>
      <c r="F279" t="inlineStr">
        <is>
          <t>VÄRMLANDS LÄN</t>
        </is>
      </c>
      <c r="G279" t="inlineStr">
        <is>
          <t>KARLSTAD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65086-2023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46235</v>
      </c>
      <c r="F280" t="inlineStr">
        <is>
          <t>VÄRMLANDS LÄN</t>
        </is>
      </c>
      <c r="G280" t="inlineStr">
        <is>
          <t>KARLSTAD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46235</v>
      </c>
      <c r="F281" t="inlineStr">
        <is>
          <t>VÄRMLANDS LÄN</t>
        </is>
      </c>
      <c r="G281" t="inlineStr">
        <is>
          <t>KARLSTAD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46235</v>
      </c>
      <c r="F282" t="inlineStr">
        <is>
          <t>VÄRMLANDS LÄN</t>
        </is>
      </c>
      <c r="G282" t="inlineStr">
        <is>
          <t>KARLSTAD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44999</v>
      </c>
      <c r="E283" s="1" t="n">
        <v>46235</v>
      </c>
      <c r="F283" t="inlineStr">
        <is>
          <t>VÄRMLANDS LÄN</t>
        </is>
      </c>
      <c r="G283" t="inlineStr">
        <is>
          <t>KARLSTAD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46235</v>
      </c>
      <c r="F284" t="inlineStr">
        <is>
          <t>VÄRMLANDS LÄN</t>
        </is>
      </c>
      <c r="G284" t="inlineStr">
        <is>
          <t>KARLSTAD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46235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46235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46235</v>
      </c>
      <c r="F287" t="inlineStr">
        <is>
          <t>VÄRMLANDS LÄN</t>
        </is>
      </c>
      <c r="G287" t="inlineStr">
        <is>
          <t>KARLSTAD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46235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45635</v>
      </c>
      <c r="E289" s="1" t="n">
        <v>46235</v>
      </c>
      <c r="F289" t="inlineStr">
        <is>
          <t>VÄRMLANDS LÄN</t>
        </is>
      </c>
      <c r="G289" t="inlineStr">
        <is>
          <t>KARLSTAD</t>
        </is>
      </c>
      <c r="I289" t="n">
        <v>18.5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46235</v>
      </c>
      <c r="F290" t="inlineStr">
        <is>
          <t>VÄRMLANDS LÄN</t>
        </is>
      </c>
      <c r="G290" t="inlineStr">
        <is>
          <t>KARLSTAD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46235</v>
      </c>
      <c r="F291" t="inlineStr">
        <is>
          <t>VÄRMLANDS LÄN</t>
        </is>
      </c>
      <c r="G291" t="inlineStr">
        <is>
          <t>KARLSTAD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46235</v>
      </c>
      <c r="F292" t="inlineStr">
        <is>
          <t>VÄRMLANDS LÄN</t>
        </is>
      </c>
      <c r="G292" t="inlineStr">
        <is>
          <t>KARLSTAD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45736</v>
      </c>
      <c r="E293" s="1" t="n">
        <v>46235</v>
      </c>
      <c r="F293" t="inlineStr">
        <is>
          <t>VÄRMLANDS LÄN</t>
        </is>
      </c>
      <c r="G293" t="inlineStr">
        <is>
          <t>KARLSTAD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46235</v>
      </c>
      <c r="F294" t="inlineStr">
        <is>
          <t>VÄRMLANDS LÄN</t>
        </is>
      </c>
      <c r="G294" t="inlineStr">
        <is>
          <t>KARLSTAD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39229-2021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44413</v>
      </c>
      <c r="E295" s="1" t="n">
        <v>46235</v>
      </c>
      <c r="F295" t="inlineStr">
        <is>
          <t>VÄRMLANDS LÄN</t>
        </is>
      </c>
      <c r="G295" t="inlineStr">
        <is>
          <t>KARLSTAD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46235</v>
      </c>
      <c r="F296" t="inlineStr">
        <is>
          <t>VÄRMLANDS LÄN</t>
        </is>
      </c>
      <c r="G296" t="inlineStr">
        <is>
          <t>KARLSTAD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45964</v>
      </c>
      <c r="E297" s="1" t="n">
        <v>46235</v>
      </c>
      <c r="F297" t="inlineStr">
        <is>
          <t>VÄRMLANDS LÄN</t>
        </is>
      </c>
      <c r="G297" t="inlineStr">
        <is>
          <t>KARLSTAD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46235</v>
      </c>
      <c r="F298" t="inlineStr">
        <is>
          <t>VÄRMLANDS LÄN</t>
        </is>
      </c>
      <c r="G298" t="inlineStr">
        <is>
          <t>KARLSTAD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46235</v>
      </c>
      <c r="F299" t="inlineStr">
        <is>
          <t>VÄRMLANDS LÄN</t>
        </is>
      </c>
      <c r="G299" t="inlineStr">
        <is>
          <t>KARLSTAD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46235</v>
      </c>
      <c r="F300" t="inlineStr">
        <is>
          <t>VÄRMLANDS LÄN</t>
        </is>
      </c>
      <c r="G300" t="inlineStr">
        <is>
          <t>KARLSTAD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46235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46235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45679</v>
      </c>
      <c r="E303" s="1" t="n">
        <v>46235</v>
      </c>
      <c r="F303" t="inlineStr">
        <is>
          <t>VÄRMLANDS LÄN</t>
        </is>
      </c>
      <c r="G303" t="inlineStr">
        <is>
          <t>KARLSTAD</t>
        </is>
      </c>
      <c r="I303" t="n">
        <v>11.4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46235</v>
      </c>
      <c r="F304" t="inlineStr">
        <is>
          <t>VÄRMLANDS LÄN</t>
        </is>
      </c>
      <c r="G304" t="inlineStr">
        <is>
          <t>KARLSTAD</t>
        </is>
      </c>
      <c r="I304" t="n">
        <v>11.3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34321-2024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45524</v>
      </c>
      <c r="E305" s="1" t="n">
        <v>46235</v>
      </c>
      <c r="F305" t="inlineStr">
        <is>
          <t>VÄRMLANDS LÄN</t>
        </is>
      </c>
      <c r="G305" t="inlineStr">
        <is>
          <t>KARLSTAD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46235</v>
      </c>
      <c r="F306" t="inlineStr">
        <is>
          <t>VÄRMLANDS LÄN</t>
        </is>
      </c>
      <c r="G306" t="inlineStr">
        <is>
          <t>KARLSTAD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66642-2021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44519</v>
      </c>
      <c r="E307" s="1" t="n">
        <v>46235</v>
      </c>
      <c r="F307" t="inlineStr">
        <is>
          <t>VÄRMLANDS LÄN</t>
        </is>
      </c>
      <c r="G307" t="inlineStr">
        <is>
          <t>KARLSTAD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49343-2021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44454</v>
      </c>
      <c r="E308" s="1" t="n">
        <v>46235</v>
      </c>
      <c r="F308" t="inlineStr">
        <is>
          <t>VÄRMLANDS LÄN</t>
        </is>
      </c>
      <c r="G308" t="inlineStr">
        <is>
          <t>KARLSTAD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45711</v>
      </c>
      <c r="E309" s="1" t="n">
        <v>46235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46235</v>
      </c>
      <c r="F310" t="inlineStr">
        <is>
          <t>VÄRMLANDS LÄN</t>
        </is>
      </c>
      <c r="G310" t="inlineStr">
        <is>
          <t>KARLSTAD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46235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46235</v>
      </c>
      <c r="F312" t="inlineStr">
        <is>
          <t>VÄRMLANDS LÄN</t>
        </is>
      </c>
      <c r="G312" t="inlineStr">
        <is>
          <t>KARLSTAD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46235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45039</v>
      </c>
      <c r="E314" s="1" t="n">
        <v>46235</v>
      </c>
      <c r="F314" t="inlineStr">
        <is>
          <t>VÄRMLANDS LÄN</t>
        </is>
      </c>
      <c r="G314" t="inlineStr">
        <is>
          <t>KARLSTAD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66322-2021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46235</v>
      </c>
      <c r="F315" t="inlineStr">
        <is>
          <t>VÄRMLANDS LÄN</t>
        </is>
      </c>
      <c r="G315" t="inlineStr">
        <is>
          <t>KARLSTAD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45775</v>
      </c>
      <c r="E316" s="1" t="n">
        <v>46235</v>
      </c>
      <c r="F316" t="inlineStr">
        <is>
          <t>VÄRMLANDS LÄN</t>
        </is>
      </c>
      <c r="G316" t="inlineStr">
        <is>
          <t>KARLSTAD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46235</v>
      </c>
      <c r="F317" t="inlineStr">
        <is>
          <t>VÄRMLANDS LÄN</t>
        </is>
      </c>
      <c r="G317" t="inlineStr">
        <is>
          <t>KARLSTAD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46235</v>
      </c>
      <c r="F318" t="inlineStr">
        <is>
          <t>VÄRMLANDS LÄN</t>
        </is>
      </c>
      <c r="G318" t="inlineStr">
        <is>
          <t>KARLSTAD</t>
        </is>
      </c>
      <c r="I318" t="n">
        <v>20.6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45698</v>
      </c>
      <c r="E319" s="1" t="n">
        <v>46235</v>
      </c>
      <c r="F319" t="inlineStr">
        <is>
          <t>VÄRMLANDS LÄN</t>
        </is>
      </c>
      <c r="G319" t="inlineStr">
        <is>
          <t>KARLSTAD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46235</v>
      </c>
      <c r="F320" t="inlineStr">
        <is>
          <t>VÄRMLANDS LÄN</t>
        </is>
      </c>
      <c r="G320" t="inlineStr">
        <is>
          <t>KARLSTAD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Z320">
        <f>HYPERLINK("https://klasma.github.io/Logging_1780/knärot/A 57466-2025 karta knärot.png", "A 57466-2025")</f>
        <v/>
      </c>
      <c r="AA320">
        <f>HYPERLINK("https://klasma.github.io/Logging_1780/klagomål/A 57466-2025 FSC-klagomål.docx", "A 57466-2025")</f>
        <v/>
      </c>
      <c r="AB320">
        <f>HYPERLINK("https://klasma.github.io/Logging_1780/klagomålsmail/A 57466-2025 FSC-klagomål mail.docx", "A 57466-2025")</f>
        <v/>
      </c>
      <c r="AC320">
        <f>HYPERLINK("https://klasma.github.io/Logging_1780/tillsyn/A 57466-2025 tillsynsbegäran.docx", "A 57466-2025")</f>
        <v/>
      </c>
      <c r="AD320">
        <f>HYPERLINK("https://klasma.github.io/Logging_1780/tillsynsmail/A 57466-2025 tillsynsbegäran mail.docx", "A 57466-2025")</f>
        <v/>
      </c>
    </row>
    <row r="321" ht="15" customHeight="1">
      <c r="A321" t="inlineStr">
        <is>
          <t>A 22409-2023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46235</v>
      </c>
      <c r="F321" t="inlineStr">
        <is>
          <t>VÄRMLANDS LÄN</t>
        </is>
      </c>
      <c r="G321" t="inlineStr">
        <is>
          <t>KARLSTAD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46235</v>
      </c>
      <c r="F322" t="inlineStr">
        <is>
          <t>VÄRMLANDS LÄN</t>
        </is>
      </c>
      <c r="G322" t="inlineStr">
        <is>
          <t>KARLSTAD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46235</v>
      </c>
      <c r="F323" t="inlineStr">
        <is>
          <t>VÄRMLANDS LÄN</t>
        </is>
      </c>
      <c r="G323" t="inlineStr">
        <is>
          <t>KARLSTAD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45177</v>
      </c>
      <c r="E324" s="1" t="n">
        <v>46235</v>
      </c>
      <c r="F324" t="inlineStr">
        <is>
          <t>VÄRMLANDS LÄN</t>
        </is>
      </c>
      <c r="G324" t="inlineStr">
        <is>
          <t>KARLSTAD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44578</v>
      </c>
      <c r="E325" s="1" t="n">
        <v>46235</v>
      </c>
      <c r="F325" t="inlineStr">
        <is>
          <t>VÄRMLANDS LÄN</t>
        </is>
      </c>
      <c r="G325" t="inlineStr">
        <is>
          <t>KARLSTAD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46235</v>
      </c>
      <c r="F326" t="inlineStr">
        <is>
          <t>VÄRMLANDS LÄN</t>
        </is>
      </c>
      <c r="G326" t="inlineStr">
        <is>
          <t>KARLSTAD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50955-2025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45946</v>
      </c>
      <c r="E327" s="1" t="n">
        <v>46235</v>
      </c>
      <c r="F327" t="inlineStr">
        <is>
          <t>VÄRMLANDS LÄN</t>
        </is>
      </c>
      <c r="G327" t="inlineStr">
        <is>
          <t>KARLSTAD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46235</v>
      </c>
      <c r="F328" t="inlineStr">
        <is>
          <t>VÄRMLANDS LÄN</t>
        </is>
      </c>
      <c r="G328" t="inlineStr">
        <is>
          <t>KARLSTAD</t>
        </is>
      </c>
      <c r="H328" t="inlineStr">
        <is>
          <t>Övriga statliga verk och myndigheter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46235</v>
      </c>
      <c r="F329" t="inlineStr">
        <is>
          <t>VÄRMLANDS LÄN</t>
        </is>
      </c>
      <c r="G329" t="inlineStr">
        <is>
          <t>KARLSTAD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45007</v>
      </c>
      <c r="E330" s="1" t="n">
        <v>46235</v>
      </c>
      <c r="F330" t="inlineStr">
        <is>
          <t>VÄRMLANDS LÄN</t>
        </is>
      </c>
      <c r="G330" t="inlineStr">
        <is>
          <t>KARLSTAD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47349-2022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44852</v>
      </c>
      <c r="E331" s="1" t="n">
        <v>46235</v>
      </c>
      <c r="F331" t="inlineStr">
        <is>
          <t>VÄRMLANDS LÄN</t>
        </is>
      </c>
      <c r="G331" t="inlineStr">
        <is>
          <t>KARLSTAD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46235</v>
      </c>
      <c r="F332" t="inlineStr">
        <is>
          <t>VÄRMLANDS LÄN</t>
        </is>
      </c>
      <c r="G332" t="inlineStr">
        <is>
          <t>KARLSTAD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44952</v>
      </c>
      <c r="E333" s="1" t="n">
        <v>46235</v>
      </c>
      <c r="F333" t="inlineStr">
        <is>
          <t>VÄRMLANDS LÄN</t>
        </is>
      </c>
      <c r="G333" t="inlineStr">
        <is>
          <t>KARLSTAD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44995</v>
      </c>
      <c r="E334" s="1" t="n">
        <v>46235</v>
      </c>
      <c r="F334" t="inlineStr">
        <is>
          <t>VÄRMLANDS LÄN</t>
        </is>
      </c>
      <c r="G334" t="inlineStr">
        <is>
          <t>KARLSTAD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45861</v>
      </c>
      <c r="E335" s="1" t="n">
        <v>46235</v>
      </c>
      <c r="F335" t="inlineStr">
        <is>
          <t>VÄRMLANDS LÄN</t>
        </is>
      </c>
      <c r="G335" t="inlineStr">
        <is>
          <t>KARLSTAD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42060-2021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44426</v>
      </c>
      <c r="E336" s="1" t="n">
        <v>46235</v>
      </c>
      <c r="F336" t="inlineStr">
        <is>
          <t>VÄRMLANDS LÄN</t>
        </is>
      </c>
      <c r="G336" t="inlineStr">
        <is>
          <t>KARLSTAD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46235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46235</v>
      </c>
      <c r="F338" t="inlineStr">
        <is>
          <t>VÄRMLANDS LÄN</t>
        </is>
      </c>
      <c r="G338" t="inlineStr">
        <is>
          <t>KARLSTAD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53038-2022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44873</v>
      </c>
      <c r="E339" s="1" t="n">
        <v>46235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46235</v>
      </c>
      <c r="F340" t="inlineStr">
        <is>
          <t>VÄRMLANDS LÄN</t>
        </is>
      </c>
      <c r="G340" t="inlineStr">
        <is>
          <t>KARLSTAD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60434-2025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45995</v>
      </c>
      <c r="E341" s="1" t="n">
        <v>46235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51096-2021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44459</v>
      </c>
      <c r="E342" s="1" t="n">
        <v>46235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45095</v>
      </c>
      <c r="E343" s="1" t="n">
        <v>46235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46235</v>
      </c>
      <c r="F344" t="inlineStr">
        <is>
          <t>VÄRMLANDS LÄN</t>
        </is>
      </c>
      <c r="G344" t="inlineStr">
        <is>
          <t>KARLSTAD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46235</v>
      </c>
      <c r="F345" t="inlineStr">
        <is>
          <t>VÄRMLANDS LÄN</t>
        </is>
      </c>
      <c r="G345" t="inlineStr">
        <is>
          <t>KARLSTAD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46235</v>
      </c>
      <c r="F346" t="inlineStr">
        <is>
          <t>VÄRMLANDS LÄN</t>
        </is>
      </c>
      <c r="G346" t="inlineStr">
        <is>
          <t>KARLSTAD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46235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61673-2025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46002</v>
      </c>
      <c r="E348" s="1" t="n">
        <v>46235</v>
      </c>
      <c r="F348" t="inlineStr">
        <is>
          <t>VÄRMLANDS LÄN</t>
        </is>
      </c>
      <c r="G348" t="inlineStr">
        <is>
          <t>KARLSTAD</t>
        </is>
      </c>
      <c r="H348" t="inlineStr">
        <is>
          <t>Naturvårdsverket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46235</v>
      </c>
      <c r="F349" t="inlineStr">
        <is>
          <t>VÄRMLANDS LÄN</t>
        </is>
      </c>
      <c r="G349" t="inlineStr">
        <is>
          <t>KARLSTAD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46235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46235</v>
      </c>
      <c r="F351" t="inlineStr">
        <is>
          <t>VÄRMLANDS LÄN</t>
        </is>
      </c>
      <c r="G351" t="inlineStr">
        <is>
          <t>KARLSTAD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45382</v>
      </c>
      <c r="E352" s="1" t="n">
        <v>46235</v>
      </c>
      <c r="F352" t="inlineStr">
        <is>
          <t>VÄRMLANDS LÄN</t>
        </is>
      </c>
      <c r="G352" t="inlineStr">
        <is>
          <t>KARLSTAD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46235</v>
      </c>
      <c r="F353" t="inlineStr">
        <is>
          <t>VÄRMLANDS LÄN</t>
        </is>
      </c>
      <c r="G353" t="inlineStr">
        <is>
          <t>KARLSTAD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46235</v>
      </c>
      <c r="F354" t="inlineStr">
        <is>
          <t>VÄRMLANDS LÄN</t>
        </is>
      </c>
      <c r="G354" t="inlineStr">
        <is>
          <t>KARLSTAD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46235</v>
      </c>
      <c r="F355" t="inlineStr">
        <is>
          <t>VÄRMLANDS LÄN</t>
        </is>
      </c>
      <c r="G355" t="inlineStr">
        <is>
          <t>KARLSTAD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46235</v>
      </c>
      <c r="F356" t="inlineStr">
        <is>
          <t>VÄRMLANDS LÄN</t>
        </is>
      </c>
      <c r="G356" t="inlineStr">
        <is>
          <t>KARLSTAD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46235</v>
      </c>
      <c r="F357" t="inlineStr">
        <is>
          <t>VÄRMLANDS LÄN</t>
        </is>
      </c>
      <c r="G357" t="inlineStr">
        <is>
          <t>KARLSTAD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45715</v>
      </c>
      <c r="E358" s="1" t="n">
        <v>46235</v>
      </c>
      <c r="F358" t="inlineStr">
        <is>
          <t>VÄRMLANDS LÄN</t>
        </is>
      </c>
      <c r="G358" t="inlineStr">
        <is>
          <t>KARLSTAD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45196</v>
      </c>
      <c r="E359" s="1" t="n">
        <v>46235</v>
      </c>
      <c r="F359" t="inlineStr">
        <is>
          <t>VÄRMLANDS LÄN</t>
        </is>
      </c>
      <c r="G359" t="inlineStr">
        <is>
          <t>KARLSTAD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46235</v>
      </c>
      <c r="F360" t="inlineStr">
        <is>
          <t>VÄRMLANDS LÄN</t>
        </is>
      </c>
      <c r="G360" t="inlineStr">
        <is>
          <t>KARLSTAD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57153-2024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46235</v>
      </c>
      <c r="F361" t="inlineStr">
        <is>
          <t>VÄRMLANDS LÄN</t>
        </is>
      </c>
      <c r="G361" t="inlineStr">
        <is>
          <t>KARLSTAD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46235</v>
      </c>
      <c r="F362" t="inlineStr">
        <is>
          <t>VÄRMLANDS LÄN</t>
        </is>
      </c>
      <c r="G362" t="inlineStr">
        <is>
          <t>KARLSTAD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46235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46235</v>
      </c>
      <c r="F364" t="inlineStr">
        <is>
          <t>VÄRMLANDS LÄN</t>
        </is>
      </c>
      <c r="G364" t="inlineStr">
        <is>
          <t>KARLSTAD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46235</v>
      </c>
      <c r="F365" t="inlineStr">
        <is>
          <t>VÄRMLANDS LÄN</t>
        </is>
      </c>
      <c r="G365" t="inlineStr">
        <is>
          <t>KARLSTAD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45260</v>
      </c>
      <c r="E366" s="1" t="n">
        <v>46235</v>
      </c>
      <c r="F366" t="inlineStr">
        <is>
          <t>VÄRMLANDS LÄN</t>
        </is>
      </c>
      <c r="G366" t="inlineStr">
        <is>
          <t>KARLSTAD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46235</v>
      </c>
      <c r="F367" t="inlineStr">
        <is>
          <t>VÄRMLANDS LÄN</t>
        </is>
      </c>
      <c r="G367" t="inlineStr">
        <is>
          <t>KARLSTAD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44952</v>
      </c>
      <c r="E368" s="1" t="n">
        <v>46235</v>
      </c>
      <c r="F368" t="inlineStr">
        <is>
          <t>VÄRMLANDS LÄN</t>
        </is>
      </c>
      <c r="G368" t="inlineStr">
        <is>
          <t>KARLSTAD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46235</v>
      </c>
      <c r="F369" t="inlineStr">
        <is>
          <t>VÄRMLANDS LÄN</t>
        </is>
      </c>
      <c r="G369" t="inlineStr">
        <is>
          <t>KARLSTAD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46235</v>
      </c>
      <c r="F370" t="inlineStr">
        <is>
          <t>VÄRMLANDS LÄN</t>
        </is>
      </c>
      <c r="G370" t="inlineStr">
        <is>
          <t>KARLSTAD</t>
        </is>
      </c>
      <c r="H370" t="inlineStr">
        <is>
          <t>Naturvårdsverket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46235</v>
      </c>
      <c r="F371" t="inlineStr">
        <is>
          <t>VÄRMLANDS LÄN</t>
        </is>
      </c>
      <c r="G371" t="inlineStr">
        <is>
          <t>KARLSTAD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46235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46235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46235</v>
      </c>
      <c r="F374" t="inlineStr">
        <is>
          <t>VÄRMLANDS LÄN</t>
        </is>
      </c>
      <c r="G374" t="inlineStr">
        <is>
          <t>KARLSTAD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46235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46235</v>
      </c>
      <c r="F376" t="inlineStr">
        <is>
          <t>VÄRMLANDS LÄN</t>
        </is>
      </c>
      <c r="G376" t="inlineStr">
        <is>
          <t>KARLSTAD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46235</v>
      </c>
      <c r="F377" t="inlineStr">
        <is>
          <t>VÄRMLANDS LÄN</t>
        </is>
      </c>
      <c r="G377" t="inlineStr">
        <is>
          <t>KARLSTAD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46235</v>
      </c>
      <c r="F378" t="inlineStr">
        <is>
          <t>VÄRMLANDS LÄN</t>
        </is>
      </c>
      <c r="G378" t="inlineStr">
        <is>
          <t>KARLSTAD</t>
        </is>
      </c>
      <c r="H378" t="inlineStr">
        <is>
          <t>Kyrkan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46235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46235</v>
      </c>
      <c r="F380" t="inlineStr">
        <is>
          <t>VÄRMLANDS LÄN</t>
        </is>
      </c>
      <c r="G380" t="inlineStr">
        <is>
          <t>KARLSTAD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46235</v>
      </c>
      <c r="F381" t="inlineStr">
        <is>
          <t>VÄRMLANDS LÄN</t>
        </is>
      </c>
      <c r="G381" t="inlineStr">
        <is>
          <t>KARLSTAD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46220</v>
      </c>
      <c r="E382" s="1" t="n">
        <v>46235</v>
      </c>
      <c r="F382" t="inlineStr">
        <is>
          <t>VÄRMLANDS LÄN</t>
        </is>
      </c>
      <c r="G382" t="inlineStr">
        <is>
          <t>KARLSTAD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46235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46220</v>
      </c>
      <c r="E384" s="1" t="n">
        <v>46235</v>
      </c>
      <c r="F384" t="inlineStr">
        <is>
          <t>VÄRMLANDS LÄN</t>
        </is>
      </c>
      <c r="G384" t="inlineStr">
        <is>
          <t>KARLSTAD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45020</v>
      </c>
      <c r="E385" s="1" t="n">
        <v>46235</v>
      </c>
      <c r="F385" t="inlineStr">
        <is>
          <t>VÄRMLANDS LÄN</t>
        </is>
      </c>
      <c r="G385" t="inlineStr">
        <is>
          <t>KARLSTAD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46235</v>
      </c>
      <c r="F386" t="inlineStr">
        <is>
          <t>VÄRMLANDS LÄN</t>
        </is>
      </c>
      <c r="G386" t="inlineStr">
        <is>
          <t>KARLSTAD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46235</v>
      </c>
      <c r="F387" t="inlineStr">
        <is>
          <t>VÄRMLANDS LÄN</t>
        </is>
      </c>
      <c r="G387" t="inlineStr">
        <is>
          <t>KARLSTAD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31391-2026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46220</v>
      </c>
      <c r="E388" s="1" t="n">
        <v>46235</v>
      </c>
      <c r="F388" t="inlineStr">
        <is>
          <t>VÄRMLANDS LÄN</t>
        </is>
      </c>
      <c r="G388" t="inlineStr">
        <is>
          <t>KARLSTAD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46220</v>
      </c>
      <c r="E389" s="1" t="n">
        <v>46235</v>
      </c>
      <c r="F389" t="inlineStr">
        <is>
          <t>VÄRMLANDS LÄN</t>
        </is>
      </c>
      <c r="G389" t="inlineStr">
        <is>
          <t>KARLSTAD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31430-2026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46220</v>
      </c>
      <c r="E390" s="1" t="n">
        <v>46235</v>
      </c>
      <c r="F390" t="inlineStr">
        <is>
          <t>VÄRMLANDS LÄN</t>
        </is>
      </c>
      <c r="G390" t="inlineStr">
        <is>
          <t>KARLSTAD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46220</v>
      </c>
      <c r="E391" s="1" t="n">
        <v>46235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46235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46235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46222</v>
      </c>
      <c r="E394" s="1" t="n">
        <v>46235</v>
      </c>
      <c r="F394" t="inlineStr">
        <is>
          <t>VÄRMLANDS LÄN</t>
        </is>
      </c>
      <c r="G394" t="inlineStr">
        <is>
          <t>KARLSTAD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46222</v>
      </c>
      <c r="E395" s="1" t="n">
        <v>46235</v>
      </c>
      <c r="F395" t="inlineStr">
        <is>
          <t>VÄRMLANDS LÄN</t>
        </is>
      </c>
      <c r="G395" t="inlineStr">
        <is>
          <t>KARLSTAD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46235</v>
      </c>
      <c r="F396" t="inlineStr">
        <is>
          <t>VÄRMLANDS LÄN</t>
        </is>
      </c>
      <c r="G396" t="inlineStr">
        <is>
          <t>KARLSTAD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68011-2021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46235</v>
      </c>
      <c r="F397" t="inlineStr">
        <is>
          <t>VÄRMLANDS LÄN</t>
        </is>
      </c>
      <c r="G397" t="inlineStr">
        <is>
          <t>KARLSTAD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46235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45565</v>
      </c>
      <c r="E399" s="1" t="n">
        <v>46235</v>
      </c>
      <c r="F399" t="inlineStr">
        <is>
          <t>VÄRMLANDS LÄN</t>
        </is>
      </c>
      <c r="G399" t="inlineStr">
        <is>
          <t>KARLSTAD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45457</v>
      </c>
      <c r="E400" s="1" t="n">
        <v>46235</v>
      </c>
      <c r="F400" t="inlineStr">
        <is>
          <t>VÄRMLANDS LÄN</t>
        </is>
      </c>
      <c r="G400" t="inlineStr">
        <is>
          <t>KARLSTAD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46235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45306</v>
      </c>
      <c r="E402" s="1" t="n">
        <v>46235</v>
      </c>
      <c r="F402" t="inlineStr">
        <is>
          <t>VÄRMLANDS LÄN</t>
        </is>
      </c>
      <c r="G402" t="inlineStr">
        <is>
          <t>KARLSTAD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46235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46235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46235</v>
      </c>
      <c r="F405" t="inlineStr">
        <is>
          <t>VÄRMLANDS LÄN</t>
        </is>
      </c>
      <c r="G405" t="inlineStr">
        <is>
          <t>KARLSTAD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46222</v>
      </c>
      <c r="E406" s="1" t="n">
        <v>46235</v>
      </c>
      <c r="F406" t="inlineStr">
        <is>
          <t>VÄRMLANDS LÄN</t>
        </is>
      </c>
      <c r="G406" t="inlineStr">
        <is>
          <t>KARLSTAD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46222</v>
      </c>
      <c r="E407" s="1" t="n">
        <v>46235</v>
      </c>
      <c r="F407" t="inlineStr">
        <is>
          <t>VÄRMLANDS LÄN</t>
        </is>
      </c>
      <c r="G407" t="inlineStr">
        <is>
          <t>KARLSTAD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46235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46235</v>
      </c>
      <c r="F409" t="inlineStr">
        <is>
          <t>VÄRMLANDS LÄN</t>
        </is>
      </c>
      <c r="G409" t="inlineStr">
        <is>
          <t>KARLSTAD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46235</v>
      </c>
      <c r="F410" t="inlineStr">
        <is>
          <t>VÄRMLANDS LÄN</t>
        </is>
      </c>
      <c r="G410" t="inlineStr">
        <is>
          <t>KARLSTAD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46222</v>
      </c>
      <c r="E411" s="1" t="n">
        <v>46235</v>
      </c>
      <c r="F411" t="inlineStr">
        <is>
          <t>VÄRMLANDS LÄN</t>
        </is>
      </c>
      <c r="G411" t="inlineStr">
        <is>
          <t>KARLSTAD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46235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46235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45617</v>
      </c>
      <c r="E414" s="1" t="n">
        <v>46235</v>
      </c>
      <c r="F414" t="inlineStr">
        <is>
          <t>VÄRMLANDS LÄN</t>
        </is>
      </c>
      <c r="G414" t="inlineStr">
        <is>
          <t>KARLSTAD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44503</v>
      </c>
      <c r="E415" s="1" t="n">
        <v>46235</v>
      </c>
      <c r="F415" t="inlineStr">
        <is>
          <t>VÄRMLANDS LÄN</t>
        </is>
      </c>
      <c r="G415" t="inlineStr">
        <is>
          <t>KARLSTAD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46235</v>
      </c>
      <c r="F416" t="inlineStr">
        <is>
          <t>VÄRMLANDS LÄN</t>
        </is>
      </c>
      <c r="G416" t="inlineStr">
        <is>
          <t>KARLSTAD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16757-2024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45411</v>
      </c>
      <c r="E417" s="1" t="n">
        <v>46235</v>
      </c>
      <c r="F417" t="inlineStr">
        <is>
          <t>VÄRMLANDS LÄN</t>
        </is>
      </c>
      <c r="G417" t="inlineStr">
        <is>
          <t>KARLSTAD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46235</v>
      </c>
      <c r="F418" t="inlineStr">
        <is>
          <t>VÄRMLANDS LÄN</t>
        </is>
      </c>
      <c r="G418" t="inlineStr">
        <is>
          <t>KARLSTAD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46235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46235</v>
      </c>
      <c r="F420" t="inlineStr">
        <is>
          <t>VÄRMLANDS LÄN</t>
        </is>
      </c>
      <c r="G420" t="inlineStr">
        <is>
          <t>KARLSTAD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46235</v>
      </c>
      <c r="F421" t="inlineStr">
        <is>
          <t>VÄRMLANDS LÄN</t>
        </is>
      </c>
      <c r="G421" t="inlineStr">
        <is>
          <t>KARLSTAD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46235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17.9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54141-2024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45616</v>
      </c>
      <c r="E423" s="1" t="n">
        <v>46235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46235</v>
      </c>
      <c r="F424" t="inlineStr">
        <is>
          <t>VÄRMLANDS LÄN</t>
        </is>
      </c>
      <c r="G424" t="inlineStr">
        <is>
          <t>KARLSTAD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46235</v>
      </c>
      <c r="F425" t="inlineStr">
        <is>
          <t>VÄRMLANDS LÄN</t>
        </is>
      </c>
      <c r="G425" t="inlineStr">
        <is>
          <t>KARLSTAD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46235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44649</v>
      </c>
      <c r="E427" s="1" t="n">
        <v>46235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20.8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12316-2025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45729</v>
      </c>
      <c r="E428" s="1" t="n">
        <v>46235</v>
      </c>
      <c r="F428" t="inlineStr">
        <is>
          <t>VÄRMLANDS LÄN</t>
        </is>
      </c>
      <c r="G428" t="inlineStr">
        <is>
          <t>KARLSTAD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46235</v>
      </c>
      <c r="F429" t="inlineStr">
        <is>
          <t>VÄRMLANDS LÄN</t>
        </is>
      </c>
      <c r="G429" t="inlineStr">
        <is>
          <t>KARLSTAD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46235</v>
      </c>
      <c r="F430" t="inlineStr">
        <is>
          <t>VÄRMLANDS LÄN</t>
        </is>
      </c>
      <c r="G430" t="inlineStr">
        <is>
          <t>KARLSTAD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46235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46235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44566</v>
      </c>
      <c r="E433" s="1" t="n">
        <v>46235</v>
      </c>
      <c r="F433" t="inlineStr">
        <is>
          <t>VÄRMLANDS LÄN</t>
        </is>
      </c>
      <c r="G433" t="inlineStr">
        <is>
          <t>KARLSTAD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45600</v>
      </c>
      <c r="E434" s="1" t="n">
        <v>46235</v>
      </c>
      <c r="F434" t="inlineStr">
        <is>
          <t>VÄRMLANDS LÄN</t>
        </is>
      </c>
      <c r="G434" t="inlineStr">
        <is>
          <t>KARLSTAD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7370-2025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45704</v>
      </c>
      <c r="E435" s="1" t="n">
        <v>46235</v>
      </c>
      <c r="F435" t="inlineStr">
        <is>
          <t>VÄRMLANDS LÄN</t>
        </is>
      </c>
      <c r="G435" t="inlineStr">
        <is>
          <t>KARLSTAD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46235</v>
      </c>
      <c r="F436" t="inlineStr">
        <is>
          <t>VÄRMLANDS LÄN</t>
        </is>
      </c>
      <c r="G436" t="inlineStr">
        <is>
          <t>KARLSTAD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44727</v>
      </c>
      <c r="E437" s="1" t="n">
        <v>46235</v>
      </c>
      <c r="F437" t="inlineStr">
        <is>
          <t>VÄRMLANDS LÄN</t>
        </is>
      </c>
      <c r="G437" t="inlineStr">
        <is>
          <t>KARLSTAD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46235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46235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46235</v>
      </c>
      <c r="F440" t="inlineStr">
        <is>
          <t>VÄRMLANDS LÄN</t>
        </is>
      </c>
      <c r="G440" t="inlineStr">
        <is>
          <t>KARLSTAD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46235</v>
      </c>
      <c r="F441" t="inlineStr">
        <is>
          <t>VÄRMLANDS LÄN</t>
        </is>
      </c>
      <c r="G441" t="inlineStr">
        <is>
          <t>KARLSTAD</t>
        </is>
      </c>
      <c r="H441" t="inlineStr">
        <is>
          <t>Övriga statliga verk och myndigheter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46235</v>
      </c>
      <c r="F442" t="inlineStr">
        <is>
          <t>VÄRMLANDS LÄN</t>
        </is>
      </c>
      <c r="G442" t="inlineStr">
        <is>
          <t>KARLSTAD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46235</v>
      </c>
      <c r="F443" t="inlineStr">
        <is>
          <t>VÄRMLANDS LÄN</t>
        </is>
      </c>
      <c r="G443" t="inlineStr">
        <is>
          <t>KARLSTAD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11342-2026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46082</v>
      </c>
      <c r="E444" s="1" t="n">
        <v>46235</v>
      </c>
      <c r="F444" t="inlineStr">
        <is>
          <t>VÄRMLANDS LÄN</t>
        </is>
      </c>
      <c r="G444" t="inlineStr">
        <is>
          <t>KARLSTAD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46235</v>
      </c>
      <c r="F445" t="inlineStr">
        <is>
          <t>VÄRMLANDS LÄN</t>
        </is>
      </c>
      <c r="G445" t="inlineStr">
        <is>
          <t>KARLSTAD</t>
        </is>
      </c>
      <c r="H445" t="inlineStr">
        <is>
          <t>Övriga Aktiebolag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46967-2023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45201</v>
      </c>
      <c r="E446" s="1" t="n">
        <v>46235</v>
      </c>
      <c r="F446" t="inlineStr">
        <is>
          <t>VÄRMLANDS LÄN</t>
        </is>
      </c>
      <c r="G446" t="inlineStr">
        <is>
          <t>KARLSTAD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44594</v>
      </c>
      <c r="E447" s="1" t="n">
        <v>46235</v>
      </c>
      <c r="F447" t="inlineStr">
        <is>
          <t>VÄRMLANDS LÄN</t>
        </is>
      </c>
      <c r="G447" t="inlineStr">
        <is>
          <t>KARLSTAD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46235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46235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46235</v>
      </c>
      <c r="F450" t="inlineStr">
        <is>
          <t>VÄRMLANDS LÄN</t>
        </is>
      </c>
      <c r="G450" t="inlineStr">
        <is>
          <t>KARLSTAD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44607</v>
      </c>
      <c r="E451" s="1" t="n">
        <v>46235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46235</v>
      </c>
      <c r="F452" t="inlineStr">
        <is>
          <t>VÄRMLANDS LÄN</t>
        </is>
      </c>
      <c r="G452" t="inlineStr">
        <is>
          <t>KARLSTAD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46235</v>
      </c>
      <c r="F453" t="inlineStr">
        <is>
          <t>VÄRMLANDS LÄN</t>
        </is>
      </c>
      <c r="G453" t="inlineStr">
        <is>
          <t>KARLSTAD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46235</v>
      </c>
      <c r="F454" t="inlineStr">
        <is>
          <t>VÄRMLANDS LÄN</t>
        </is>
      </c>
      <c r="G454" t="inlineStr">
        <is>
          <t>KARLSTAD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46086</v>
      </c>
      <c r="E455" s="1" t="n">
        <v>46235</v>
      </c>
      <c r="F455" t="inlineStr">
        <is>
          <t>VÄRMLANDS LÄN</t>
        </is>
      </c>
      <c r="G455" t="inlineStr">
        <is>
          <t>KARLSTAD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44593</v>
      </c>
      <c r="E456" s="1" t="n">
        <v>46235</v>
      </c>
      <c r="F456" t="inlineStr">
        <is>
          <t>VÄRMLANDS LÄN</t>
        </is>
      </c>
      <c r="G456" t="inlineStr">
        <is>
          <t>KARLSTAD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46235</v>
      </c>
      <c r="F457" t="inlineStr">
        <is>
          <t>VÄRMLANDS LÄN</t>
        </is>
      </c>
      <c r="G457" t="inlineStr">
        <is>
          <t>KARLSTAD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46235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46235</v>
      </c>
      <c r="F459" t="inlineStr">
        <is>
          <t>VÄRMLANDS LÄN</t>
        </is>
      </c>
      <c r="G459" t="inlineStr">
        <is>
          <t>KARLSTAD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45386</v>
      </c>
      <c r="E460" s="1" t="n">
        <v>46235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12903-2026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46092</v>
      </c>
      <c r="E461" s="1" t="n">
        <v>46235</v>
      </c>
      <c r="F461" t="inlineStr">
        <is>
          <t>VÄRMLANDS LÄN</t>
        </is>
      </c>
      <c r="G461" t="inlineStr">
        <is>
          <t>KARLSTAD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46235</v>
      </c>
      <c r="F462" t="inlineStr">
        <is>
          <t>VÄRMLANDS LÄN</t>
        </is>
      </c>
      <c r="G462" t="inlineStr">
        <is>
          <t>KARLSTAD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45641</v>
      </c>
      <c r="E463" s="1" t="n">
        <v>46235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45581</v>
      </c>
      <c r="E464" s="1" t="n">
        <v>46235</v>
      </c>
      <c r="F464" t="inlineStr">
        <is>
          <t>VÄRMLANDS LÄN</t>
        </is>
      </c>
      <c r="G464" t="inlineStr">
        <is>
          <t>KARLSTAD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46235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46235</v>
      </c>
      <c r="F466" t="inlineStr">
        <is>
          <t>VÄRMLANDS LÄN</t>
        </is>
      </c>
      <c r="G466" t="inlineStr">
        <is>
          <t>KARLSTAD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46235</v>
      </c>
      <c r="F467" t="inlineStr">
        <is>
          <t>VÄRMLANDS LÄN</t>
        </is>
      </c>
      <c r="G467" t="inlineStr">
        <is>
          <t>KARLSTAD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46235</v>
      </c>
      <c r="F468" t="inlineStr">
        <is>
          <t>VÄRMLANDS LÄN</t>
        </is>
      </c>
      <c r="G468" t="inlineStr">
        <is>
          <t>KARLSTAD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46235</v>
      </c>
      <c r="F469" t="inlineStr">
        <is>
          <t>VÄRMLANDS LÄN</t>
        </is>
      </c>
      <c r="G469" t="inlineStr">
        <is>
          <t>KARLSTAD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45111</v>
      </c>
      <c r="E470" s="1" t="n">
        <v>46235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45734</v>
      </c>
      <c r="E471" s="1" t="n">
        <v>46235</v>
      </c>
      <c r="F471" t="inlineStr">
        <is>
          <t>VÄRMLANDS LÄN</t>
        </is>
      </c>
      <c r="G471" t="inlineStr">
        <is>
          <t>KARLSTAD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45148</v>
      </c>
      <c r="E472" s="1" t="n">
        <v>46235</v>
      </c>
      <c r="F472" t="inlineStr">
        <is>
          <t>VÄRMLANDS LÄN</t>
        </is>
      </c>
      <c r="G472" t="inlineStr">
        <is>
          <t>KARLSTAD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46235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14079-2026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46099</v>
      </c>
      <c r="E474" s="1" t="n">
        <v>46235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46235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46100</v>
      </c>
      <c r="E476" s="1" t="n">
        <v>46235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10.9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45376</v>
      </c>
      <c r="E477" s="1" t="n">
        <v>46235</v>
      </c>
      <c r="F477" t="inlineStr">
        <is>
          <t>VÄRMLANDS LÄN</t>
        </is>
      </c>
      <c r="G477" t="inlineStr">
        <is>
          <t>KARLSTAD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46235</v>
      </c>
      <c r="F478" t="inlineStr">
        <is>
          <t>VÄRMLANDS LÄN</t>
        </is>
      </c>
      <c r="G478" t="inlineStr">
        <is>
          <t>KARLSTAD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14890-2026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46104</v>
      </c>
      <c r="E479" s="1" t="n">
        <v>46235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46235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46235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46235</v>
      </c>
      <c r="F482" t="inlineStr">
        <is>
          <t>VÄRMLANDS LÄN</t>
        </is>
      </c>
      <c r="G482" t="inlineStr">
        <is>
          <t>KARLSTAD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46235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45767</v>
      </c>
      <c r="E484" s="1" t="n">
        <v>46235</v>
      </c>
      <c r="F484" t="inlineStr">
        <is>
          <t>VÄRMLANDS LÄN</t>
        </is>
      </c>
      <c r="G484" t="inlineStr">
        <is>
          <t>KARLSTAD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46235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15772-2026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46107</v>
      </c>
      <c r="E486" s="1" t="n">
        <v>46235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45432</v>
      </c>
      <c r="E487" s="1" t="n">
        <v>46235</v>
      </c>
      <c r="F487" t="inlineStr">
        <is>
          <t>VÄRMLANDS LÄN</t>
        </is>
      </c>
      <c r="G487" t="inlineStr">
        <is>
          <t>KARLSTAD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46235</v>
      </c>
      <c r="F488" t="inlineStr">
        <is>
          <t>VÄRMLANDS LÄN</t>
        </is>
      </c>
      <c r="G488" t="inlineStr">
        <is>
          <t>KARLSTAD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55764-2022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44888</v>
      </c>
      <c r="E489" s="1" t="n">
        <v>46235</v>
      </c>
      <c r="F489" t="inlineStr">
        <is>
          <t>VÄRMLANDS LÄN</t>
        </is>
      </c>
      <c r="G489" t="inlineStr">
        <is>
          <t>KARLSTAD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  <c r="Z489">
        <f>HYPERLINK("https://klasma.github.io/Logging_1780/knärot/A 55764-2022 karta knärot.png", "A 55764-2022")</f>
        <v/>
      </c>
      <c r="AA489">
        <f>HYPERLINK("https://klasma.github.io/Logging_1780/klagomål/A 55764-2022 FSC-klagomål.docx", "A 55764-2022")</f>
        <v/>
      </c>
      <c r="AB489">
        <f>HYPERLINK("https://klasma.github.io/Logging_1780/klagomålsmail/A 55764-2022 FSC-klagomål mail.docx", "A 55764-2022")</f>
        <v/>
      </c>
      <c r="AC489">
        <f>HYPERLINK("https://klasma.github.io/Logging_1780/tillsyn/A 55764-2022 tillsynsbegäran.docx", "A 55764-2022")</f>
        <v/>
      </c>
      <c r="AD489">
        <f>HYPERLINK("https://klasma.github.io/Logging_1780/tillsynsmail/A 55764-2022 tillsynsbegäran mail.docx", "A 55764-2022")</f>
        <v/>
      </c>
    </row>
    <row r="490" ht="15" customHeight="1">
      <c r="A490" t="inlineStr">
        <is>
          <t>A 61009-2023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46235</v>
      </c>
      <c r="F490" t="inlineStr">
        <is>
          <t>VÄRMLANDS LÄN</t>
        </is>
      </c>
      <c r="G490" t="inlineStr">
        <is>
          <t>KARLSTAD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45300</v>
      </c>
      <c r="E491" s="1" t="n">
        <v>46235</v>
      </c>
      <c r="F491" t="inlineStr">
        <is>
          <t>VÄRMLANDS LÄN</t>
        </is>
      </c>
      <c r="G491" t="inlineStr">
        <is>
          <t>KARLSTAD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46235</v>
      </c>
      <c r="F492" t="inlineStr">
        <is>
          <t>VÄRMLANDS LÄN</t>
        </is>
      </c>
      <c r="G492" t="inlineStr">
        <is>
          <t>KARLSTAD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46235</v>
      </c>
      <c r="F493" t="inlineStr">
        <is>
          <t>VÄRMLANDS LÄN</t>
        </is>
      </c>
      <c r="G493" t="inlineStr">
        <is>
          <t>KARLSTAD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41568-2023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46235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Aktiebolag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46235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45782</v>
      </c>
      <c r="E496" s="1" t="n">
        <v>46235</v>
      </c>
      <c r="F496" t="inlineStr">
        <is>
          <t>VÄRMLANDS LÄN</t>
        </is>
      </c>
      <c r="G496" t="inlineStr">
        <is>
          <t>KARLSTAD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18163-2026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46235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46235</v>
      </c>
      <c r="F498" t="inlineStr">
        <is>
          <t>VÄRMLANDS LÄN</t>
        </is>
      </c>
      <c r="G498" t="inlineStr">
        <is>
          <t>KARLSTAD</t>
        </is>
      </c>
      <c r="I498" t="n">
        <v>22.7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45782</v>
      </c>
      <c r="E499" s="1" t="n">
        <v>46235</v>
      </c>
      <c r="F499" t="inlineStr">
        <is>
          <t>VÄRMLANDS LÄN</t>
        </is>
      </c>
      <c r="G499" t="inlineStr">
        <is>
          <t>KARLSTAD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44715</v>
      </c>
      <c r="E500" s="1" t="n">
        <v>46235</v>
      </c>
      <c r="F500" t="inlineStr">
        <is>
          <t>VÄRMLANDS LÄN</t>
        </is>
      </c>
      <c r="G500" t="inlineStr">
        <is>
          <t>KARLSTAD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46235</v>
      </c>
      <c r="F501" t="inlineStr">
        <is>
          <t>VÄRMLANDS LÄN</t>
        </is>
      </c>
      <c r="G501" t="inlineStr">
        <is>
          <t>KARLSTAD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46235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21849-2025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46235</v>
      </c>
      <c r="F503" t="inlineStr">
        <is>
          <t>VÄRMLANDS LÄN</t>
        </is>
      </c>
      <c r="G503" t="inlineStr">
        <is>
          <t>KARLSTAD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46235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45322</v>
      </c>
      <c r="E505" s="1" t="n">
        <v>46235</v>
      </c>
      <c r="F505" t="inlineStr">
        <is>
          <t>VÄRMLANDS LÄN</t>
        </is>
      </c>
      <c r="G505" t="inlineStr">
        <is>
          <t>KARLSTAD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46235</v>
      </c>
      <c r="F506" t="inlineStr">
        <is>
          <t>VÄRMLANDS LÄN</t>
        </is>
      </c>
      <c r="G506" t="inlineStr">
        <is>
          <t>KARLSTAD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46235</v>
      </c>
      <c r="F507" t="inlineStr">
        <is>
          <t>VÄRMLANDS LÄN</t>
        </is>
      </c>
      <c r="G507" t="inlineStr">
        <is>
          <t>KARLSTAD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46235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46235</v>
      </c>
      <c r="F509" t="inlineStr">
        <is>
          <t>VÄRMLANDS LÄN</t>
        </is>
      </c>
      <c r="G509" t="inlineStr">
        <is>
          <t>KARLSTAD</t>
        </is>
      </c>
      <c r="I509" t="n">
        <v>21.7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65085-2023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46235</v>
      </c>
      <c r="F510" t="inlineStr">
        <is>
          <t>VÄRMLANDS LÄN</t>
        </is>
      </c>
      <c r="G510" t="inlineStr">
        <is>
          <t>KARLSTAD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45713</v>
      </c>
      <c r="E511" s="1" t="n">
        <v>46235</v>
      </c>
      <c r="F511" t="inlineStr">
        <is>
          <t>VÄRMLANDS LÄN</t>
        </is>
      </c>
      <c r="G511" t="inlineStr">
        <is>
          <t>KARLSTAD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45553</v>
      </c>
      <c r="E512" s="1" t="n">
        <v>46235</v>
      </c>
      <c r="F512" t="inlineStr">
        <is>
          <t>VÄRMLANDS LÄN</t>
        </is>
      </c>
      <c r="G512" t="inlineStr">
        <is>
          <t>KARLSTAD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46235</v>
      </c>
      <c r="F513" t="inlineStr">
        <is>
          <t>VÄRMLANDS LÄN</t>
        </is>
      </c>
      <c r="G513" t="inlineStr">
        <is>
          <t>KARLSTAD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46235</v>
      </c>
      <c r="F514" t="inlineStr">
        <is>
          <t>VÄRMLANDS LÄN</t>
        </is>
      </c>
      <c r="G514" t="inlineStr">
        <is>
          <t>KARLSTAD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29655-2022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44754</v>
      </c>
      <c r="E515" s="1" t="n">
        <v>46235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46235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46235</v>
      </c>
      <c r="F517" t="inlineStr">
        <is>
          <t>VÄRMLANDS LÄN</t>
        </is>
      </c>
      <c r="G517" t="inlineStr">
        <is>
          <t>KARLSTAD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46235</v>
      </c>
      <c r="F518" t="inlineStr">
        <is>
          <t>VÄRMLANDS LÄN</t>
        </is>
      </c>
      <c r="G518" t="inlineStr">
        <is>
          <t>KARLSTAD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44937</v>
      </c>
      <c r="E519" s="1" t="n">
        <v>46235</v>
      </c>
      <c r="F519" t="inlineStr">
        <is>
          <t>VÄRMLANDS LÄN</t>
        </is>
      </c>
      <c r="G519" t="inlineStr">
        <is>
          <t>KARLSTAD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45755</v>
      </c>
      <c r="E520" s="1" t="n">
        <v>46235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46235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45908</v>
      </c>
      <c r="E522" s="1" t="n">
        <v>46235</v>
      </c>
      <c r="F522" t="inlineStr">
        <is>
          <t>VÄRMLANDS LÄN</t>
        </is>
      </c>
      <c r="G522" t="inlineStr">
        <is>
          <t>KARLSTAD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46235</v>
      </c>
      <c r="F523" t="inlineStr">
        <is>
          <t>VÄRMLANDS LÄN</t>
        </is>
      </c>
      <c r="G523" t="inlineStr">
        <is>
          <t>KARLSTAD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46235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46235</v>
      </c>
      <c r="F525" t="inlineStr">
        <is>
          <t>VÄRMLANDS LÄN</t>
        </is>
      </c>
      <c r="G525" t="inlineStr">
        <is>
          <t>KARLSTAD</t>
        </is>
      </c>
      <c r="H525" t="inlineStr">
        <is>
          <t>Bergvik skog väst AB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46235</v>
      </c>
      <c r="F526" t="inlineStr">
        <is>
          <t>VÄRMLANDS LÄN</t>
        </is>
      </c>
      <c r="G526" t="inlineStr">
        <is>
          <t>KARLSTAD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46235</v>
      </c>
      <c r="F527" t="inlineStr">
        <is>
          <t>VÄRMLANDS LÄN</t>
        </is>
      </c>
      <c r="G527" t="inlineStr">
        <is>
          <t>KARLSTAD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45466</v>
      </c>
      <c r="E528" s="1" t="n">
        <v>46235</v>
      </c>
      <c r="F528" t="inlineStr">
        <is>
          <t>VÄRMLANDS LÄN</t>
        </is>
      </c>
      <c r="G528" t="inlineStr">
        <is>
          <t>KARLSTAD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45824</v>
      </c>
      <c r="E529" s="1" t="n">
        <v>46235</v>
      </c>
      <c r="F529" t="inlineStr">
        <is>
          <t>VÄRMLANDS LÄN</t>
        </is>
      </c>
      <c r="G529" t="inlineStr">
        <is>
          <t>KARLSTAD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46235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46235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45877</v>
      </c>
      <c r="E532" s="1" t="n">
        <v>46235</v>
      </c>
      <c r="F532" t="inlineStr">
        <is>
          <t>VÄRMLANDS LÄN</t>
        </is>
      </c>
      <c r="G532" t="inlineStr">
        <is>
          <t>KARLSTAD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45487</v>
      </c>
      <c r="E533" s="1" t="n">
        <v>46235</v>
      </c>
      <c r="F533" t="inlineStr">
        <is>
          <t>VÄRMLANDS LÄN</t>
        </is>
      </c>
      <c r="G533" t="inlineStr">
        <is>
          <t>KARLSTAD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45904</v>
      </c>
      <c r="E534" s="1" t="n">
        <v>46235</v>
      </c>
      <c r="F534" t="inlineStr">
        <is>
          <t>VÄRMLANDS LÄN</t>
        </is>
      </c>
      <c r="G534" t="inlineStr">
        <is>
          <t>KARLSTAD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46235</v>
      </c>
      <c r="F535" t="inlineStr">
        <is>
          <t>VÄRMLANDS LÄN</t>
        </is>
      </c>
      <c r="G535" t="inlineStr">
        <is>
          <t>KARLSTAD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46235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46235</v>
      </c>
      <c r="F537" t="inlineStr">
        <is>
          <t>VÄRMLANDS LÄN</t>
        </is>
      </c>
      <c r="G537" t="inlineStr">
        <is>
          <t>KARLSTAD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45751</v>
      </c>
      <c r="E538" s="1" t="n">
        <v>46235</v>
      </c>
      <c r="F538" t="inlineStr">
        <is>
          <t>VÄRMLANDS LÄN</t>
        </is>
      </c>
      <c r="G538" t="inlineStr">
        <is>
          <t>KARLSTAD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72072-2021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44544</v>
      </c>
      <c r="E539" s="1" t="n">
        <v>46235</v>
      </c>
      <c r="F539" t="inlineStr">
        <is>
          <t>VÄRMLANDS LÄN</t>
        </is>
      </c>
      <c r="G539" t="inlineStr">
        <is>
          <t>KARLSTAD</t>
        </is>
      </c>
      <c r="H539" t="inlineStr">
        <is>
          <t>Kommuner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46235</v>
      </c>
      <c r="F540" t="inlineStr">
        <is>
          <t>VÄRMLANDS LÄN</t>
        </is>
      </c>
      <c r="G540" t="inlineStr">
        <is>
          <t>KARLSTAD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46235</v>
      </c>
      <c r="F541" t="inlineStr">
        <is>
          <t>VÄRMLANDS LÄN</t>
        </is>
      </c>
      <c r="G541" t="inlineStr">
        <is>
          <t>KARLSTAD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46235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44904</v>
      </c>
      <c r="E543" s="1" t="n">
        <v>46235</v>
      </c>
      <c r="F543" t="inlineStr">
        <is>
          <t>VÄRMLANDS LÄN</t>
        </is>
      </c>
      <c r="G543" t="inlineStr">
        <is>
          <t>KARLSTAD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46235</v>
      </c>
      <c r="F544" t="inlineStr">
        <is>
          <t>VÄRMLANDS LÄN</t>
        </is>
      </c>
      <c r="G544" t="inlineStr">
        <is>
          <t>KARLSTAD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46235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46235</v>
      </c>
      <c r="F546" t="inlineStr">
        <is>
          <t>VÄRMLANDS LÄN</t>
        </is>
      </c>
      <c r="G546" t="inlineStr">
        <is>
          <t>KARLSTAD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44876</v>
      </c>
      <c r="E547" s="1" t="n">
        <v>46235</v>
      </c>
      <c r="F547" t="inlineStr">
        <is>
          <t>VÄRMLANDS LÄN</t>
        </is>
      </c>
      <c r="G547" t="inlineStr">
        <is>
          <t>KARLSTAD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45642</v>
      </c>
      <c r="E548" s="1" t="n">
        <v>46235</v>
      </c>
      <c r="F548" t="inlineStr">
        <is>
          <t>VÄRMLANDS LÄN</t>
        </is>
      </c>
      <c r="G548" t="inlineStr">
        <is>
          <t>KARLSTAD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46235</v>
      </c>
      <c r="F549" t="inlineStr">
        <is>
          <t>VÄRMLANDS LÄN</t>
        </is>
      </c>
      <c r="G549" t="inlineStr">
        <is>
          <t>KARLSTAD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46235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46235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46235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45044</v>
      </c>
      <c r="E553" s="1" t="n">
        <v>46235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46235</v>
      </c>
      <c r="F554" t="inlineStr">
        <is>
          <t>VÄRMLANDS LÄN</t>
        </is>
      </c>
      <c r="G554" t="inlineStr">
        <is>
          <t>KARLSTAD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46235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45720</v>
      </c>
      <c r="E556" s="1" t="n">
        <v>46235</v>
      </c>
      <c r="F556" t="inlineStr">
        <is>
          <t>VÄRMLANDS LÄN</t>
        </is>
      </c>
      <c r="G556" t="inlineStr">
        <is>
          <t>KARLSTAD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41514-2024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45560</v>
      </c>
      <c r="E557" s="1" t="n">
        <v>46235</v>
      </c>
      <c r="F557" t="inlineStr">
        <is>
          <t>VÄRMLANDS LÄN</t>
        </is>
      </c>
      <c r="G557" t="inlineStr">
        <is>
          <t>KARLSTAD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45405</v>
      </c>
      <c r="E558" s="1" t="n">
        <v>46235</v>
      </c>
      <c r="F558" t="inlineStr">
        <is>
          <t>VÄRMLANDS LÄN</t>
        </is>
      </c>
      <c r="G558" t="inlineStr">
        <is>
          <t>KARLSTAD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26861-2025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45810</v>
      </c>
      <c r="E559" s="1" t="n">
        <v>46235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46235</v>
      </c>
      <c r="F560" t="inlineStr">
        <is>
          <t>VÄRMLANDS LÄN</t>
        </is>
      </c>
      <c r="G560" t="inlineStr">
        <is>
          <t>KARLSTAD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46235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46235</v>
      </c>
      <c r="F562" t="inlineStr">
        <is>
          <t>VÄRMLANDS LÄN</t>
        </is>
      </c>
      <c r="G562" t="inlineStr">
        <is>
          <t>KARLSTAD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46235</v>
      </c>
      <c r="F563" t="inlineStr">
        <is>
          <t>VÄRMLANDS LÄN</t>
        </is>
      </c>
      <c r="G563" t="inlineStr">
        <is>
          <t>KARLSTAD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46235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46235</v>
      </c>
      <c r="F565" t="inlineStr">
        <is>
          <t>VÄRMLANDS LÄN</t>
        </is>
      </c>
      <c r="G565" t="inlineStr">
        <is>
          <t>KARLSTAD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46235</v>
      </c>
      <c r="F566" t="inlineStr">
        <is>
          <t>VÄRMLANDS LÄN</t>
        </is>
      </c>
      <c r="G566" t="inlineStr">
        <is>
          <t>KARLSTAD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46235</v>
      </c>
      <c r="F567" t="inlineStr">
        <is>
          <t>VÄRMLANDS LÄN</t>
        </is>
      </c>
      <c r="G567" t="inlineStr">
        <is>
          <t>KARLSTAD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46235</v>
      </c>
      <c r="F568" t="inlineStr">
        <is>
          <t>VÄRMLANDS LÄN</t>
        </is>
      </c>
      <c r="G568" t="inlineStr">
        <is>
          <t>KARLSTAD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45822</v>
      </c>
      <c r="E569" s="1" t="n">
        <v>46235</v>
      </c>
      <c r="F569" t="inlineStr">
        <is>
          <t>VÄRMLANDS LÄN</t>
        </is>
      </c>
      <c r="G569" t="inlineStr">
        <is>
          <t>KARLSTAD</t>
        </is>
      </c>
      <c r="I569" t="n">
        <v>23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45833</v>
      </c>
      <c r="E570" s="1" t="n">
        <v>46235</v>
      </c>
      <c r="F570" t="inlineStr">
        <is>
          <t>VÄRMLANDS LÄN</t>
        </is>
      </c>
      <c r="G570" t="inlineStr">
        <is>
          <t>KARLSTAD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45834</v>
      </c>
      <c r="E571" s="1" t="n">
        <v>46235</v>
      </c>
      <c r="F571" t="inlineStr">
        <is>
          <t>VÄRMLANDS LÄN</t>
        </is>
      </c>
      <c r="G571" t="inlineStr">
        <is>
          <t>KARLSTAD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46235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46235</v>
      </c>
      <c r="F573" t="inlineStr">
        <is>
          <t>VÄRMLANDS LÄN</t>
        </is>
      </c>
      <c r="G573" t="inlineStr">
        <is>
          <t>KARLSTAD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46235</v>
      </c>
      <c r="F574" t="inlineStr">
        <is>
          <t>VÄRMLANDS LÄN</t>
        </is>
      </c>
      <c r="G574" t="inlineStr">
        <is>
          <t>KARLSTAD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22242-2025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46235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45880</v>
      </c>
      <c r="E576" s="1" t="n">
        <v>46235</v>
      </c>
      <c r="F576" t="inlineStr">
        <is>
          <t>VÄRMLANDS LÄN</t>
        </is>
      </c>
      <c r="G576" t="inlineStr">
        <is>
          <t>KARLSTAD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45880</v>
      </c>
      <c r="E577" s="1" t="n">
        <v>46235</v>
      </c>
      <c r="F577" t="inlineStr">
        <is>
          <t>VÄRMLANDS LÄN</t>
        </is>
      </c>
      <c r="G577" t="inlineStr">
        <is>
          <t>KARLSTAD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37932-2025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45881</v>
      </c>
      <c r="E578" s="1" t="n">
        <v>46235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46235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46235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46235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46235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46235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46235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46235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46235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46235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46235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46235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46235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46235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46235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46235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46235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46235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2026-08-01T01:49:42Z</dcterms:created>
  <dcterms:modified xmlns:dcterms="http://purl.org/dc/terms/" xmlns:xsi="http://www.w3.org/2001/XMLSchema-instance" xsi:type="dcterms:W3CDTF">2026-08-01T01:49:42Z</dcterms:modified>
</cp:coreProperties>
</file>