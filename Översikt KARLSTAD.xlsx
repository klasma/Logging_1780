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s="2" t="inlineStr">
        <is>
          <t>Grangråticka
Taggfingersvamp
Dofttaggsvamp
Fjällig taggsvamp s.str.
Skarp dropptaggsvamp
Rödgul trumpetsvamp
Zontaggsvamp
Äkta lopplummer</t>
        </is>
      </c>
      <c r="V6">
        <f>HYPERLINK("https://klasma.github.io/Logging_1780/artfynd/A 44469-2022 artfynd.xlsx", "A 44469-2022")</f>
        <v/>
      </c>
      <c r="W6">
        <f>HYPERLINK("https://klasma.github.io/Logging_1780/kartor/A 44469-2022 karta.png", "A 44469-2022")</f>
        <v/>
      </c>
      <c r="Y6">
        <f>HYPERLINK("https://klasma.github.io/Logging_1780/klagomål/A 44469-2022 FSC-klagomål.docx", "A 44469-2022")</f>
        <v/>
      </c>
      <c r="Z6">
        <f>HYPERLINK("https://klasma.github.io/Logging_1780/klagomålsmail/A 44469-2022 FSC-klagomål mail.docx", "A 44469-2022")</f>
        <v/>
      </c>
      <c r="AA6">
        <f>HYPERLINK("https://klasma.github.io/Logging_1780/tillsyn/A 44469-2022 tillsynsbegäran.docx", "A 44469-2022")</f>
        <v/>
      </c>
      <c r="AB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s="2" t="inlineStr">
        <is>
          <t>Gullpudra
Storgröe
Bågpraktmossa
Hasselticka
Skogshakmossa
Strutbräken
Trubbfjädermossa
Blåsippa</t>
        </is>
      </c>
      <c r="V7">
        <f>HYPERLINK("https://klasma.github.io/Logging_1780/artfynd/A 51885-2024 artfynd.xlsx", "A 51885-2024")</f>
        <v/>
      </c>
      <c r="W7">
        <f>HYPERLINK("https://klasma.github.io/Logging_1780/kartor/A 51885-2024 karta.png", "A 51885-2024")</f>
        <v/>
      </c>
      <c r="Y7">
        <f>HYPERLINK("https://klasma.github.io/Logging_1780/klagomål/A 51885-2024 FSC-klagomål.docx", "A 51885-2024")</f>
        <v/>
      </c>
      <c r="Z7">
        <f>HYPERLINK("https://klasma.github.io/Logging_1780/klagomålsmail/A 51885-2024 FSC-klagomål mail.docx", "A 51885-2024")</f>
        <v/>
      </c>
      <c r="AA7">
        <f>HYPERLINK("https://klasma.github.io/Logging_1780/tillsyn/A 51885-2024 tillsynsbegäran.docx", "A 51885-2024")</f>
        <v/>
      </c>
      <c r="AB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46221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s="2" t="inlineStr">
        <is>
          <t>Motaggsvamp
Talltita
Mindre märgborre
Vågbandad barkbock
Kötticka
Tjäder</t>
        </is>
      </c>
      <c r="V8">
        <f>HYPERLINK("https://klasma.github.io/Logging_1780/artfynd/A 41565-2023 artfynd.xlsx", "A 41565-2023")</f>
        <v/>
      </c>
      <c r="W8">
        <f>HYPERLINK("https://klasma.github.io/Logging_1780/kartor/A 41565-2023 karta.png", "A 41565-2023")</f>
        <v/>
      </c>
      <c r="Y8">
        <f>HYPERLINK("https://klasma.github.io/Logging_1780/klagomål/A 41565-2023 FSC-klagomål.docx", "A 41565-2023")</f>
        <v/>
      </c>
      <c r="Z8">
        <f>HYPERLINK("https://klasma.github.io/Logging_1780/klagomålsmail/A 41565-2023 FSC-klagomål mail.docx", "A 41565-2023")</f>
        <v/>
      </c>
      <c r="AA8">
        <f>HYPERLINK("https://klasma.github.io/Logging_1780/tillsyn/A 41565-2023 tillsynsbegäran.docx", "A 41565-2023")</f>
        <v/>
      </c>
      <c r="AB8">
        <f>HYPERLINK("https://klasma.github.io/Logging_1780/tillsynsmail/A 41565-2023 tillsynsbegäran mail.docx", "A 41565-2023")</f>
        <v/>
      </c>
      <c r="AC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46221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Y9">
        <f>HYPERLINK("https://klasma.github.io/Logging_1780/klagomål/A 46895-2024 FSC-klagomål.docx", "A 46895-2024")</f>
        <v/>
      </c>
      <c r="Z9">
        <f>HYPERLINK("https://klasma.github.io/Logging_1780/klagomålsmail/A 46895-2024 FSC-klagomål mail.docx", "A 46895-2024")</f>
        <v/>
      </c>
      <c r="AA9">
        <f>HYPERLINK("https://klasma.github.io/Logging_1780/tillsyn/A 46895-2024 tillsynsbegäran.docx", "A 46895-2024")</f>
        <v/>
      </c>
      <c r="AB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46221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s="2" t="inlineStr">
        <is>
          <t>Skrovellav
Bårdlav
Fällmossa
Guldlockmossa
Klippfrullania
Platt fjädermossa</t>
        </is>
      </c>
      <c r="V10">
        <f>HYPERLINK("https://klasma.github.io/Logging_1780/artfynd/A 49127-2022 artfynd.xlsx", "A 49127-2022")</f>
        <v/>
      </c>
      <c r="W10">
        <f>HYPERLINK("https://klasma.github.io/Logging_1780/kartor/A 49127-2022 karta.png", "A 49127-2022")</f>
        <v/>
      </c>
      <c r="Y10">
        <f>HYPERLINK("https://klasma.github.io/Logging_1780/klagomål/A 49127-2022 FSC-klagomål.docx", "A 49127-2022")</f>
        <v/>
      </c>
      <c r="Z10">
        <f>HYPERLINK("https://klasma.github.io/Logging_1780/klagomålsmail/A 49127-2022 FSC-klagomål mail.docx", "A 49127-2022")</f>
        <v/>
      </c>
      <c r="AA10">
        <f>HYPERLINK("https://klasma.github.io/Logging_1780/tillsyn/A 49127-2022 tillsynsbegäran.docx", "A 49127-2022")</f>
        <v/>
      </c>
      <c r="AB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Gullpudra
Grönpyrola
Svart trolldruva
Blåsippa
Revlummer</t>
        </is>
      </c>
      <c r="V11">
        <f>HYPERLINK("https://klasma.github.io/Logging_1780/artfynd/A 5148-2026 artfynd.xlsx", "A 5148-2026")</f>
        <v/>
      </c>
      <c r="W11">
        <f>HYPERLINK("https://klasma.github.io/Logging_1780/kartor/A 5148-2026 karta.png", "A 5148-2026")</f>
        <v/>
      </c>
      <c r="Y11">
        <f>HYPERLINK("https://klasma.github.io/Logging_1780/klagomål/A 5148-2026 FSC-klagomål.docx", "A 5148-2026")</f>
        <v/>
      </c>
      <c r="Z11">
        <f>HYPERLINK("https://klasma.github.io/Logging_1780/klagomålsmail/A 5148-2026 FSC-klagomål mail.docx", "A 5148-2026")</f>
        <v/>
      </c>
      <c r="AA11">
        <f>HYPERLINK("https://klasma.github.io/Logging_1780/tillsyn/A 5148-2026 tillsynsbegäran.docx", "A 5148-2026")</f>
        <v/>
      </c>
      <c r="AB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46221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Y12">
        <f>HYPERLINK("https://klasma.github.io/Logging_1780/klagomål/A 11927-2022 FSC-klagomål.docx", "A 11927-2022")</f>
        <v/>
      </c>
      <c r="Z12">
        <f>HYPERLINK("https://klasma.github.io/Logging_1780/klagomålsmail/A 11927-2022 FSC-klagomål mail.docx", "A 11927-2022")</f>
        <v/>
      </c>
      <c r="AA12">
        <f>HYPERLINK("https://klasma.github.io/Logging_1780/tillsyn/A 11927-2022 tillsynsbegäran.docx", "A 11927-2022")</f>
        <v/>
      </c>
      <c r="AB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46221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s="2" t="inlineStr">
        <is>
          <t>Violettkantad guldvinge
Mindre hackspett
Ängsmetallvinge
Gröngöling
Fläcknycklar</t>
        </is>
      </c>
      <c r="V13">
        <f>HYPERLINK("https://klasma.github.io/Logging_1780/artfynd/A 47561-2023 artfynd.xlsx", "A 47561-2023")</f>
        <v/>
      </c>
      <c r="W13">
        <f>HYPERLINK("https://klasma.github.io/Logging_1780/kartor/A 47561-2023 karta.png", "A 47561-2023")</f>
        <v/>
      </c>
      <c r="Y13">
        <f>HYPERLINK("https://klasma.github.io/Logging_1780/klagomål/A 47561-2023 FSC-klagomål.docx", "A 47561-2023")</f>
        <v/>
      </c>
      <c r="Z13">
        <f>HYPERLINK("https://klasma.github.io/Logging_1780/klagomålsmail/A 47561-2023 FSC-klagomål mail.docx", "A 47561-2023")</f>
        <v/>
      </c>
      <c r="AA13">
        <f>HYPERLINK("https://klasma.github.io/Logging_1780/tillsyn/A 47561-2023 tillsynsbegäran.docx", "A 47561-2023")</f>
        <v/>
      </c>
      <c r="AB13">
        <f>HYPERLINK("https://klasma.github.io/Logging_1780/tillsynsmail/A 47561-2023 tillsynsbegäran mail.docx", "A 47561-2023")</f>
        <v/>
      </c>
      <c r="AC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46221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46221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Y17">
        <f>HYPERLINK("https://klasma.github.io/Logging_1780/klagomål/A 31151-2022 FSC-klagomål.docx", "A 31151-2022")</f>
        <v/>
      </c>
      <c r="Z17">
        <f>HYPERLINK("https://klasma.github.io/Logging_1780/klagomålsmail/A 31151-2022 FSC-klagomål mail.docx", "A 31151-2022")</f>
        <v/>
      </c>
      <c r="AA17">
        <f>HYPERLINK("https://klasma.github.io/Logging_1780/tillsyn/A 31151-2022 tillsynsbegäran.docx", "A 31151-2022")</f>
        <v/>
      </c>
      <c r="AB17">
        <f>HYPERLINK("https://klasma.github.io/Logging_1780/tillsynsmail/A 31151-2022 tillsynsbegäran mail.docx", "A 31151-2022")</f>
        <v/>
      </c>
      <c r="AC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46221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Y18">
        <f>HYPERLINK("https://klasma.github.io/Logging_1780/klagomål/A 12633-2025 FSC-klagomål.docx", "A 12633-2025")</f>
        <v/>
      </c>
      <c r="Z18">
        <f>HYPERLINK("https://klasma.github.io/Logging_1780/klagomålsmail/A 12633-2025 FSC-klagomål mail.docx", "A 12633-2025")</f>
        <v/>
      </c>
      <c r="AA18">
        <f>HYPERLINK("https://klasma.github.io/Logging_1780/tillsyn/A 12633-2025 tillsynsbegäran.docx", "A 12633-2025")</f>
        <v/>
      </c>
      <c r="AB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46221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Y19">
        <f>HYPERLINK("https://klasma.github.io/Logging_1780/klagomål/A 28090-2026 FSC-klagomål.docx", "A 28090-2026")</f>
        <v/>
      </c>
      <c r="Z19">
        <f>HYPERLINK("https://klasma.github.io/Logging_1780/klagomålsmail/A 28090-2026 FSC-klagomål mail.docx", "A 28090-2026")</f>
        <v/>
      </c>
      <c r="AA19">
        <f>HYPERLINK("https://klasma.github.io/Logging_1780/tillsyn/A 28090-2026 tillsynsbegäran.docx", "A 28090-2026")</f>
        <v/>
      </c>
      <c r="AB19">
        <f>HYPERLINK("https://klasma.github.io/Logging_1780/tillsynsmail/A 28090-2026 tillsynsbegäran mail.docx", "A 28090-2026")</f>
        <v/>
      </c>
      <c r="AC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46221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46221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46221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46221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46221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Pilgrimsfalk
Tofsvipa
Fjällvråk</t>
        </is>
      </c>
      <c r="V24">
        <f>HYPERLINK("https://klasma.github.io/Logging_1780/artfynd/A 63593-2025 artfynd.xlsx", "A 63593-2025")</f>
        <v/>
      </c>
      <c r="W24">
        <f>HYPERLINK("https://klasma.github.io/Logging_1780/kartor/A 63593-2025 karta.png", "A 63593-2025")</f>
        <v/>
      </c>
      <c r="Y24">
        <f>HYPERLINK("https://klasma.github.io/Logging_1780/klagomål/A 63593-2025 FSC-klagomål.docx", "A 63593-2025")</f>
        <v/>
      </c>
      <c r="Z24">
        <f>HYPERLINK("https://klasma.github.io/Logging_1780/klagomålsmail/A 63593-2025 FSC-klagomål mail.docx", "A 63593-2025")</f>
        <v/>
      </c>
      <c r="AA24">
        <f>HYPERLINK("https://klasma.github.io/Logging_1780/tillsyn/A 63593-2025 tillsynsbegäran.docx", "A 63593-2025")</f>
        <v/>
      </c>
      <c r="AB24">
        <f>HYPERLINK("https://klasma.github.io/Logging_1780/tillsynsmail/A 63593-2025 tillsynsbegäran mail.docx", "A 63593-2025")</f>
        <v/>
      </c>
      <c r="AC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46221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Vaddporing
Rödgul trumpetsvamp
Vågbandad barkbock</t>
        </is>
      </c>
      <c r="V25">
        <f>HYPERLINK("https://klasma.github.io/Logging_1780/artfynd/A 14815-2023 artfynd.xlsx", "A 14815-2023")</f>
        <v/>
      </c>
      <c r="W25">
        <f>HYPERLINK("https://klasma.github.io/Logging_1780/kartor/A 14815-2023 karta.png", "A 14815-2023")</f>
        <v/>
      </c>
      <c r="Y25">
        <f>HYPERLINK("https://klasma.github.io/Logging_1780/klagomål/A 14815-2023 FSC-klagomål.docx", "A 14815-2023")</f>
        <v/>
      </c>
      <c r="Z25">
        <f>HYPERLINK("https://klasma.github.io/Logging_1780/klagomålsmail/A 14815-2023 FSC-klagomål mail.docx", "A 14815-2023")</f>
        <v/>
      </c>
      <c r="AA25">
        <f>HYPERLINK("https://klasma.github.io/Logging_1780/tillsyn/A 14815-2023 tillsynsbegäran.docx", "A 14815-2023")</f>
        <v/>
      </c>
      <c r="AB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46221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Gullpudra
Springkorn
Strutbräken</t>
        </is>
      </c>
      <c r="V26">
        <f>HYPERLINK("https://klasma.github.io/Logging_1780/artfynd/A 27982-2026 artfynd.xlsx", "A 27982-2026")</f>
        <v/>
      </c>
      <c r="W26">
        <f>HYPERLINK("https://klasma.github.io/Logging_1780/kartor/A 27982-2026 karta.png", "A 27982-2026")</f>
        <v/>
      </c>
      <c r="Y26">
        <f>HYPERLINK("https://klasma.github.io/Logging_1780/klagomål/A 27982-2026 FSC-klagomål.docx", "A 27982-2026")</f>
        <v/>
      </c>
      <c r="Z26">
        <f>HYPERLINK("https://klasma.github.io/Logging_1780/klagomålsmail/A 27982-2026 FSC-klagomål mail.docx", "A 27982-2026")</f>
        <v/>
      </c>
      <c r="AA26">
        <f>HYPERLINK("https://klasma.github.io/Logging_1780/tillsyn/A 27982-2026 tillsynsbegäran.docx", "A 27982-2026")</f>
        <v/>
      </c>
      <c r="AB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46221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s="2" t="inlineStr">
        <is>
          <t>Motaggsvamp
Tjäder
Tofsmes</t>
        </is>
      </c>
      <c r="V27">
        <f>HYPERLINK("https://klasma.github.io/Logging_1780/artfynd/A 41534-2023 artfynd.xlsx", "A 41534-2023")</f>
        <v/>
      </c>
      <c r="W27">
        <f>HYPERLINK("https://klasma.github.io/Logging_1780/kartor/A 41534-2023 karta.png", "A 41534-2023")</f>
        <v/>
      </c>
      <c r="Y27">
        <f>HYPERLINK("https://klasma.github.io/Logging_1780/klagomål/A 41534-2023 FSC-klagomål.docx", "A 41534-2023")</f>
        <v/>
      </c>
      <c r="Z27">
        <f>HYPERLINK("https://klasma.github.io/Logging_1780/klagomålsmail/A 41534-2023 FSC-klagomål mail.docx", "A 41534-2023")</f>
        <v/>
      </c>
      <c r="AA27">
        <f>HYPERLINK("https://klasma.github.io/Logging_1780/tillsyn/A 41534-2023 tillsynsbegäran.docx", "A 41534-2023")</f>
        <v/>
      </c>
      <c r="AB27">
        <f>HYPERLINK("https://klasma.github.io/Logging_1780/tillsynsmail/A 41534-2023 tillsynsbegäran mail.docx", "A 41534-2023")</f>
        <v/>
      </c>
      <c r="AC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46221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46221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46221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46221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46221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46221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25330-2024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45462</v>
      </c>
      <c r="E34" s="1" t="n">
        <v>46221</v>
      </c>
      <c r="F34" t="inlineStr">
        <is>
          <t>VÄRMLANDS LÄN</t>
        </is>
      </c>
      <c r="G34" t="inlineStr">
        <is>
          <t>KARLSTAD</t>
        </is>
      </c>
      <c r="I34" t="n">
        <v>1.4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Älg
Spillkråka</t>
        </is>
      </c>
      <c r="V34">
        <f>HYPERLINK("https://klasma.github.io/Logging_1780/artfynd/A 25330-2024 artfynd.xlsx", "A 25330-2024")</f>
        <v/>
      </c>
      <c r="W34">
        <f>HYPERLINK("https://klasma.github.io/Logging_1780/kartor/A 25330-2024 karta.png", "A 25330-2024")</f>
        <v/>
      </c>
      <c r="Y34">
        <f>HYPERLINK("https://klasma.github.io/Logging_1780/klagomål/A 25330-2024 FSC-klagomål.docx", "A 25330-2024")</f>
        <v/>
      </c>
      <c r="Z34">
        <f>HYPERLINK("https://klasma.github.io/Logging_1780/klagomålsmail/A 25330-2024 FSC-klagomål mail.docx", "A 25330-2024")</f>
        <v/>
      </c>
      <c r="AA34">
        <f>HYPERLINK("https://klasma.github.io/Logging_1780/tillsyn/A 25330-2024 tillsynsbegäran.docx", "A 25330-2024")</f>
        <v/>
      </c>
      <c r="AB34">
        <f>HYPERLINK("https://klasma.github.io/Logging_1780/tillsynsmail/A 25330-2024 tillsynsbegäran mail.docx", "A 25330-2024")</f>
        <v/>
      </c>
      <c r="AC34">
        <f>HYPERLINK("https://klasma.github.io/Logging_1780/fåglar/A 25330-2024 prioriterade fågelarter.docx", "A 25330-2024")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46221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Ask
Gullviva</t>
        </is>
      </c>
      <c r="V35">
        <f>HYPERLINK("https://klasma.github.io/Logging_1780/artfynd/A 47105-2025 artfynd.xlsx", "A 47105-2025")</f>
        <v/>
      </c>
      <c r="W35">
        <f>HYPERLINK("https://klasma.github.io/Logging_1780/kartor/A 47105-2025 karta.png", "A 47105-2025")</f>
        <v/>
      </c>
      <c r="Y35">
        <f>HYPERLINK("https://klasma.github.io/Logging_1780/klagomål/A 47105-2025 FSC-klagomål.docx", "A 47105-2025")</f>
        <v/>
      </c>
      <c r="Z35">
        <f>HYPERLINK("https://klasma.github.io/Logging_1780/klagomålsmail/A 47105-2025 FSC-klagomål mail.docx", "A 47105-2025")</f>
        <v/>
      </c>
      <c r="AA35">
        <f>HYPERLINK("https://klasma.github.io/Logging_1780/tillsyn/A 47105-2025 tillsynsbegäran.docx", "A 47105-2025")</f>
        <v/>
      </c>
      <c r="AB35">
        <f>HYPERLINK("https://klasma.github.io/Logging_1780/tillsynsmail/A 47105-2025 tillsynsbegäran mail.docx", "A 47105-2025")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46221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Bårdlav
Blåsippa</t>
        </is>
      </c>
      <c r="V36">
        <f>HYPERLINK("https://klasma.github.io/Logging_1780/artfynd/A 57145-2024 artfynd.xlsx", "A 57145-2024")</f>
        <v/>
      </c>
      <c r="W36">
        <f>HYPERLINK("https://klasma.github.io/Logging_1780/kartor/A 57145-2024 karta.png", "A 57145-2024")</f>
        <v/>
      </c>
      <c r="Y36">
        <f>HYPERLINK("https://klasma.github.io/Logging_1780/klagomål/A 57145-2024 FSC-klagomål.docx", "A 57145-2024")</f>
        <v/>
      </c>
      <c r="Z36">
        <f>HYPERLINK("https://klasma.github.io/Logging_1780/klagomålsmail/A 57145-2024 FSC-klagomål mail.docx", "A 57145-2024")</f>
        <v/>
      </c>
      <c r="AA36">
        <f>HYPERLINK("https://klasma.github.io/Logging_1780/tillsyn/A 57145-2024 tillsynsbegäran.docx", "A 57145-2024")</f>
        <v/>
      </c>
      <c r="AB36">
        <f>HYPERLINK("https://klasma.github.io/Logging_1780/tillsynsmail/A 57145-2024 tillsynsbegäran mail.docx", "A 57145-2024")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46221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Kandelabersvamp
Vågticka</t>
        </is>
      </c>
      <c r="V37">
        <f>HYPERLINK("https://klasma.github.io/Logging_1780/artfynd/A 25097-2025 artfynd.xlsx", "A 25097-2025")</f>
        <v/>
      </c>
      <c r="W37">
        <f>HYPERLINK("https://klasma.github.io/Logging_1780/kartor/A 25097-2025 karta.png", "A 25097-2025")</f>
        <v/>
      </c>
      <c r="Y37">
        <f>HYPERLINK("https://klasma.github.io/Logging_1780/klagomål/A 25097-2025 FSC-klagomål.docx", "A 25097-2025")</f>
        <v/>
      </c>
      <c r="Z37">
        <f>HYPERLINK("https://klasma.github.io/Logging_1780/klagomålsmail/A 25097-2025 FSC-klagomål mail.docx", "A 25097-2025")</f>
        <v/>
      </c>
      <c r="AA37">
        <f>HYPERLINK("https://klasma.github.io/Logging_1780/tillsyn/A 25097-2025 tillsynsbegäran.docx", "A 25097-2025")</f>
        <v/>
      </c>
      <c r="AB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46221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Gullpudra
Dvärghäxört</t>
        </is>
      </c>
      <c r="V38">
        <f>HYPERLINK("https://klasma.github.io/Logging_1780/artfynd/A 59639-2021 artfynd.xlsx", "A 59639-2021")</f>
        <v/>
      </c>
      <c r="W38">
        <f>HYPERLINK("https://klasma.github.io/Logging_1780/kartor/A 59639-2021 karta.png", "A 59639-2021")</f>
        <v/>
      </c>
      <c r="Y38">
        <f>HYPERLINK("https://klasma.github.io/Logging_1780/klagomål/A 59639-2021 FSC-klagomål.docx", "A 59639-2021")</f>
        <v/>
      </c>
      <c r="Z38">
        <f>HYPERLINK("https://klasma.github.io/Logging_1780/klagomålsmail/A 59639-2021 FSC-klagomål mail.docx", "A 59639-2021")</f>
        <v/>
      </c>
      <c r="AA38">
        <f>HYPERLINK("https://klasma.github.io/Logging_1780/tillsyn/A 59639-2021 tillsynsbegäran.docx", "A 59639-2021")</f>
        <v/>
      </c>
      <c r="AB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46221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Gullpudra
Dvärghäxört</t>
        </is>
      </c>
      <c r="V39">
        <f>HYPERLINK("https://klasma.github.io/Logging_1780/artfynd/A 59639-2021 artfynd.xlsx", "A 59639-2021")</f>
        <v/>
      </c>
      <c r="W39">
        <f>HYPERLINK("https://klasma.github.io/Logging_1780/kartor/A 59639-2021 karta.png", "A 59639-2021")</f>
        <v/>
      </c>
      <c r="Y39">
        <f>HYPERLINK("https://klasma.github.io/Logging_1780/klagomål/A 59639-2021 FSC-klagomål.docx", "A 59639-2021")</f>
        <v/>
      </c>
      <c r="Z39">
        <f>HYPERLINK("https://klasma.github.io/Logging_1780/klagomålsmail/A 59639-2021 FSC-klagomål mail.docx", "A 59639-2021")</f>
        <v/>
      </c>
      <c r="AA39">
        <f>HYPERLINK("https://klasma.github.io/Logging_1780/tillsyn/A 59639-2021 tillsynsbegäran.docx", "A 59639-2021")</f>
        <v/>
      </c>
      <c r="AB39">
        <f>HYPERLINK("https://klasma.github.io/Logging_1780/tillsynsmail/A 59639-2021 tillsynsbegäran mail.docx", "A 59639-2021")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46221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Linnea
Revlummer</t>
        </is>
      </c>
      <c r="V40">
        <f>HYPERLINK("https://klasma.github.io/Logging_1780/artfynd/A 9023-2026 artfynd.xlsx", "A 9023-2026")</f>
        <v/>
      </c>
      <c r="W40">
        <f>HYPERLINK("https://klasma.github.io/Logging_1780/kartor/A 9023-2026 karta.png", "A 9023-2026")</f>
        <v/>
      </c>
      <c r="Y40">
        <f>HYPERLINK("https://klasma.github.io/Logging_1780/klagomål/A 9023-2026 FSC-klagomål.docx", "A 9023-2026")</f>
        <v/>
      </c>
      <c r="Z40">
        <f>HYPERLINK("https://klasma.github.io/Logging_1780/klagomålsmail/A 9023-2026 FSC-klagomål mail.docx", "A 9023-2026")</f>
        <v/>
      </c>
      <c r="AA40">
        <f>HYPERLINK("https://klasma.github.io/Logging_1780/tillsyn/A 9023-2026 tillsynsbegäran.docx", "A 9023-2026")</f>
        <v/>
      </c>
      <c r="AB40">
        <f>HYPERLINK("https://klasma.github.io/Logging_1780/tillsynsmail/A 9023-2026 tillsynsbegäran mail.docx", "A 9023-2026")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46221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Vårärt
Svart trolldruva</t>
        </is>
      </c>
      <c r="V41">
        <f>HYPERLINK("https://klasma.github.io/Logging_1780/artfynd/A 58911-2025 artfynd.xlsx", "A 58911-2025")</f>
        <v/>
      </c>
      <c r="W41">
        <f>HYPERLINK("https://klasma.github.io/Logging_1780/kartor/A 58911-2025 karta.png", "A 58911-2025")</f>
        <v/>
      </c>
      <c r="Y41">
        <f>HYPERLINK("https://klasma.github.io/Logging_1780/klagomål/A 58911-2025 FSC-klagomål.docx", "A 58911-2025")</f>
        <v/>
      </c>
      <c r="Z41">
        <f>HYPERLINK("https://klasma.github.io/Logging_1780/klagomålsmail/A 58911-2025 FSC-klagomål mail.docx", "A 58911-2025")</f>
        <v/>
      </c>
      <c r="AA41">
        <f>HYPERLINK("https://klasma.github.io/Logging_1780/tillsyn/A 58911-2025 tillsynsbegäran.docx", "A 58911-2025")</f>
        <v/>
      </c>
      <c r="AB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46221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HYPERLINK("https://klasma.github.io/Logging_1780/knärot/A 19133-2024 karta knärot.png", "A 19133-2024")</f>
        <v/>
      </c>
      <c r="Y42">
        <f>HYPERLINK("https://klasma.github.io/Logging_1780/klagomål/A 19133-2024 FSC-klagomål.docx", "A 19133-2024")</f>
        <v/>
      </c>
      <c r="Z42">
        <f>HYPERLINK("https://klasma.github.io/Logging_1780/klagomålsmail/A 19133-2024 FSC-klagomål mail.docx", "A 19133-2024")</f>
        <v/>
      </c>
      <c r="AA42">
        <f>HYPERLINK("https://klasma.github.io/Logging_1780/tillsyn/A 19133-2024 tillsynsbegäran.docx", "A 19133-2024")</f>
        <v/>
      </c>
      <c r="AB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46221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Y43">
        <f>HYPERLINK("https://klasma.github.io/Logging_1780/klagomål/A 9499-2024 FSC-klagomål.docx", "A 9499-2024")</f>
        <v/>
      </c>
      <c r="Z43">
        <f>HYPERLINK("https://klasma.github.io/Logging_1780/klagomålsmail/A 9499-2024 FSC-klagomål mail.docx", "A 9499-2024")</f>
        <v/>
      </c>
      <c r="AA43">
        <f>HYPERLINK("https://klasma.github.io/Logging_1780/tillsyn/A 9499-2024 tillsynsbegäran.docx", "A 9499-2024")</f>
        <v/>
      </c>
      <c r="AB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46221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46221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46221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46221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Vitfläckig guldvinge</t>
        </is>
      </c>
      <c r="V48">
        <f>HYPERLINK("https://klasma.github.io/Logging_1780/artfynd/A 55277-2021 artfynd.xlsx", "A 55277-2021")</f>
        <v/>
      </c>
      <c r="W48">
        <f>HYPERLINK("https://klasma.github.io/Logging_1780/kartor/A 55277-2021 karta.png", "A 55277-2021")</f>
        <v/>
      </c>
      <c r="Y48">
        <f>HYPERLINK("https://klasma.github.io/Logging_1780/klagomål/A 55277-2021 FSC-klagomål.docx", "A 55277-2021")</f>
        <v/>
      </c>
      <c r="Z48">
        <f>HYPERLINK("https://klasma.github.io/Logging_1780/klagomålsmail/A 55277-2021 FSC-klagomål mail.docx", "A 55277-2021")</f>
        <v/>
      </c>
      <c r="AA48">
        <f>HYPERLINK("https://klasma.github.io/Logging_1780/tillsyn/A 55277-2021 tillsynsbegäran.docx", "A 55277-2021")</f>
        <v/>
      </c>
      <c r="AB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46221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Mattlummer</t>
        </is>
      </c>
      <c r="V49">
        <f>HYPERLINK("https://klasma.github.io/Logging_1780/artfynd/A 17354-2023 artfynd.xlsx", "A 17354-2023")</f>
        <v/>
      </c>
      <c r="W49">
        <f>HYPERLINK("https://klasma.github.io/Logging_1780/kartor/A 17354-2023 karta.png", "A 17354-2023")</f>
        <v/>
      </c>
      <c r="Y49">
        <f>HYPERLINK("https://klasma.github.io/Logging_1780/klagomål/A 17354-2023 FSC-klagomål.docx", "A 17354-2023")</f>
        <v/>
      </c>
      <c r="Z49">
        <f>HYPERLINK("https://klasma.github.io/Logging_1780/klagomålsmail/A 17354-2023 FSC-klagomål mail.docx", "A 17354-2023")</f>
        <v/>
      </c>
      <c r="AA49">
        <f>HYPERLINK("https://klasma.github.io/Logging_1780/tillsyn/A 17354-2023 tillsynsbegäran.docx", "A 17354-2023")</f>
        <v/>
      </c>
      <c r="AB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46221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Strutbräken</t>
        </is>
      </c>
      <c r="V50">
        <f>HYPERLINK("https://klasma.github.io/Logging_1780/artfynd/A 51895-2024 artfynd.xlsx", "A 51895-2024")</f>
        <v/>
      </c>
      <c r="W50">
        <f>HYPERLINK("https://klasma.github.io/Logging_1780/kartor/A 51895-2024 karta.png", "A 51895-2024")</f>
        <v/>
      </c>
      <c r="Y50">
        <f>HYPERLINK("https://klasma.github.io/Logging_1780/klagomål/A 51895-2024 FSC-klagomål.docx", "A 51895-2024")</f>
        <v/>
      </c>
      <c r="Z50">
        <f>HYPERLINK("https://klasma.github.io/Logging_1780/klagomålsmail/A 51895-2024 FSC-klagomål mail.docx", "A 51895-2024")</f>
        <v/>
      </c>
      <c r="AA50">
        <f>HYPERLINK("https://klasma.github.io/Logging_1780/tillsyn/A 51895-2024 tillsynsbegäran.docx", "A 51895-2024")</f>
        <v/>
      </c>
      <c r="AB50">
        <f>HYPERLINK("https://klasma.github.io/Logging_1780/tillsynsmail/A 51895-2024 tillsynsbegäran mail.docx", "A 51895-2024")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46221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HYPERLINK("https://klasma.github.io/Logging_1780/artfynd/A 5131-2026 artfynd.xlsx", "A 5131-2026")</f>
        <v/>
      </c>
      <c r="W51">
        <f>HYPERLINK("https://klasma.github.io/Logging_1780/kartor/A 5131-2026 karta.png", "A 5131-2026")</f>
        <v/>
      </c>
      <c r="Y51">
        <f>HYPERLINK("https://klasma.github.io/Logging_1780/klagomål/A 5131-2026 FSC-klagomål.docx", "A 5131-2026")</f>
        <v/>
      </c>
      <c r="Z51">
        <f>HYPERLINK("https://klasma.github.io/Logging_1780/klagomålsmail/A 5131-2026 FSC-klagomål mail.docx", "A 5131-2026")</f>
        <v/>
      </c>
      <c r="AA51">
        <f>HYPERLINK("https://klasma.github.io/Logging_1780/tillsyn/A 5131-2026 tillsynsbegäran.docx", "A 5131-2026")</f>
        <v/>
      </c>
      <c r="AB51">
        <f>HYPERLINK("https://klasma.github.io/Logging_1780/tillsynsmail/A 5131-2026 tillsynsbegäran mail.docx", "A 5131-2026")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46221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Trana</t>
        </is>
      </c>
      <c r="V52">
        <f>HYPERLINK("https://klasma.github.io/Logging_1780/artfynd/A 32531-2025 artfynd.xlsx", "A 32531-2025")</f>
        <v/>
      </c>
      <c r="W52">
        <f>HYPERLINK("https://klasma.github.io/Logging_1780/kartor/A 32531-2025 karta.png", "A 32531-2025")</f>
        <v/>
      </c>
      <c r="Y52">
        <f>HYPERLINK("https://klasma.github.io/Logging_1780/klagomål/A 32531-2025 FSC-klagomål.docx", "A 32531-2025")</f>
        <v/>
      </c>
      <c r="Z52">
        <f>HYPERLINK("https://klasma.github.io/Logging_1780/klagomålsmail/A 32531-2025 FSC-klagomål mail.docx", "A 32531-2025")</f>
        <v/>
      </c>
      <c r="AA52">
        <f>HYPERLINK("https://klasma.github.io/Logging_1780/tillsyn/A 32531-2025 tillsynsbegäran.docx", "A 32531-2025")</f>
        <v/>
      </c>
      <c r="AB52">
        <f>HYPERLINK("https://klasma.github.io/Logging_1780/tillsynsmail/A 32531-2025 tillsynsbegäran mail.docx", "A 32531-2025")</f>
        <v/>
      </c>
      <c r="AC52">
        <f>HYPERLINK("https://klasma.github.io/Logging_1780/fåglar/A 32531-2025 prioriterade fågelarter.docx", "A 32531-2025")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46221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HYPERLINK("https://klasma.github.io/Logging_1780/artfynd/A 18470-2022 artfynd.xlsx", "A 18470-2022")</f>
        <v/>
      </c>
      <c r="W53">
        <f>HYPERLINK("https://klasma.github.io/Logging_1780/kartor/A 18470-2022 karta.png", "A 18470-2022")</f>
        <v/>
      </c>
      <c r="Y53">
        <f>HYPERLINK("https://klasma.github.io/Logging_1780/klagomål/A 18470-2022 FSC-klagomål.docx", "A 18470-2022")</f>
        <v/>
      </c>
      <c r="Z53">
        <f>HYPERLINK("https://klasma.github.io/Logging_1780/klagomålsmail/A 18470-2022 FSC-klagomål mail.docx", "A 18470-2022")</f>
        <v/>
      </c>
      <c r="AA53">
        <f>HYPERLINK("https://klasma.github.io/Logging_1780/tillsyn/A 18470-2022 tillsynsbegäran.docx", "A 18470-2022")</f>
        <v/>
      </c>
      <c r="AB53">
        <f>HYPERLINK("https://klasma.github.io/Logging_1780/tillsynsmail/A 18470-2022 tillsynsbegäran mail.docx", "A 18470-2022")</f>
        <v/>
      </c>
      <c r="AC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46221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HYPERLINK("https://klasma.github.io/Logging_1780/artfynd/A 9470-2023 artfynd.xlsx", "A 9470-2023")</f>
        <v/>
      </c>
      <c r="W54">
        <f>HYPERLINK("https://klasma.github.io/Logging_1780/kartor/A 9470-2023 karta.png", "A 9470-2023")</f>
        <v/>
      </c>
      <c r="Y54">
        <f>HYPERLINK("https://klasma.github.io/Logging_1780/klagomål/A 9470-2023 FSC-klagomål.docx", "A 9470-2023")</f>
        <v/>
      </c>
      <c r="Z54">
        <f>HYPERLINK("https://klasma.github.io/Logging_1780/klagomålsmail/A 9470-2023 FSC-klagomål mail.docx", "A 9470-2023")</f>
        <v/>
      </c>
      <c r="AA54">
        <f>HYPERLINK("https://klasma.github.io/Logging_1780/tillsyn/A 9470-2023 tillsynsbegäran.docx", "A 9470-2023")</f>
        <v/>
      </c>
      <c r="AB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46221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Slöjvaxskivling</t>
        </is>
      </c>
      <c r="V55">
        <f>HYPERLINK("https://klasma.github.io/Logging_1780/artfynd/A 49765-2025 artfynd.xlsx", "A 49765-2025")</f>
        <v/>
      </c>
      <c r="W55">
        <f>HYPERLINK("https://klasma.github.io/Logging_1780/kartor/A 49765-2025 karta.png", "A 49765-2025")</f>
        <v/>
      </c>
      <c r="Y55">
        <f>HYPERLINK("https://klasma.github.io/Logging_1780/klagomål/A 49765-2025 FSC-klagomål.docx", "A 49765-2025")</f>
        <v/>
      </c>
      <c r="Z55">
        <f>HYPERLINK("https://klasma.github.io/Logging_1780/klagomålsmail/A 49765-2025 FSC-klagomål mail.docx", "A 49765-2025")</f>
        <v/>
      </c>
      <c r="AA55">
        <f>HYPERLINK("https://klasma.github.io/Logging_1780/tillsyn/A 49765-2025 tillsynsbegäran.docx", "A 49765-2025")</f>
        <v/>
      </c>
      <c r="AB55">
        <f>HYPERLINK("https://klasma.github.io/Logging_1780/tillsynsmail/A 49765-2025 tillsynsbegäran mail.docx", "A 49765-2025")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46221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Ask</t>
        </is>
      </c>
      <c r="V56">
        <f>HYPERLINK("https://klasma.github.io/Logging_1780/artfynd/A 56238-2025 artfynd.xlsx", "A 56238-2025")</f>
        <v/>
      </c>
      <c r="W56">
        <f>HYPERLINK("https://klasma.github.io/Logging_1780/kartor/A 56238-2025 karta.png", "A 56238-2025")</f>
        <v/>
      </c>
      <c r="Y56">
        <f>HYPERLINK("https://klasma.github.io/Logging_1780/klagomål/A 56238-2025 FSC-klagomål.docx", "A 56238-2025")</f>
        <v/>
      </c>
      <c r="Z56">
        <f>HYPERLINK("https://klasma.github.io/Logging_1780/klagomålsmail/A 56238-2025 FSC-klagomål mail.docx", "A 56238-2025")</f>
        <v/>
      </c>
      <c r="AA56">
        <f>HYPERLINK("https://klasma.github.io/Logging_1780/tillsyn/A 56238-2025 tillsynsbegäran.docx", "A 56238-2025")</f>
        <v/>
      </c>
      <c r="AB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46221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HYPERLINK("https://klasma.github.io/Logging_1780/artfynd/A 56241-2025 artfynd.xlsx", "A 56241-2025")</f>
        <v/>
      </c>
      <c r="W57">
        <f>HYPERLINK("https://klasma.github.io/Logging_1780/kartor/A 56241-2025 karta.png", "A 56241-2025")</f>
        <v/>
      </c>
      <c r="Y57">
        <f>HYPERLINK("https://klasma.github.io/Logging_1780/klagomål/A 56241-2025 FSC-klagomål.docx", "A 56241-2025")</f>
        <v/>
      </c>
      <c r="Z57">
        <f>HYPERLINK("https://klasma.github.io/Logging_1780/klagomålsmail/A 56241-2025 FSC-klagomål mail.docx", "A 56241-2025")</f>
        <v/>
      </c>
      <c r="AA57">
        <f>HYPERLINK("https://klasma.github.io/Logging_1780/tillsyn/A 56241-2025 tillsynsbegäran.docx", "A 56241-2025")</f>
        <v/>
      </c>
      <c r="AB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46221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Revlummer</t>
        </is>
      </c>
      <c r="V58">
        <f>HYPERLINK("https://klasma.github.io/Logging_1780/artfynd/A 21934-2023 artfynd.xlsx", "A 21934-2023")</f>
        <v/>
      </c>
      <c r="W58">
        <f>HYPERLINK("https://klasma.github.io/Logging_1780/kartor/A 21934-2023 karta.png", "A 21934-2023")</f>
        <v/>
      </c>
      <c r="Y58">
        <f>HYPERLINK("https://klasma.github.io/Logging_1780/klagomål/A 21934-2023 FSC-klagomål.docx", "A 21934-2023")</f>
        <v/>
      </c>
      <c r="Z58">
        <f>HYPERLINK("https://klasma.github.io/Logging_1780/klagomålsmail/A 21934-2023 FSC-klagomål mail.docx", "A 21934-2023")</f>
        <v/>
      </c>
      <c r="AA58">
        <f>HYPERLINK("https://klasma.github.io/Logging_1780/tillsyn/A 21934-2023 tillsynsbegäran.docx", "A 21934-2023")</f>
        <v/>
      </c>
      <c r="AB58">
        <f>HYPERLINK("https://klasma.github.io/Logging_1780/tillsynsmail/A 21934-2023 tillsynsbegäran mail.docx", "A 21934-2023")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46221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Blåsippa</t>
        </is>
      </c>
      <c r="V59">
        <f>HYPERLINK("https://klasma.github.io/Logging_1780/artfynd/A 13259-2026 artfynd.xlsx", "A 13259-2026")</f>
        <v/>
      </c>
      <c r="W59">
        <f>HYPERLINK("https://klasma.github.io/Logging_1780/kartor/A 13259-2026 karta.png", "A 13259-2026")</f>
        <v/>
      </c>
      <c r="Y59">
        <f>HYPERLINK("https://klasma.github.io/Logging_1780/klagomål/A 13259-2026 FSC-klagomål.docx", "A 13259-2026")</f>
        <v/>
      </c>
      <c r="Z59">
        <f>HYPERLINK("https://klasma.github.io/Logging_1780/klagomålsmail/A 13259-2026 FSC-klagomål mail.docx", "A 13259-2026")</f>
        <v/>
      </c>
      <c r="AA59">
        <f>HYPERLINK("https://klasma.github.io/Logging_1780/tillsyn/A 13259-2026 tillsynsbegäran.docx", "A 13259-2026")</f>
        <v/>
      </c>
      <c r="AB59">
        <f>HYPERLINK("https://klasma.github.io/Logging_1780/tillsynsmail/A 13259-2026 tillsynsbegäran mail.docx", "A 13259-2026")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46221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Strandlummer</t>
        </is>
      </c>
      <c r="V60">
        <f>HYPERLINK("https://klasma.github.io/Logging_1780/artfynd/A 10461-2024 artfynd.xlsx", "A 10461-2024")</f>
        <v/>
      </c>
      <c r="W60">
        <f>HYPERLINK("https://klasma.github.io/Logging_1780/kartor/A 10461-2024 karta.png", "A 10461-2024")</f>
        <v/>
      </c>
      <c r="Y60">
        <f>HYPERLINK("https://klasma.github.io/Logging_1780/klagomål/A 10461-2024 FSC-klagomål.docx", "A 10461-2024")</f>
        <v/>
      </c>
      <c r="Z60">
        <f>HYPERLINK("https://klasma.github.io/Logging_1780/klagomålsmail/A 10461-2024 FSC-klagomål mail.docx", "A 10461-2024")</f>
        <v/>
      </c>
      <c r="AA60">
        <f>HYPERLINK("https://klasma.github.io/Logging_1780/tillsyn/A 10461-2024 tillsynsbegäran.docx", "A 10461-2024")</f>
        <v/>
      </c>
      <c r="AB60">
        <f>HYPERLINK("https://klasma.github.io/Logging_1780/tillsynsmail/A 10461-2024 tillsynsbegäran mail.docx", "A 10461-2024")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46221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Gullklöver</t>
        </is>
      </c>
      <c r="V61">
        <f>HYPERLINK("https://klasma.github.io/Logging_1780/artfynd/A 3736-2023 artfynd.xlsx", "A 3736-2023")</f>
        <v/>
      </c>
      <c r="W61">
        <f>HYPERLINK("https://klasma.github.io/Logging_1780/kartor/A 3736-2023 karta.png", "A 3736-2023")</f>
        <v/>
      </c>
      <c r="Y61">
        <f>HYPERLINK("https://klasma.github.io/Logging_1780/klagomål/A 3736-2023 FSC-klagomål.docx", "A 3736-2023")</f>
        <v/>
      </c>
      <c r="Z61">
        <f>HYPERLINK("https://klasma.github.io/Logging_1780/klagomålsmail/A 3736-2023 FSC-klagomål mail.docx", "A 3736-2023")</f>
        <v/>
      </c>
      <c r="AA61">
        <f>HYPERLINK("https://klasma.github.io/Logging_1780/tillsyn/A 3736-2023 tillsynsbegäran.docx", "A 3736-2023")</f>
        <v/>
      </c>
      <c r="AB61">
        <f>HYPERLINK("https://klasma.github.io/Logging_1780/tillsynsmail/A 3736-2023 tillsynsbegäran mail.docx", "A 3736-2023")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46221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Nattskärra</t>
        </is>
      </c>
      <c r="V62">
        <f>HYPERLINK("https://klasma.github.io/Logging_1780/artfynd/A 16739-2026 artfynd.xlsx", "A 16739-2026")</f>
        <v/>
      </c>
      <c r="W62">
        <f>HYPERLINK("https://klasma.github.io/Logging_1780/kartor/A 16739-2026 karta.png", "A 16739-2026")</f>
        <v/>
      </c>
      <c r="Y62">
        <f>HYPERLINK("https://klasma.github.io/Logging_1780/klagomål/A 16739-2026 FSC-klagomål.docx", "A 16739-2026")</f>
        <v/>
      </c>
      <c r="Z62">
        <f>HYPERLINK("https://klasma.github.io/Logging_1780/klagomålsmail/A 16739-2026 FSC-klagomål mail.docx", "A 16739-2026")</f>
        <v/>
      </c>
      <c r="AA62">
        <f>HYPERLINK("https://klasma.github.io/Logging_1780/tillsyn/A 16739-2026 tillsynsbegäran.docx", "A 16739-2026")</f>
        <v/>
      </c>
      <c r="AB62">
        <f>HYPERLINK("https://klasma.github.io/Logging_1780/tillsynsmail/A 16739-2026 tillsynsbegäran mail.docx", "A 16739-2026")</f>
        <v/>
      </c>
      <c r="AC62">
        <f>HYPERLINK("https://klasma.github.io/Logging_1780/fåglar/A 16739-2026 prioriterade fågelarter.docx", "A 16739-2026")</f>
        <v/>
      </c>
    </row>
    <row r="63" ht="15" customHeight="1">
      <c r="A63" t="inlineStr">
        <is>
          <t>A 14002-2022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44650</v>
      </c>
      <c r="E63" s="1" t="n">
        <v>46221</v>
      </c>
      <c r="F63" t="inlineStr">
        <is>
          <t>VÄRMLANDS LÄN</t>
        </is>
      </c>
      <c r="G63" t="inlineStr">
        <is>
          <t>KARLSTAD</t>
        </is>
      </c>
      <c r="I63" t="n">
        <v>2.3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s="2" t="inlineStr">
        <is>
          <t>Knärot</t>
        </is>
      </c>
      <c r="V63">
        <f>HYPERLINK("https://klasma.github.io/Logging_1780/artfynd/A 14002-2022 artfynd.xlsx", "A 14002-2022")</f>
        <v/>
      </c>
      <c r="W63">
        <f>HYPERLINK("https://klasma.github.io/Logging_1780/kartor/A 14002-2022 karta.png", "A 14002-2022")</f>
        <v/>
      </c>
      <c r="X63">
        <f>HYPERLINK("https://klasma.github.io/Logging_1780/knärot/A 14002-2022 karta knärot.png", "A 14002-2022")</f>
        <v/>
      </c>
      <c r="Y63">
        <f>HYPERLINK("https://klasma.github.io/Logging_1780/klagomål/A 14002-2022 FSC-klagomål.docx", "A 14002-2022")</f>
        <v/>
      </c>
      <c r="Z63">
        <f>HYPERLINK("https://klasma.github.io/Logging_1780/klagomålsmail/A 14002-2022 FSC-klagomål mail.docx", "A 14002-2022")</f>
        <v/>
      </c>
      <c r="AA63">
        <f>HYPERLINK("https://klasma.github.io/Logging_1780/tillsyn/A 14002-2022 tillsynsbegäran.docx", "A 14002-2022")</f>
        <v/>
      </c>
      <c r="AB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46221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Större vattensalamander</t>
        </is>
      </c>
      <c r="V64">
        <f>HYPERLINK("https://klasma.github.io/Logging_1780/artfynd/A 20241-2022 artfynd.xlsx", "A 20241-2022")</f>
        <v/>
      </c>
      <c r="W64">
        <f>HYPERLINK("https://klasma.github.io/Logging_1780/kartor/A 20241-2022 karta.png", "A 20241-2022")</f>
        <v/>
      </c>
      <c r="Y64">
        <f>HYPERLINK("https://klasma.github.io/Logging_1780/klagomål/A 20241-2022 FSC-klagomål.docx", "A 20241-2022")</f>
        <v/>
      </c>
      <c r="Z64">
        <f>HYPERLINK("https://klasma.github.io/Logging_1780/klagomålsmail/A 20241-2022 FSC-klagomål mail.docx", "A 20241-2022")</f>
        <v/>
      </c>
      <c r="AA64">
        <f>HYPERLINK("https://klasma.github.io/Logging_1780/tillsyn/A 20241-2022 tillsynsbegäran.docx", "A 20241-2022")</f>
        <v/>
      </c>
      <c r="AB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46221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HYPERLINK("https://klasma.github.io/Logging_1780/artfynd/A 21919-2023 artfynd.xlsx", "A 21919-2023")</f>
        <v/>
      </c>
      <c r="W65">
        <f>HYPERLINK("https://klasma.github.io/Logging_1780/kartor/A 21919-2023 karta.png", "A 21919-2023")</f>
        <v/>
      </c>
      <c r="Y65">
        <f>HYPERLINK("https://klasma.github.io/Logging_1780/klagomål/A 21919-2023 FSC-klagomål.docx", "A 21919-2023")</f>
        <v/>
      </c>
      <c r="Z65">
        <f>HYPERLINK("https://klasma.github.io/Logging_1780/klagomålsmail/A 21919-2023 FSC-klagomål mail.docx", "A 21919-2023")</f>
        <v/>
      </c>
      <c r="AA65">
        <f>HYPERLINK("https://klasma.github.io/Logging_1780/tillsyn/A 21919-2023 tillsynsbegäran.docx", "A 21919-2023")</f>
        <v/>
      </c>
      <c r="AB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46221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Dropptaggsvamp</t>
        </is>
      </c>
      <c r="V66">
        <f>HYPERLINK("https://klasma.github.io/Logging_1780/artfynd/A 59641-2021 artfynd.xlsx", "A 59641-2021")</f>
        <v/>
      </c>
      <c r="W66">
        <f>HYPERLINK("https://klasma.github.io/Logging_1780/kartor/A 59641-2021 karta.png", "A 59641-2021")</f>
        <v/>
      </c>
      <c r="Y66">
        <f>HYPERLINK("https://klasma.github.io/Logging_1780/klagomål/A 59641-2021 FSC-klagomål.docx", "A 59641-2021")</f>
        <v/>
      </c>
      <c r="Z66">
        <f>HYPERLINK("https://klasma.github.io/Logging_1780/klagomålsmail/A 59641-2021 FSC-klagomål mail.docx", "A 59641-2021")</f>
        <v/>
      </c>
      <c r="AA66">
        <f>HYPERLINK("https://klasma.github.io/Logging_1780/tillsyn/A 59641-2021 tillsynsbegäran.docx", "A 59641-2021")</f>
        <v/>
      </c>
      <c r="AB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46221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Tjäder</t>
        </is>
      </c>
      <c r="V67">
        <f>HYPERLINK("https://klasma.github.io/Logging_1780/artfynd/A 48588-2021 artfynd.xlsx", "A 48588-2021")</f>
        <v/>
      </c>
      <c r="W67">
        <f>HYPERLINK("https://klasma.github.io/Logging_1780/kartor/A 48588-2021 karta.png", "A 48588-2021")</f>
        <v/>
      </c>
      <c r="Y67">
        <f>HYPERLINK("https://klasma.github.io/Logging_1780/klagomål/A 48588-2021 FSC-klagomål.docx", "A 48588-2021")</f>
        <v/>
      </c>
      <c r="Z67">
        <f>HYPERLINK("https://klasma.github.io/Logging_1780/klagomålsmail/A 48588-2021 FSC-klagomål mail.docx", "A 48588-2021")</f>
        <v/>
      </c>
      <c r="AA67">
        <f>HYPERLINK("https://klasma.github.io/Logging_1780/tillsyn/A 48588-2021 tillsynsbegäran.docx", "A 48588-2021")</f>
        <v/>
      </c>
      <c r="AB67">
        <f>HYPERLINK("https://klasma.github.io/Logging_1780/tillsynsmail/A 48588-2021 tillsynsbegäran mail.docx", "A 48588-2021")</f>
        <v/>
      </c>
      <c r="AC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46221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Trädporella</t>
        </is>
      </c>
      <c r="V68">
        <f>HYPERLINK("https://klasma.github.io/Logging_1780/artfynd/A 6260-2023 artfynd.xlsx", "A 6260-2023")</f>
        <v/>
      </c>
      <c r="W68">
        <f>HYPERLINK("https://klasma.github.io/Logging_1780/kartor/A 6260-2023 karta.png", "A 6260-2023")</f>
        <v/>
      </c>
      <c r="Y68">
        <f>HYPERLINK("https://klasma.github.io/Logging_1780/klagomål/A 6260-2023 FSC-klagomål.docx", "A 6260-2023")</f>
        <v/>
      </c>
      <c r="Z68">
        <f>HYPERLINK("https://klasma.github.io/Logging_1780/klagomålsmail/A 6260-2023 FSC-klagomål mail.docx", "A 6260-2023")</f>
        <v/>
      </c>
      <c r="AA68">
        <f>HYPERLINK("https://klasma.github.io/Logging_1780/tillsyn/A 6260-2023 tillsynsbegäran.docx", "A 6260-2023")</f>
        <v/>
      </c>
      <c r="AB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46221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Lopplummer (aggregat)</t>
        </is>
      </c>
      <c r="V69">
        <f>HYPERLINK("https://klasma.github.io/Logging_1780/artfynd/A 8944-2025 artfynd.xlsx", "A 8944-2025")</f>
        <v/>
      </c>
      <c r="W69">
        <f>HYPERLINK("https://klasma.github.io/Logging_1780/kartor/A 8944-2025 karta.png", "A 8944-2025")</f>
        <v/>
      </c>
      <c r="Y69">
        <f>HYPERLINK("https://klasma.github.io/Logging_1780/klagomål/A 8944-2025 FSC-klagomål.docx", "A 8944-2025")</f>
        <v/>
      </c>
      <c r="Z69">
        <f>HYPERLINK("https://klasma.github.io/Logging_1780/klagomålsmail/A 8944-2025 FSC-klagomål mail.docx", "A 8944-2025")</f>
        <v/>
      </c>
      <c r="AA69">
        <f>HYPERLINK("https://klasma.github.io/Logging_1780/tillsyn/A 8944-2025 tillsynsbegäran.docx", "A 8944-2025")</f>
        <v/>
      </c>
      <c r="AB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46221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Ullticka</t>
        </is>
      </c>
      <c r="V70">
        <f>HYPERLINK("https://klasma.github.io/Logging_1780/artfynd/A 9737-2023 artfynd.xlsx", "A 9737-2023")</f>
        <v/>
      </c>
      <c r="W70">
        <f>HYPERLINK("https://klasma.github.io/Logging_1780/kartor/A 9737-2023 karta.png", "A 9737-2023")</f>
        <v/>
      </c>
      <c r="Y70">
        <f>HYPERLINK("https://klasma.github.io/Logging_1780/klagomål/A 9737-2023 FSC-klagomål.docx", "A 9737-2023")</f>
        <v/>
      </c>
      <c r="Z70">
        <f>HYPERLINK("https://klasma.github.io/Logging_1780/klagomålsmail/A 9737-2023 FSC-klagomål mail.docx", "A 9737-2023")</f>
        <v/>
      </c>
      <c r="AA70">
        <f>HYPERLINK("https://klasma.github.io/Logging_1780/tillsyn/A 9737-2023 tillsynsbegäran.docx", "A 9737-2023")</f>
        <v/>
      </c>
      <c r="AB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46221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Gröngöling</t>
        </is>
      </c>
      <c r="V71">
        <f>HYPERLINK("https://klasma.github.io/Logging_1780/artfynd/A 36886-2022 artfynd.xlsx", "A 36886-2022")</f>
        <v/>
      </c>
      <c r="W71">
        <f>HYPERLINK("https://klasma.github.io/Logging_1780/kartor/A 36886-2022 karta.png", "A 36886-2022")</f>
        <v/>
      </c>
      <c r="Y71">
        <f>HYPERLINK("https://klasma.github.io/Logging_1780/klagomål/A 36886-2022 FSC-klagomål.docx", "A 36886-2022")</f>
        <v/>
      </c>
      <c r="Z71">
        <f>HYPERLINK("https://klasma.github.io/Logging_1780/klagomålsmail/A 36886-2022 FSC-klagomål mail.docx", "A 36886-2022")</f>
        <v/>
      </c>
      <c r="AA71">
        <f>HYPERLINK("https://klasma.github.io/Logging_1780/tillsyn/A 36886-2022 tillsynsbegäran.docx", "A 36886-2022")</f>
        <v/>
      </c>
      <c r="AB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46221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Vedskivlav</t>
        </is>
      </c>
      <c r="V72">
        <f>HYPERLINK("https://klasma.github.io/Logging_1780/artfynd/A 4664-2022 artfynd.xlsx", "A 4664-2022")</f>
        <v/>
      </c>
      <c r="W72">
        <f>HYPERLINK("https://klasma.github.io/Logging_1780/kartor/A 4664-2022 karta.png", "A 4664-2022")</f>
        <v/>
      </c>
      <c r="Y72">
        <f>HYPERLINK("https://klasma.github.io/Logging_1780/klagomål/A 4664-2022 FSC-klagomål.docx", "A 4664-2022")</f>
        <v/>
      </c>
      <c r="Z72">
        <f>HYPERLINK("https://klasma.github.io/Logging_1780/klagomålsmail/A 4664-2022 FSC-klagomål mail.docx", "A 4664-2022")</f>
        <v/>
      </c>
      <c r="AA72">
        <f>HYPERLINK("https://klasma.github.io/Logging_1780/tillsyn/A 4664-2022 tillsynsbegäran.docx", "A 4664-2022")</f>
        <v/>
      </c>
      <c r="AB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46221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46221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46221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46221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46221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46221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46221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46221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46221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46221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46221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46221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46221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46221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46221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46221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46221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46221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46221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46221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46221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46221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46221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46221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46221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37125-2021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44396</v>
      </c>
      <c r="E99" s="1" t="n">
        <v>46221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46221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46221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46221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46221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46221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46221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46221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46221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46221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46221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46221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46221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46221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46221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46221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46221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46221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46221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46221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46221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46221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46221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46221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46221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46221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46221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46221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46221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46221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44428</v>
      </c>
      <c r="E129" s="1" t="n">
        <v>46221</v>
      </c>
      <c r="F129" t="inlineStr">
        <is>
          <t>VÄRMLANDS LÄN</t>
        </is>
      </c>
      <c r="G129" t="inlineStr">
        <is>
          <t>KARLSTAD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46221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46221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44613</v>
      </c>
      <c r="E132" s="1" t="n">
        <v>46221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46221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46221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44574</v>
      </c>
      <c r="E135" s="1" t="n">
        <v>46221</v>
      </c>
      <c r="F135" t="inlineStr">
        <is>
          <t>VÄRMLANDS LÄN</t>
        </is>
      </c>
      <c r="G135" t="inlineStr">
        <is>
          <t>KARLSTAD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46221</v>
      </c>
      <c r="F136" t="inlineStr">
        <is>
          <t>VÄRMLANDS LÄN</t>
        </is>
      </c>
      <c r="G136" t="inlineStr">
        <is>
          <t>KARLSTAD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44403</v>
      </c>
      <c r="E137" s="1" t="n">
        <v>46221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46221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46221</v>
      </c>
      <c r="F139" t="inlineStr">
        <is>
          <t>VÄRMLANDS LÄN</t>
        </is>
      </c>
      <c r="G139" t="inlineStr">
        <is>
          <t>KARLSTAD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46221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46221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46221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46221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43263-2021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46221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46221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46221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46221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46221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46221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10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46221</v>
      </c>
      <c r="F150" t="inlineStr">
        <is>
          <t>VÄRMLANDS LÄN</t>
        </is>
      </c>
      <c r="G150" t="inlineStr">
        <is>
          <t>KARLSTAD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46221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46221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46097-2023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46221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62902-2023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45272</v>
      </c>
      <c r="E154" s="1" t="n">
        <v>46221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46221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46221</v>
      </c>
      <c r="F156" t="inlineStr">
        <is>
          <t>VÄRMLANDS LÄN</t>
        </is>
      </c>
      <c r="G156" t="inlineStr">
        <is>
          <t>KARLSTAD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46221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46221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47055-2021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44446</v>
      </c>
      <c r="E159" s="1" t="n">
        <v>46221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46221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46221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46221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46221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53305-2023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46221</v>
      </c>
      <c r="F164" t="inlineStr">
        <is>
          <t>VÄRMLANDS LÄN</t>
        </is>
      </c>
      <c r="G164" t="inlineStr">
        <is>
          <t>KARLSTAD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13291-2024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46221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13402-2024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46221</v>
      </c>
      <c r="F166" t="inlineStr">
        <is>
          <t>VÄRMLANDS LÄN</t>
        </is>
      </c>
      <c r="G166" t="inlineStr">
        <is>
          <t>KARLSTAD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46221</v>
      </c>
      <c r="F167" t="inlineStr">
        <is>
          <t>VÄRMLANDS LÄN</t>
        </is>
      </c>
      <c r="G167" t="inlineStr">
        <is>
          <t>KARLSTAD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46221</v>
      </c>
      <c r="F168" t="inlineStr">
        <is>
          <t>VÄRMLANDS LÄN</t>
        </is>
      </c>
      <c r="G168" t="inlineStr">
        <is>
          <t>KARLSTAD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46221</v>
      </c>
      <c r="F169" t="inlineStr">
        <is>
          <t>VÄRMLANDS LÄN</t>
        </is>
      </c>
      <c r="G169" t="inlineStr">
        <is>
          <t>KARLSTAD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61108-2023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46221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46221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46221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9762-2023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46221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46221</v>
      </c>
      <c r="F174" t="inlineStr">
        <is>
          <t>VÄRMLANDS LÄN</t>
        </is>
      </c>
      <c r="G174" t="inlineStr">
        <is>
          <t>KARLSTAD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46221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45299</v>
      </c>
      <c r="E176" s="1" t="n">
        <v>46221</v>
      </c>
      <c r="F176" t="inlineStr">
        <is>
          <t>VÄRMLANDS LÄN</t>
        </is>
      </c>
      <c r="G176" t="inlineStr">
        <is>
          <t>KARLSTAD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45757-2022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46221</v>
      </c>
      <c r="F177" t="inlineStr">
        <is>
          <t>VÄRMLANDS LÄN</t>
        </is>
      </c>
      <c r="G177" t="inlineStr">
        <is>
          <t>KARLSTAD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46221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46221</v>
      </c>
      <c r="F179" t="inlineStr">
        <is>
          <t>VÄRMLANDS LÄN</t>
        </is>
      </c>
      <c r="G179" t="inlineStr">
        <is>
          <t>KARLSTAD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46221</v>
      </c>
      <c r="F180" t="inlineStr">
        <is>
          <t>VÄRMLANDS LÄN</t>
        </is>
      </c>
      <c r="G180" t="inlineStr">
        <is>
          <t>KARLSTAD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46221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46221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33809-2024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46221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46221</v>
      </c>
      <c r="F184" t="inlineStr">
        <is>
          <t>VÄRMLANDS LÄN</t>
        </is>
      </c>
      <c r="G184" t="inlineStr">
        <is>
          <t>KARLSTAD</t>
        </is>
      </c>
      <c r="I184" t="n">
        <v>10.7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10260-2025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46221</v>
      </c>
      <c r="F185" t="inlineStr">
        <is>
          <t>VÄRMLANDS LÄN</t>
        </is>
      </c>
      <c r="G185" t="inlineStr">
        <is>
          <t>KARLSTAD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41514-2024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45560</v>
      </c>
      <c r="E186" s="1" t="n">
        <v>46221</v>
      </c>
      <c r="F186" t="inlineStr">
        <is>
          <t>VÄRMLANDS LÄN</t>
        </is>
      </c>
      <c r="G186" t="inlineStr">
        <is>
          <t>KARLSTAD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46221</v>
      </c>
      <c r="F187" t="inlineStr">
        <is>
          <t>VÄRMLANDS LÄN</t>
        </is>
      </c>
      <c r="G187" t="inlineStr">
        <is>
          <t>KARLSTAD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39555-2024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46221</v>
      </c>
      <c r="F188" t="inlineStr">
        <is>
          <t>VÄRMLANDS LÄN</t>
        </is>
      </c>
      <c r="G188" t="inlineStr">
        <is>
          <t>KARLSTAD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46221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46221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13118-2023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46221</v>
      </c>
      <c r="F191" t="inlineStr">
        <is>
          <t>VÄRMLANDS LÄN</t>
        </is>
      </c>
      <c r="G191" t="inlineStr">
        <is>
          <t>KARLSTAD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46221</v>
      </c>
      <c r="F192" t="inlineStr">
        <is>
          <t>VÄRMLANDS LÄN</t>
        </is>
      </c>
      <c r="G192" t="inlineStr">
        <is>
          <t>KARLSTAD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47929-2023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46221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46221</v>
      </c>
      <c r="F194" t="inlineStr">
        <is>
          <t>VÄRMLANDS LÄN</t>
        </is>
      </c>
      <c r="G194" t="inlineStr">
        <is>
          <t>KARLSTAD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46221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73753-2021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46221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46221</v>
      </c>
      <c r="F197" t="inlineStr">
        <is>
          <t>VÄRMLANDS LÄN</t>
        </is>
      </c>
      <c r="G197" t="inlineStr">
        <is>
          <t>KARLSTAD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46221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46221</v>
      </c>
      <c r="F199" t="inlineStr">
        <is>
          <t>VÄRMLANDS LÄN</t>
        </is>
      </c>
      <c r="G199" t="inlineStr">
        <is>
          <t>KARLSTAD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36072-2024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46221</v>
      </c>
      <c r="F200" t="inlineStr">
        <is>
          <t>VÄRMLANDS LÄN</t>
        </is>
      </c>
      <c r="G200" t="inlineStr">
        <is>
          <t>KARLSTAD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32433-2023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46221</v>
      </c>
      <c r="F201" t="inlineStr">
        <is>
          <t>VÄRMLANDS LÄN</t>
        </is>
      </c>
      <c r="G201" t="inlineStr">
        <is>
          <t>KARLSTAD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13830-2022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46221</v>
      </c>
      <c r="F202" t="inlineStr">
        <is>
          <t>VÄRMLANDS LÄN</t>
        </is>
      </c>
      <c r="G202" t="inlineStr">
        <is>
          <t>KARLSTAD</t>
        </is>
      </c>
      <c r="H202" t="inlineStr">
        <is>
          <t>Naturvårdsverket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46221</v>
      </c>
      <c r="F203" t="inlineStr">
        <is>
          <t>VÄRMLANDS LÄN</t>
        </is>
      </c>
      <c r="G203" t="inlineStr">
        <is>
          <t>KARLSTAD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46221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46221</v>
      </c>
      <c r="F205" t="inlineStr">
        <is>
          <t>VÄRMLANDS LÄN</t>
        </is>
      </c>
      <c r="G205" t="inlineStr">
        <is>
          <t>KARLSTAD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23642-2025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46221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44887</v>
      </c>
      <c r="E207" s="1" t="n">
        <v>46221</v>
      </c>
      <c r="F207" t="inlineStr">
        <is>
          <t>VÄRMLANDS LÄN</t>
        </is>
      </c>
      <c r="G207" t="inlineStr">
        <is>
          <t>KARLSTAD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46221</v>
      </c>
      <c r="F208" t="inlineStr">
        <is>
          <t>VÄRMLANDS LÄN</t>
        </is>
      </c>
      <c r="G208" t="inlineStr">
        <is>
          <t>KARLSTAD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46221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45822</v>
      </c>
      <c r="E210" s="1" t="n">
        <v>46221</v>
      </c>
      <c r="F210" t="inlineStr">
        <is>
          <t>VÄRMLANDS LÄN</t>
        </is>
      </c>
      <c r="G210" t="inlineStr">
        <is>
          <t>KARLSTAD</t>
        </is>
      </c>
      <c r="I210" t="n">
        <v>23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46221</v>
      </c>
      <c r="F211" t="inlineStr">
        <is>
          <t>VÄRMLANDS LÄN</t>
        </is>
      </c>
      <c r="G211" t="inlineStr">
        <is>
          <t>KARLSTAD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46221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46221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58456-2022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46221</v>
      </c>
      <c r="F214" t="inlineStr">
        <is>
          <t>VÄRMLANDS LÄN</t>
        </is>
      </c>
      <c r="G214" t="inlineStr">
        <is>
          <t>KARLSTAD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11697-2022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44634</v>
      </c>
      <c r="E215" s="1" t="n">
        <v>46221</v>
      </c>
      <c r="F215" t="inlineStr">
        <is>
          <t>VÄRMLANDS LÄN</t>
        </is>
      </c>
      <c r="G215" t="inlineStr">
        <is>
          <t>KARLSTAD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46221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46221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46221</v>
      </c>
      <c r="F218" t="inlineStr">
        <is>
          <t>VÄRMLANDS LÄN</t>
        </is>
      </c>
      <c r="G218" t="inlineStr">
        <is>
          <t>KARLSTAD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46221</v>
      </c>
      <c r="F219" t="inlineStr">
        <is>
          <t>VÄRMLANDS LÄN</t>
        </is>
      </c>
      <c r="G219" t="inlineStr">
        <is>
          <t>KARLSTAD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31422-2025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46221</v>
      </c>
      <c r="F220" t="inlineStr">
        <is>
          <t>VÄRMLANDS LÄN</t>
        </is>
      </c>
      <c r="G220" t="inlineStr">
        <is>
          <t>KARLSTAD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46221</v>
      </c>
      <c r="F221" t="inlineStr">
        <is>
          <t>VÄRMLANDS LÄN</t>
        </is>
      </c>
      <c r="G221" t="inlineStr">
        <is>
          <t>KARLSTAD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46221</v>
      </c>
      <c r="F222" t="inlineStr">
        <is>
          <t>VÄRMLANDS LÄN</t>
        </is>
      </c>
      <c r="G222" t="inlineStr">
        <is>
          <t>KARLSTAD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32590-2025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46221</v>
      </c>
      <c r="F223" t="inlineStr">
        <is>
          <t>VÄRMLANDS LÄN</t>
        </is>
      </c>
      <c r="G223" t="inlineStr">
        <is>
          <t>KARLSTAD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55346-2023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46221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32591-2025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46221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43400-2025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45911</v>
      </c>
      <c r="E226" s="1" t="n">
        <v>46221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43601-2025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46221</v>
      </c>
      <c r="F227" t="inlineStr">
        <is>
          <t>VÄRMLANDS LÄN</t>
        </is>
      </c>
      <c r="G227" t="inlineStr">
        <is>
          <t>KARLSTAD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8892-2023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46221</v>
      </c>
      <c r="F228" t="inlineStr">
        <is>
          <t>VÄRMLANDS LÄN</t>
        </is>
      </c>
      <c r="G228" t="inlineStr">
        <is>
          <t>KARLSTAD</t>
        </is>
      </c>
      <c r="H228" t="inlineStr">
        <is>
          <t>Kyrkan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46221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46221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46221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27049-2023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46221</v>
      </c>
      <c r="F232" t="inlineStr">
        <is>
          <t>VÄRMLANDS LÄN</t>
        </is>
      </c>
      <c r="G232" t="inlineStr">
        <is>
          <t>KARLSTAD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10931-2025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46221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46221</v>
      </c>
      <c r="F234" t="inlineStr">
        <is>
          <t>VÄRMLANDS LÄN</t>
        </is>
      </c>
      <c r="G234" t="inlineStr">
        <is>
          <t>KARLSTAD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44615-2025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46221</v>
      </c>
      <c r="F235" t="inlineStr">
        <is>
          <t>VÄRMLANDS LÄN</t>
        </is>
      </c>
      <c r="G235" t="inlineStr">
        <is>
          <t>KARLSTAD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16154-2022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44666</v>
      </c>
      <c r="E236" s="1" t="n">
        <v>46221</v>
      </c>
      <c r="F236" t="inlineStr">
        <is>
          <t>VÄRMLANDS LÄN</t>
        </is>
      </c>
      <c r="G236" t="inlineStr">
        <is>
          <t>KARLSTAD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21943-2023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46221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46221</v>
      </c>
      <c r="F238" t="inlineStr">
        <is>
          <t>VÄRMLANDS LÄN</t>
        </is>
      </c>
      <c r="G238" t="inlineStr">
        <is>
          <t>KARLSTAD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46221</v>
      </c>
      <c r="F239" t="inlineStr">
        <is>
          <t>VÄRMLANDS LÄN</t>
        </is>
      </c>
      <c r="G239" t="inlineStr">
        <is>
          <t>KARLSTAD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46221</v>
      </c>
      <c r="F240" t="inlineStr">
        <is>
          <t>VÄRMLANDS LÄN</t>
        </is>
      </c>
      <c r="G240" t="inlineStr">
        <is>
          <t>KARLSTAD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46221</v>
      </c>
      <c r="F241" t="inlineStr">
        <is>
          <t>VÄRMLANDS LÄN</t>
        </is>
      </c>
      <c r="G241" t="inlineStr">
        <is>
          <t>KARLSTAD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13325-2023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46221</v>
      </c>
      <c r="F242" t="inlineStr">
        <is>
          <t>VÄRMLANDS LÄN</t>
        </is>
      </c>
      <c r="G242" t="inlineStr">
        <is>
          <t>KARLSTAD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55765-2024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46221</v>
      </c>
      <c r="F243" t="inlineStr">
        <is>
          <t>VÄRMLANDS LÄN</t>
        </is>
      </c>
      <c r="G243" t="inlineStr">
        <is>
          <t>KARLSTAD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46221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46221</v>
      </c>
      <c r="F245" t="inlineStr">
        <is>
          <t>VÄRMLANDS LÄN</t>
        </is>
      </c>
      <c r="G245" t="inlineStr">
        <is>
          <t>KARLSTAD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46221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54669-2024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45618</v>
      </c>
      <c r="E247" s="1" t="n">
        <v>46221</v>
      </c>
      <c r="F247" t="inlineStr">
        <is>
          <t>VÄRMLANDS LÄN</t>
        </is>
      </c>
      <c r="G247" t="inlineStr">
        <is>
          <t>KARLSTAD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46221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46221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46221</v>
      </c>
      <c r="F250" t="inlineStr">
        <is>
          <t>VÄRMLANDS LÄN</t>
        </is>
      </c>
      <c r="G250" t="inlineStr">
        <is>
          <t>KARLSTAD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27344-2023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46221</v>
      </c>
      <c r="F251" t="inlineStr">
        <is>
          <t>VÄRMLANDS LÄN</t>
        </is>
      </c>
      <c r="G251" t="inlineStr">
        <is>
          <t>KARLSTAD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46221</v>
      </c>
      <c r="F252" t="inlineStr">
        <is>
          <t>VÄRMLANDS LÄN</t>
        </is>
      </c>
      <c r="G252" t="inlineStr">
        <is>
          <t>KARLSTAD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46221</v>
      </c>
      <c r="F253" t="inlineStr">
        <is>
          <t>VÄRMLANDS LÄN</t>
        </is>
      </c>
      <c r="G253" t="inlineStr">
        <is>
          <t>KARLSTAD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46221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46221</v>
      </c>
      <c r="F255" t="inlineStr">
        <is>
          <t>VÄRMLANDS LÄN</t>
        </is>
      </c>
      <c r="G255" t="inlineStr">
        <is>
          <t>KARLSTAD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46221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45880</v>
      </c>
      <c r="E257" s="1" t="n">
        <v>46221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46221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46221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37932-2025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45881</v>
      </c>
      <c r="E260" s="1" t="n">
        <v>46221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45061</v>
      </c>
      <c r="E261" s="1" t="n">
        <v>46221</v>
      </c>
      <c r="F261" t="inlineStr">
        <is>
          <t>VÄRMLANDS LÄN</t>
        </is>
      </c>
      <c r="G261" t="inlineStr">
        <is>
          <t>KARLSTAD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12475-2023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44999</v>
      </c>
      <c r="E262" s="1" t="n">
        <v>46221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46221</v>
      </c>
      <c r="F263" t="inlineStr">
        <is>
          <t>VÄRMLANDS LÄN</t>
        </is>
      </c>
      <c r="G263" t="inlineStr">
        <is>
          <t>KARLSTAD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46221</v>
      </c>
      <c r="F264" t="inlineStr">
        <is>
          <t>VÄRMLANDS LÄN</t>
        </is>
      </c>
      <c r="G264" t="inlineStr">
        <is>
          <t>KARLSTAD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46221</v>
      </c>
      <c r="F265" t="inlineStr">
        <is>
          <t>VÄRMLANDS LÄN</t>
        </is>
      </c>
      <c r="G265" t="inlineStr">
        <is>
          <t>KARLSTAD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58653-2024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45635</v>
      </c>
      <c r="E266" s="1" t="n">
        <v>46221</v>
      </c>
      <c r="F266" t="inlineStr">
        <is>
          <t>VÄRMLANDS LÄN</t>
        </is>
      </c>
      <c r="G266" t="inlineStr">
        <is>
          <t>KARLSTAD</t>
        </is>
      </c>
      <c r="I266" t="n">
        <v>18.5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46221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8642-2026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46221</v>
      </c>
      <c r="F268" t="inlineStr">
        <is>
          <t>VÄRMLANDS LÄN</t>
        </is>
      </c>
      <c r="G268" t="inlineStr">
        <is>
          <t>KARLSTAD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13543-2025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46221</v>
      </c>
      <c r="F269" t="inlineStr">
        <is>
          <t>VÄRMLANDS LÄN</t>
        </is>
      </c>
      <c r="G269" t="inlineStr">
        <is>
          <t>KARLSTAD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8656-2026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46221</v>
      </c>
      <c r="F270" t="inlineStr">
        <is>
          <t>VÄRMLANDS LÄN</t>
        </is>
      </c>
      <c r="G270" t="inlineStr">
        <is>
          <t>KARLSTAD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41321-2023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46221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39229-2021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44413</v>
      </c>
      <c r="E272" s="1" t="n">
        <v>46221</v>
      </c>
      <c r="F272" t="inlineStr">
        <is>
          <t>VÄRMLANDS LÄN</t>
        </is>
      </c>
      <c r="G272" t="inlineStr">
        <is>
          <t>KARLSTAD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46221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46221</v>
      </c>
      <c r="F274" t="inlineStr">
        <is>
          <t>VÄRMLANDS LÄN</t>
        </is>
      </c>
      <c r="G274" t="inlineStr">
        <is>
          <t>KARLSTAD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46221</v>
      </c>
      <c r="F275" t="inlineStr">
        <is>
          <t>VÄRMLANDS LÄN</t>
        </is>
      </c>
      <c r="G275" t="inlineStr">
        <is>
          <t>KARLSTAD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45679</v>
      </c>
      <c r="E276" s="1" t="n">
        <v>46221</v>
      </c>
      <c r="F276" t="inlineStr">
        <is>
          <t>VÄRMLANDS LÄN</t>
        </is>
      </c>
      <c r="G276" t="inlineStr">
        <is>
          <t>KARLSTAD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54296-2025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46221</v>
      </c>
      <c r="F277" t="inlineStr">
        <is>
          <t>VÄRMLANDS LÄN</t>
        </is>
      </c>
      <c r="G277" t="inlineStr">
        <is>
          <t>KARLSTAD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40001-2023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46221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66642-2021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44519</v>
      </c>
      <c r="E279" s="1" t="n">
        <v>46221</v>
      </c>
      <c r="F279" t="inlineStr">
        <is>
          <t>VÄRMLANDS LÄN</t>
        </is>
      </c>
      <c r="G279" t="inlineStr">
        <is>
          <t>KARLSTAD</t>
        </is>
      </c>
      <c r="I279" t="n">
        <v>18.2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49343-2021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44454</v>
      </c>
      <c r="E280" s="1" t="n">
        <v>46221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45711</v>
      </c>
      <c r="E281" s="1" t="n">
        <v>46221</v>
      </c>
      <c r="F281" t="inlineStr">
        <is>
          <t>VÄRMLANDS LÄN</t>
        </is>
      </c>
      <c r="G281" t="inlineStr">
        <is>
          <t>KARLSTAD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55910-2025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46221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46221</v>
      </c>
      <c r="F283" t="inlineStr">
        <is>
          <t>VÄRMLANDS LÄN</t>
        </is>
      </c>
      <c r="G283" t="inlineStr">
        <is>
          <t>KARLSTAD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17892-2023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45039</v>
      </c>
      <c r="E284" s="1" t="n">
        <v>46221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44518</v>
      </c>
      <c r="E285" s="1" t="n">
        <v>46221</v>
      </c>
      <c r="F285" t="inlineStr">
        <is>
          <t>VÄRMLANDS LÄN</t>
        </is>
      </c>
      <c r="G285" t="inlineStr">
        <is>
          <t>KARLSTAD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56375-2025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46221</v>
      </c>
      <c r="F286" t="inlineStr">
        <is>
          <t>VÄRMLANDS LÄN</t>
        </is>
      </c>
      <c r="G286" t="inlineStr">
        <is>
          <t>KARLSTAD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20509-2025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46221</v>
      </c>
      <c r="F287" t="inlineStr">
        <is>
          <t>VÄRMLANDS LÄN</t>
        </is>
      </c>
      <c r="G287" t="inlineStr">
        <is>
          <t>KARLSTAD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46221</v>
      </c>
      <c r="F288" t="inlineStr">
        <is>
          <t>VÄRMLANDS LÄN</t>
        </is>
      </c>
      <c r="G288" t="inlineStr">
        <is>
          <t>KARLSTAD</t>
        </is>
      </c>
      <c r="I288" t="n">
        <v>20.6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46221</v>
      </c>
      <c r="F289" t="inlineStr">
        <is>
          <t>VÄRMLANDS LÄN</t>
        </is>
      </c>
      <c r="G289" t="inlineStr">
        <is>
          <t>KARLSTAD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11342-2026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46082</v>
      </c>
      <c r="E290" s="1" t="n">
        <v>46221</v>
      </c>
      <c r="F290" t="inlineStr">
        <is>
          <t>VÄRMLANDS LÄN</t>
        </is>
      </c>
      <c r="G290" t="inlineStr">
        <is>
          <t>KARLSTAD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46221</v>
      </c>
      <c r="F291" t="inlineStr">
        <is>
          <t>VÄRMLANDS LÄN</t>
        </is>
      </c>
      <c r="G291" t="inlineStr">
        <is>
          <t>KARLSTAD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22409-2023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45070</v>
      </c>
      <c r="E292" s="1" t="n">
        <v>46221</v>
      </c>
      <c r="F292" t="inlineStr">
        <is>
          <t>VÄRMLANDS LÄN</t>
        </is>
      </c>
      <c r="G292" t="inlineStr">
        <is>
          <t>KARLSTAD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46221</v>
      </c>
      <c r="F293" t="inlineStr">
        <is>
          <t>VÄRMLANDS LÄN</t>
        </is>
      </c>
      <c r="G293" t="inlineStr">
        <is>
          <t>KARLSTAD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46221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46221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46221</v>
      </c>
      <c r="F296" t="inlineStr">
        <is>
          <t>VÄRMLANDS LÄN</t>
        </is>
      </c>
      <c r="G296" t="inlineStr">
        <is>
          <t>KARLSTAD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46221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  <c r="X297">
        <f>HYPERLINK("https://klasma.github.io/Logging_1780/knärot/A 57466-2025 karta knärot.png", "A 57466-2025")</f>
        <v/>
      </c>
      <c r="Y297">
        <f>HYPERLINK("https://klasma.github.io/Logging_1780/klagomål/A 57466-2025 FSC-klagomål.docx", "A 57466-2025")</f>
        <v/>
      </c>
      <c r="Z297">
        <f>HYPERLINK("https://klasma.github.io/Logging_1780/klagomålsmail/A 57466-2025 FSC-klagomål mail.docx", "A 57466-2025")</f>
        <v/>
      </c>
      <c r="AA297">
        <f>HYPERLINK("https://klasma.github.io/Logging_1780/tillsyn/A 57466-2025 tillsynsbegäran.docx", "A 57466-2025")</f>
        <v/>
      </c>
      <c r="AB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41960-2023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45177</v>
      </c>
      <c r="E298" s="1" t="n">
        <v>46221</v>
      </c>
      <c r="F298" t="inlineStr">
        <is>
          <t>VÄRMLANDS LÄN</t>
        </is>
      </c>
      <c r="G298" t="inlineStr">
        <is>
          <t>KARLSTAD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44578</v>
      </c>
      <c r="E299" s="1" t="n">
        <v>46221</v>
      </c>
      <c r="F299" t="inlineStr">
        <is>
          <t>VÄRMLANDS LÄN</t>
        </is>
      </c>
      <c r="G299" t="inlineStr">
        <is>
          <t>KARLSTAD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46221</v>
      </c>
      <c r="F300" t="inlineStr">
        <is>
          <t>VÄRMLANDS LÄN</t>
        </is>
      </c>
      <c r="G300" t="inlineStr">
        <is>
          <t>KARLSTAD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46221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46221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46221</v>
      </c>
      <c r="F303" t="inlineStr">
        <is>
          <t>VÄRMLANDS LÄN</t>
        </is>
      </c>
      <c r="G303" t="inlineStr">
        <is>
          <t>KARLSTAD</t>
        </is>
      </c>
      <c r="H303" t="inlineStr">
        <is>
          <t>Övriga statliga verk och myndigheter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47349-2022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44852</v>
      </c>
      <c r="E304" s="1" t="n">
        <v>46221</v>
      </c>
      <c r="F304" t="inlineStr">
        <is>
          <t>VÄRMLANDS LÄN</t>
        </is>
      </c>
      <c r="G304" t="inlineStr">
        <is>
          <t>KARLSTAD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46221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42060-2021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44426</v>
      </c>
      <c r="E306" s="1" t="n">
        <v>46221</v>
      </c>
      <c r="F306" t="inlineStr">
        <is>
          <t>VÄRMLANDS LÄN</t>
        </is>
      </c>
      <c r="G306" t="inlineStr">
        <is>
          <t>KARLSTAD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12903-2026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46092</v>
      </c>
      <c r="E307" s="1" t="n">
        <v>46221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46221</v>
      </c>
      <c r="F308" t="inlineStr">
        <is>
          <t>VÄRMLANDS LÄN</t>
        </is>
      </c>
      <c r="G308" t="inlineStr">
        <is>
          <t>KARLSTAD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13343-2026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46221</v>
      </c>
      <c r="F309" t="inlineStr">
        <is>
          <t>VÄRMLANDS LÄN</t>
        </is>
      </c>
      <c r="G309" t="inlineStr">
        <is>
          <t>KARLSTAD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46221</v>
      </c>
      <c r="F310" t="inlineStr">
        <is>
          <t>VÄRMLANDS LÄN</t>
        </is>
      </c>
      <c r="G310" t="inlineStr">
        <is>
          <t>KARLSTAD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13322-2026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46221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46221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45028</v>
      </c>
      <c r="E313" s="1" t="n">
        <v>46221</v>
      </c>
      <c r="F313" t="inlineStr">
        <is>
          <t>VÄRMLANDS LÄN</t>
        </is>
      </c>
      <c r="G313" t="inlineStr">
        <is>
          <t>KARLSTAD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14076-2026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46221</v>
      </c>
      <c r="F314" t="inlineStr">
        <is>
          <t>VÄRMLANDS LÄN</t>
        </is>
      </c>
      <c r="G314" t="inlineStr">
        <is>
          <t>KARLSTAD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51096-2021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46221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61673-2025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46002</v>
      </c>
      <c r="E316" s="1" t="n">
        <v>46221</v>
      </c>
      <c r="F316" t="inlineStr">
        <is>
          <t>VÄRMLANDS LÄN</t>
        </is>
      </c>
      <c r="G316" t="inlineStr">
        <is>
          <t>KARLSTAD</t>
        </is>
      </c>
      <c r="H316" t="inlineStr">
        <is>
          <t>Naturvårdsverket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27050-2023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46221</v>
      </c>
      <c r="F317" t="inlineStr">
        <is>
          <t>VÄRMLANDS LÄN</t>
        </is>
      </c>
      <c r="G317" t="inlineStr">
        <is>
          <t>KARLSTAD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14079-2026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46099</v>
      </c>
      <c r="E318" s="1" t="n">
        <v>46221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46221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46221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14433-2026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46221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57441-2022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46221</v>
      </c>
      <c r="F322" t="inlineStr">
        <is>
          <t>VÄRMLANDS LÄN</t>
        </is>
      </c>
      <c r="G322" t="inlineStr">
        <is>
          <t>KARLSTAD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44855</v>
      </c>
      <c r="E323" s="1" t="n">
        <v>46221</v>
      </c>
      <c r="F323" t="inlineStr">
        <is>
          <t>VÄRMLANDS LÄN</t>
        </is>
      </c>
      <c r="G323" t="inlineStr">
        <is>
          <t>KARLSTAD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46221</v>
      </c>
      <c r="F324" t="inlineStr">
        <is>
          <t>VÄRMLANDS LÄN</t>
        </is>
      </c>
      <c r="G324" t="inlineStr">
        <is>
          <t>KARLSTAD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12611-2024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45382</v>
      </c>
      <c r="E325" s="1" t="n">
        <v>46221</v>
      </c>
      <c r="F325" t="inlineStr">
        <is>
          <t>VÄRMLANDS LÄN</t>
        </is>
      </c>
      <c r="G325" t="inlineStr">
        <is>
          <t>KARLSTAD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63122-2025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46221</v>
      </c>
      <c r="F326" t="inlineStr">
        <is>
          <t>VÄRMLANDS LÄN</t>
        </is>
      </c>
      <c r="G326" t="inlineStr">
        <is>
          <t>KARLSTAD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46221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46221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57504-2022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44896</v>
      </c>
      <c r="E329" s="1" t="n">
        <v>46221</v>
      </c>
      <c r="F329" t="inlineStr">
        <is>
          <t>VÄRMLANDS LÄN</t>
        </is>
      </c>
      <c r="G329" t="inlineStr">
        <is>
          <t>KARLSTAD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9405-2025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45715</v>
      </c>
      <c r="E330" s="1" t="n">
        <v>46221</v>
      </c>
      <c r="F330" t="inlineStr">
        <is>
          <t>VÄRMLANDS LÄN</t>
        </is>
      </c>
      <c r="G330" t="inlineStr">
        <is>
          <t>KARLSTAD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14890-2026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46104</v>
      </c>
      <c r="E331" s="1" t="n">
        <v>46221</v>
      </c>
      <c r="F331" t="inlineStr">
        <is>
          <t>VÄRMLANDS LÄN</t>
        </is>
      </c>
      <c r="G331" t="inlineStr">
        <is>
          <t>KARLSTAD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14830-2026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46221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14859-2026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46221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63825-2025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46221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46221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46221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26670-2023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46221</v>
      </c>
      <c r="F337" t="inlineStr">
        <is>
          <t>VÄRMLANDS LÄN</t>
        </is>
      </c>
      <c r="G337" t="inlineStr">
        <is>
          <t>KARLSTAD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61095-2023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46221</v>
      </c>
      <c r="F338" t="inlineStr">
        <is>
          <t>VÄRMLANDS LÄN</t>
        </is>
      </c>
      <c r="G338" t="inlineStr">
        <is>
          <t>KARLSTAD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46221</v>
      </c>
      <c r="F339" t="inlineStr">
        <is>
          <t>VÄRMLANDS LÄN</t>
        </is>
      </c>
      <c r="G339" t="inlineStr">
        <is>
          <t>KARLSTAD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46221</v>
      </c>
      <c r="F340" t="inlineStr">
        <is>
          <t>VÄRMLANDS LÄN</t>
        </is>
      </c>
      <c r="G340" t="inlineStr">
        <is>
          <t>KARLSTAD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14235-2024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46221</v>
      </c>
      <c r="F341" t="inlineStr">
        <is>
          <t>VÄRMLANDS LÄN</t>
        </is>
      </c>
      <c r="G341" t="inlineStr">
        <is>
          <t>KARLSTAD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46221</v>
      </c>
      <c r="F342" t="inlineStr">
        <is>
          <t>VÄRMLANDS LÄN</t>
        </is>
      </c>
      <c r="G342" t="inlineStr">
        <is>
          <t>KARLSTAD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46221</v>
      </c>
      <c r="F343" t="inlineStr">
        <is>
          <t>VÄRMLANDS LÄN</t>
        </is>
      </c>
      <c r="G343" t="inlineStr">
        <is>
          <t>KARLSTAD</t>
        </is>
      </c>
      <c r="H343" t="inlineStr">
        <is>
          <t>Kyrkan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46221</v>
      </c>
      <c r="F344" t="inlineStr">
        <is>
          <t>VÄRMLANDS LÄN</t>
        </is>
      </c>
      <c r="G344" t="inlineStr">
        <is>
          <t>KARLSTAD</t>
        </is>
      </c>
      <c r="H344" t="inlineStr">
        <is>
          <t>Kyrkan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15772-2026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46107</v>
      </c>
      <c r="E345" s="1" t="n">
        <v>46221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58459-2022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46221</v>
      </c>
      <c r="F346" t="inlineStr">
        <is>
          <t>VÄRMLANDS LÄN</t>
        </is>
      </c>
      <c r="G346" t="inlineStr">
        <is>
          <t>KARLSTAD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46221</v>
      </c>
      <c r="F347" t="inlineStr">
        <is>
          <t>VÄRMLANDS LÄN</t>
        </is>
      </c>
      <c r="G347" t="inlineStr">
        <is>
          <t>KARLSTAD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15733-2023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45020</v>
      </c>
      <c r="E348" s="1" t="n">
        <v>46221</v>
      </c>
      <c r="F348" t="inlineStr">
        <is>
          <t>VÄRMLANDS LÄN</t>
        </is>
      </c>
      <c r="G348" t="inlineStr">
        <is>
          <t>KARLSTAD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32878-2023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46221</v>
      </c>
      <c r="F349" t="inlineStr">
        <is>
          <t>VÄRMLANDS LÄN</t>
        </is>
      </c>
      <c r="G349" t="inlineStr">
        <is>
          <t>KARLSTAD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37982-2024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45544</v>
      </c>
      <c r="E350" s="1" t="n">
        <v>46221</v>
      </c>
      <c r="F350" t="inlineStr">
        <is>
          <t>VÄRMLANDS LÄN</t>
        </is>
      </c>
      <c r="G350" t="inlineStr">
        <is>
          <t>KARLSTAD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17108-2026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46114</v>
      </c>
      <c r="E351" s="1" t="n">
        <v>46221</v>
      </c>
      <c r="F351" t="inlineStr">
        <is>
          <t>VÄRMLANDS LÄN</t>
        </is>
      </c>
      <c r="G351" t="inlineStr">
        <is>
          <t>KARLSTAD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46221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68011-2021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46221</v>
      </c>
      <c r="F353" t="inlineStr">
        <is>
          <t>VÄRMLANDS LÄN</t>
        </is>
      </c>
      <c r="G353" t="inlineStr">
        <is>
          <t>KARLSTAD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53654-2024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46221</v>
      </c>
      <c r="F354" t="inlineStr">
        <is>
          <t>VÄRMLANDS LÄN</t>
        </is>
      </c>
      <c r="G354" t="inlineStr">
        <is>
          <t>KARLSTAD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45565</v>
      </c>
      <c r="E355" s="1" t="n">
        <v>46221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45457</v>
      </c>
      <c r="E356" s="1" t="n">
        <v>46221</v>
      </c>
      <c r="F356" t="inlineStr">
        <is>
          <t>VÄRMLANDS LÄN</t>
        </is>
      </c>
      <c r="G356" t="inlineStr">
        <is>
          <t>KARLSTAD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44959</v>
      </c>
      <c r="E357" s="1" t="n">
        <v>46221</v>
      </c>
      <c r="F357" t="inlineStr">
        <is>
          <t>VÄRMLANDS LÄN</t>
        </is>
      </c>
      <c r="G357" t="inlineStr">
        <is>
          <t>KARLSTAD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46221</v>
      </c>
      <c r="F358" t="inlineStr">
        <is>
          <t>VÄRMLANDS LÄN</t>
        </is>
      </c>
      <c r="G358" t="inlineStr">
        <is>
          <t>KARLSTAD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46125</v>
      </c>
      <c r="E359" s="1" t="n">
        <v>46221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54292-2024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46221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62225-2021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46221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16757-2024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45411</v>
      </c>
      <c r="E362" s="1" t="n">
        <v>46221</v>
      </c>
      <c r="F362" t="inlineStr">
        <is>
          <t>VÄRMLANDS LÄN</t>
        </is>
      </c>
      <c r="G362" t="inlineStr">
        <is>
          <t>KARLSTAD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10284-2023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44986</v>
      </c>
      <c r="E363" s="1" t="n">
        <v>46221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46221</v>
      </c>
      <c r="F364" t="inlineStr">
        <is>
          <t>VÄRMLANDS LÄN</t>
        </is>
      </c>
      <c r="G364" t="inlineStr">
        <is>
          <t>KARLSTAD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46221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44589</v>
      </c>
      <c r="E366" s="1" t="n">
        <v>46221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54141-2024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45616</v>
      </c>
      <c r="E367" s="1" t="n">
        <v>46221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46221</v>
      </c>
      <c r="F368" t="inlineStr">
        <is>
          <t>VÄRMLANDS LÄN</t>
        </is>
      </c>
      <c r="G368" t="inlineStr">
        <is>
          <t>KARLSTAD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57146-2024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46221</v>
      </c>
      <c r="F369" t="inlineStr">
        <is>
          <t>VÄRMLANDS LÄN</t>
        </is>
      </c>
      <c r="G369" t="inlineStr">
        <is>
          <t>KARLSTAD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44937</v>
      </c>
      <c r="E370" s="1" t="n">
        <v>46221</v>
      </c>
      <c r="F370" t="inlineStr">
        <is>
          <t>VÄRMLANDS LÄN</t>
        </is>
      </c>
      <c r="G370" t="inlineStr">
        <is>
          <t>KARLSTAD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13745-2022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46221</v>
      </c>
      <c r="F371" t="inlineStr">
        <is>
          <t>VÄRMLANDS LÄN</t>
        </is>
      </c>
      <c r="G371" t="inlineStr">
        <is>
          <t>KARLSTAD</t>
        </is>
      </c>
      <c r="H371" t="inlineStr">
        <is>
          <t>Bergvik skog väst AB</t>
        </is>
      </c>
      <c r="I371" t="n">
        <v>20.8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45729</v>
      </c>
      <c r="E372" s="1" t="n">
        <v>46221</v>
      </c>
      <c r="F372" t="inlineStr">
        <is>
          <t>VÄRMLANDS LÄN</t>
        </is>
      </c>
      <c r="G372" t="inlineStr">
        <is>
          <t>KARLSTAD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46221</v>
      </c>
      <c r="F373" t="inlineStr">
        <is>
          <t>VÄRMLANDS LÄN</t>
        </is>
      </c>
      <c r="G373" t="inlineStr">
        <is>
          <t>KARLSTAD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45630</v>
      </c>
      <c r="E374" s="1" t="n">
        <v>46221</v>
      </c>
      <c r="F374" t="inlineStr">
        <is>
          <t>VÄRMLANDS LÄN</t>
        </is>
      </c>
      <c r="G374" t="inlineStr">
        <is>
          <t>KARLSTAD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25558-2025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46221</v>
      </c>
      <c r="F375" t="inlineStr">
        <is>
          <t>VÄRMLANDS LÄN</t>
        </is>
      </c>
      <c r="G375" t="inlineStr">
        <is>
          <t>KARLSTAD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29265-2025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46221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45877</v>
      </c>
      <c r="E377" s="1" t="n">
        <v>46221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44566</v>
      </c>
      <c r="E378" s="1" t="n">
        <v>46221</v>
      </c>
      <c r="F378" t="inlineStr">
        <is>
          <t>VÄRMLANDS LÄN</t>
        </is>
      </c>
      <c r="G378" t="inlineStr">
        <is>
          <t>KARLSTAD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42174-2025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45904</v>
      </c>
      <c r="E379" s="1" t="n">
        <v>46221</v>
      </c>
      <c r="F379" t="inlineStr">
        <is>
          <t>VÄRMLANDS LÄN</t>
        </is>
      </c>
      <c r="G379" t="inlineStr">
        <is>
          <t>KARLSTAD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50236-2024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45600</v>
      </c>
      <c r="E380" s="1" t="n">
        <v>46221</v>
      </c>
      <c r="F380" t="inlineStr">
        <is>
          <t>VÄRMLANDS LÄN</t>
        </is>
      </c>
      <c r="G380" t="inlineStr">
        <is>
          <t>KARLSTAD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45688</v>
      </c>
      <c r="E381" s="1" t="n">
        <v>46221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50526-2023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46221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24648-2022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44727</v>
      </c>
      <c r="E383" s="1" t="n">
        <v>46221</v>
      </c>
      <c r="F383" t="inlineStr">
        <is>
          <t>VÄRMLANDS LÄN</t>
        </is>
      </c>
      <c r="G383" t="inlineStr">
        <is>
          <t>KARLSTAD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18471-2022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44686</v>
      </c>
      <c r="E384" s="1" t="n">
        <v>46221</v>
      </c>
      <c r="F384" t="inlineStr">
        <is>
          <t>VÄRMLANDS LÄN</t>
        </is>
      </c>
      <c r="G384" t="inlineStr">
        <is>
          <t>KARLSTAD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57445-2022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46221</v>
      </c>
      <c r="F385" t="inlineStr">
        <is>
          <t>VÄRMLANDS LÄN</t>
        </is>
      </c>
      <c r="G385" t="inlineStr">
        <is>
          <t>KARLSTAD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46221</v>
      </c>
      <c r="F386" t="inlineStr">
        <is>
          <t>VÄRMLANDS LÄN</t>
        </is>
      </c>
      <c r="G386" t="inlineStr">
        <is>
          <t>KARLSTAD</t>
        </is>
      </c>
      <c r="H386" t="inlineStr">
        <is>
          <t>Övriga statliga verk och myndigheter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45371</v>
      </c>
      <c r="E387" s="1" t="n">
        <v>46221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11194-2024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46221</v>
      </c>
      <c r="F388" t="inlineStr">
        <is>
          <t>VÄRMLANDS LÄN</t>
        </is>
      </c>
      <c r="G388" t="inlineStr">
        <is>
          <t>KARLSTAD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16421-2025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46221</v>
      </c>
      <c r="F389" t="inlineStr">
        <is>
          <t>VÄRMLANDS LÄN</t>
        </is>
      </c>
      <c r="G389" t="inlineStr">
        <is>
          <t>KARLSTAD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41563-2023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46221</v>
      </c>
      <c r="F390" t="inlineStr">
        <is>
          <t>VÄRMLANDS LÄN</t>
        </is>
      </c>
      <c r="G390" t="inlineStr">
        <is>
          <t>KARLSTAD</t>
        </is>
      </c>
      <c r="H390" t="inlineStr">
        <is>
          <t>Övriga Aktiebolag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46967-2023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46221</v>
      </c>
      <c r="F391" t="inlineStr">
        <is>
          <t>VÄRMLANDS LÄN</t>
        </is>
      </c>
      <c r="G391" t="inlineStr">
        <is>
          <t>KARLSTAD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44594</v>
      </c>
      <c r="E392" s="1" t="n">
        <v>46221</v>
      </c>
      <c r="F392" t="inlineStr">
        <is>
          <t>VÄRMLANDS LÄN</t>
        </is>
      </c>
      <c r="G392" t="inlineStr">
        <is>
          <t>KARLSTAD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26079-2026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46221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39504-2022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46221</v>
      </c>
      <c r="F394" t="inlineStr">
        <is>
          <t>VÄRMLANDS LÄN</t>
        </is>
      </c>
      <c r="G394" t="inlineStr">
        <is>
          <t>KARLSTAD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7491-2022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46221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46221</v>
      </c>
      <c r="F396" t="inlineStr">
        <is>
          <t>VÄRMLANDS LÄN</t>
        </is>
      </c>
      <c r="G396" t="inlineStr">
        <is>
          <t>KARLSTAD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46221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46221</v>
      </c>
      <c r="F398" t="inlineStr">
        <is>
          <t>VÄRMLANDS LÄN</t>
        </is>
      </c>
      <c r="G398" t="inlineStr">
        <is>
          <t>KARLSTAD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45265-2023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46221</v>
      </c>
      <c r="F399" t="inlineStr">
        <is>
          <t>VÄRMLANDS LÄN</t>
        </is>
      </c>
      <c r="G399" t="inlineStr">
        <is>
          <t>KARLSTAD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45265-2023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46221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24772-2025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45799</v>
      </c>
      <c r="E401" s="1" t="n">
        <v>46221</v>
      </c>
      <c r="F401" t="inlineStr">
        <is>
          <t>VÄRMLANDS LÄN</t>
        </is>
      </c>
      <c r="G401" t="inlineStr">
        <is>
          <t>KARLSTAD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24104-2025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46221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24656-2025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46221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46221</v>
      </c>
      <c r="F404" t="inlineStr">
        <is>
          <t>VÄRMLANDS LÄN</t>
        </is>
      </c>
      <c r="G404" t="inlineStr">
        <is>
          <t>KARLSTAD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11700-2022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44634</v>
      </c>
      <c r="E405" s="1" t="n">
        <v>46221</v>
      </c>
      <c r="F405" t="inlineStr">
        <is>
          <t>VÄRMLANDS LÄN</t>
        </is>
      </c>
      <c r="G405" t="inlineStr">
        <is>
          <t>KARLSTAD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51760-2023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46221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37627-2025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46221</v>
      </c>
      <c r="F407" t="inlineStr">
        <is>
          <t>VÄRMLANDS LÄN</t>
        </is>
      </c>
      <c r="G407" t="inlineStr">
        <is>
          <t>KARLSTAD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46221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30533-2023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45111</v>
      </c>
      <c r="E409" s="1" t="n">
        <v>46221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12881-2026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46221</v>
      </c>
      <c r="F410" t="inlineStr">
        <is>
          <t>VÄRMLANDS LÄN</t>
        </is>
      </c>
      <c r="G410" t="inlineStr">
        <is>
          <t>KARLSTAD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35879-2023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46221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11841-2024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46221</v>
      </c>
      <c r="F412" t="inlineStr">
        <is>
          <t>VÄRMLANDS LÄN</t>
        </is>
      </c>
      <c r="G412" t="inlineStr">
        <is>
          <t>KARLSTAD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46221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61070-2023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45260</v>
      </c>
      <c r="E414" s="1" t="n">
        <v>46221</v>
      </c>
      <c r="F414" t="inlineStr">
        <is>
          <t>VÄRMLANDS LÄN</t>
        </is>
      </c>
      <c r="G414" t="inlineStr">
        <is>
          <t>KARLSTAD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45308</v>
      </c>
      <c r="E415" s="1" t="n">
        <v>46221</v>
      </c>
      <c r="F415" t="inlineStr">
        <is>
          <t>VÄRMLANDS LÄN</t>
        </is>
      </c>
      <c r="G415" t="inlineStr">
        <is>
          <t>KARLSTAD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46221</v>
      </c>
      <c r="F416" t="inlineStr">
        <is>
          <t>VÄRMLANDS LÄN</t>
        </is>
      </c>
      <c r="G416" t="inlineStr">
        <is>
          <t>KARLSTAD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37487-2025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45877</v>
      </c>
      <c r="E417" s="1" t="n">
        <v>46221</v>
      </c>
      <c r="F417" t="inlineStr">
        <is>
          <t>VÄRMLANDS LÄN</t>
        </is>
      </c>
      <c r="G417" t="inlineStr">
        <is>
          <t>KARLSTAD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46221</v>
      </c>
      <c r="F418" t="inlineStr">
        <is>
          <t>VÄRMLANDS LÄN</t>
        </is>
      </c>
      <c r="G418" t="inlineStr">
        <is>
          <t>KARLSTAD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46221</v>
      </c>
      <c r="F419" t="inlineStr">
        <is>
          <t>VÄRMLANDS LÄN</t>
        </is>
      </c>
      <c r="G419" t="inlineStr">
        <is>
          <t>KARLSTAD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44888</v>
      </c>
      <c r="E420" s="1" t="n">
        <v>46221</v>
      </c>
      <c r="F420" t="inlineStr">
        <is>
          <t>VÄRMLANDS LÄN</t>
        </is>
      </c>
      <c r="G420" t="inlineStr">
        <is>
          <t>KARLSTAD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  <c r="X420">
        <f>HYPERLINK("https://klasma.github.io/Logging_1780/knärot/A 55764-2022 karta knärot.png", "A 55764-2022")</f>
        <v/>
      </c>
      <c r="Y420">
        <f>HYPERLINK("https://klasma.github.io/Logging_1780/klagomål/A 55764-2022 FSC-klagomål.docx", "A 55764-2022")</f>
        <v/>
      </c>
      <c r="Z420">
        <f>HYPERLINK("https://klasma.github.io/Logging_1780/klagomålsmail/A 55764-2022 FSC-klagomål mail.docx", "A 55764-2022")</f>
        <v/>
      </c>
      <c r="AA420">
        <f>HYPERLINK("https://klasma.github.io/Logging_1780/tillsyn/A 55764-2022 tillsynsbegäran.docx", "A 55764-2022")</f>
        <v/>
      </c>
      <c r="AB420">
        <f>HYPERLINK("https://klasma.github.io/Logging_1780/tillsynsmail/A 55764-2022 tillsynsbegäran mail.docx", "A 55764-2022")</f>
        <v/>
      </c>
    </row>
    <row r="421" ht="15" customHeight="1">
      <c r="A421" t="inlineStr">
        <is>
          <t>A 61009-2023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46221</v>
      </c>
      <c r="F421" t="inlineStr">
        <is>
          <t>VÄRMLANDS LÄN</t>
        </is>
      </c>
      <c r="G421" t="inlineStr">
        <is>
          <t>KARLSTAD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32333-2025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45836</v>
      </c>
      <c r="E422" s="1" t="n">
        <v>46221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46221</v>
      </c>
      <c r="F423" t="inlineStr">
        <is>
          <t>VÄRMLANDS LÄN</t>
        </is>
      </c>
      <c r="G423" t="inlineStr">
        <is>
          <t>KARLSTAD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15836-2022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44664</v>
      </c>
      <c r="E424" s="1" t="n">
        <v>46221</v>
      </c>
      <c r="F424" t="inlineStr">
        <is>
          <t>VÄRMLANDS LÄN</t>
        </is>
      </c>
      <c r="G424" t="inlineStr">
        <is>
          <t>KARLSTAD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41568-2023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46221</v>
      </c>
      <c r="F425" t="inlineStr">
        <is>
          <t>VÄRMLANDS LÄN</t>
        </is>
      </c>
      <c r="G425" t="inlineStr">
        <is>
          <t>KARLSTAD</t>
        </is>
      </c>
      <c r="H425" t="inlineStr">
        <is>
          <t>Övriga Aktiebolag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46221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26672-2023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46221</v>
      </c>
      <c r="F427" t="inlineStr">
        <is>
          <t>VÄRMLANDS LÄN</t>
        </is>
      </c>
      <c r="G427" t="inlineStr">
        <is>
          <t>KARLSTAD</t>
        </is>
      </c>
      <c r="I427" t="n">
        <v>22.7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22798-2022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44715</v>
      </c>
      <c r="E428" s="1" t="n">
        <v>46221</v>
      </c>
      <c r="F428" t="inlineStr">
        <is>
          <t>VÄRMLANDS LÄN</t>
        </is>
      </c>
      <c r="G428" t="inlineStr">
        <is>
          <t>KARLSTAD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44735</v>
      </c>
      <c r="E429" s="1" t="n">
        <v>46221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26076-2026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46221</v>
      </c>
      <c r="F430" t="inlineStr">
        <is>
          <t>VÄRMLANDS LÄN</t>
        </is>
      </c>
      <c r="G430" t="inlineStr">
        <is>
          <t>KARLSTAD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20855-2026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46221</v>
      </c>
      <c r="F431" t="inlineStr">
        <is>
          <t>VÄRMLANDS LÄN</t>
        </is>
      </c>
      <c r="G431" t="inlineStr">
        <is>
          <t>KARLSTAD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45322</v>
      </c>
      <c r="E432" s="1" t="n">
        <v>46221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46221</v>
      </c>
      <c r="F433" t="inlineStr">
        <is>
          <t>VÄRMLANDS LÄN</t>
        </is>
      </c>
      <c r="G433" t="inlineStr">
        <is>
          <t>KARLSTAD</t>
        </is>
      </c>
      <c r="I433" t="n">
        <v>21.7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65085-2023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46221</v>
      </c>
      <c r="F434" t="inlineStr">
        <is>
          <t>VÄRMLANDS LÄN</t>
        </is>
      </c>
      <c r="G434" t="inlineStr">
        <is>
          <t>KARLSTAD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8892-2025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46221</v>
      </c>
      <c r="F435" t="inlineStr">
        <is>
          <t>VÄRMLANDS LÄN</t>
        </is>
      </c>
      <c r="G435" t="inlineStr">
        <is>
          <t>KARLSTAD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46221</v>
      </c>
      <c r="F436" t="inlineStr">
        <is>
          <t>VÄRMLANDS LÄN</t>
        </is>
      </c>
      <c r="G436" t="inlineStr">
        <is>
          <t>KARLSTAD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45218</v>
      </c>
      <c r="E437" s="1" t="n">
        <v>46221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29655-2022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44754</v>
      </c>
      <c r="E438" s="1" t="n">
        <v>46221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46221</v>
      </c>
      <c r="F439" t="inlineStr">
        <is>
          <t>VÄRMLANDS LÄN</t>
        </is>
      </c>
      <c r="G439" t="inlineStr">
        <is>
          <t>KARLSTAD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46221</v>
      </c>
      <c r="F440" t="inlineStr">
        <is>
          <t>VÄRMLANDS LÄN</t>
        </is>
      </c>
      <c r="G440" t="inlineStr">
        <is>
          <t>KARLSTAD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46221</v>
      </c>
      <c r="F441" t="inlineStr">
        <is>
          <t>VÄRMLANDS LÄN</t>
        </is>
      </c>
      <c r="G441" t="inlineStr">
        <is>
          <t>KARLSTAD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46221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46221</v>
      </c>
      <c r="F443" t="inlineStr">
        <is>
          <t>VÄRMLANDS LÄN</t>
        </is>
      </c>
      <c r="G443" t="inlineStr">
        <is>
          <t>KARLSTAD</t>
        </is>
      </c>
      <c r="I443" t="n">
        <v>10.9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27583-2026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46221</v>
      </c>
      <c r="F444" t="inlineStr">
        <is>
          <t>VÄRMLANDS LÄN</t>
        </is>
      </c>
      <c r="G444" t="inlineStr">
        <is>
          <t>KARLSTAD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27559-2026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46221</v>
      </c>
      <c r="F445" t="inlineStr">
        <is>
          <t>VÄRMLANDS LÄN</t>
        </is>
      </c>
      <c r="G445" t="inlineStr">
        <is>
          <t>KARLSTAD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27576-2026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46221</v>
      </c>
      <c r="F446" t="inlineStr">
        <is>
          <t>VÄRMLANDS LÄN</t>
        </is>
      </c>
      <c r="G446" t="inlineStr">
        <is>
          <t>KARLSTAD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17082-2025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45755</v>
      </c>
      <c r="E447" s="1" t="n">
        <v>46221</v>
      </c>
      <c r="F447" t="inlineStr">
        <is>
          <t>VÄRMLANDS LÄN</t>
        </is>
      </c>
      <c r="G447" t="inlineStr">
        <is>
          <t>KARLSTAD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27571-2026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46221</v>
      </c>
      <c r="F448" t="inlineStr">
        <is>
          <t>VÄRMLANDS LÄN</t>
        </is>
      </c>
      <c r="G448" t="inlineStr">
        <is>
          <t>KARLSTAD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46221</v>
      </c>
      <c r="F449" t="inlineStr">
        <is>
          <t>VÄRMLANDS LÄN</t>
        </is>
      </c>
      <c r="G449" t="inlineStr">
        <is>
          <t>KARLSTAD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52799-2023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46221</v>
      </c>
      <c r="F450" t="inlineStr">
        <is>
          <t>VÄRMLANDS LÄN</t>
        </is>
      </c>
      <c r="G450" t="inlineStr">
        <is>
          <t>KARLSTAD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44938</v>
      </c>
      <c r="E451" s="1" t="n">
        <v>46221</v>
      </c>
      <c r="F451" t="inlineStr">
        <is>
          <t>VÄRMLANDS LÄN</t>
        </is>
      </c>
      <c r="G451" t="inlineStr">
        <is>
          <t>KARLSTAD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55621-2022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44888</v>
      </c>
      <c r="E452" s="1" t="n">
        <v>46221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45302</v>
      </c>
      <c r="E453" s="1" t="n">
        <v>46221</v>
      </c>
      <c r="F453" t="inlineStr">
        <is>
          <t>VÄRMLANDS LÄN</t>
        </is>
      </c>
      <c r="G453" t="inlineStr">
        <is>
          <t>KARLSTAD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11620-2023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46221</v>
      </c>
      <c r="F454" t="inlineStr">
        <is>
          <t>VÄRMLANDS LÄN</t>
        </is>
      </c>
      <c r="G454" t="inlineStr">
        <is>
          <t>KARLSTAD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29893-2024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45487</v>
      </c>
      <c r="E455" s="1" t="n">
        <v>46221</v>
      </c>
      <c r="F455" t="inlineStr">
        <is>
          <t>VÄRMLANDS LÄN</t>
        </is>
      </c>
      <c r="G455" t="inlineStr">
        <is>
          <t>KARLSTAD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46221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72072-2021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44544</v>
      </c>
      <c r="E457" s="1" t="n">
        <v>46221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46221</v>
      </c>
      <c r="F458" t="inlineStr">
        <is>
          <t>VÄRMLANDS LÄN</t>
        </is>
      </c>
      <c r="G458" t="inlineStr">
        <is>
          <t>KARLSTAD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22258-2026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46221</v>
      </c>
      <c r="F459" t="inlineStr">
        <is>
          <t>VÄRMLANDS LÄN</t>
        </is>
      </c>
      <c r="G459" t="inlineStr">
        <is>
          <t>KARLSTAD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46221</v>
      </c>
      <c r="F460" t="inlineStr">
        <is>
          <t>VÄRMLANDS LÄN</t>
        </is>
      </c>
      <c r="G460" t="inlineStr">
        <is>
          <t>KARLSTAD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46221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45581</v>
      </c>
      <c r="E462" s="1" t="n">
        <v>46221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28063-2026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46221</v>
      </c>
      <c r="F463" t="inlineStr">
        <is>
          <t>VÄRMLANDS LÄN</t>
        </is>
      </c>
      <c r="G463" t="inlineStr">
        <is>
          <t>KARLSTAD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53048-2022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46221</v>
      </c>
      <c r="F464" t="inlineStr">
        <is>
          <t>VÄRMLANDS LÄN</t>
        </is>
      </c>
      <c r="G464" t="inlineStr">
        <is>
          <t>KARLSTAD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22302-2026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46221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60184-2023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46221</v>
      </c>
      <c r="F466" t="inlineStr">
        <is>
          <t>VÄRMLANDS LÄN</t>
        </is>
      </c>
      <c r="G466" t="inlineStr">
        <is>
          <t>KARLSTAD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61005-2023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46221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41510-2023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45175</v>
      </c>
      <c r="E468" s="1" t="n">
        <v>46221</v>
      </c>
      <c r="F468" t="inlineStr">
        <is>
          <t>VÄRMLANDS LÄN</t>
        </is>
      </c>
      <c r="G468" t="inlineStr">
        <is>
          <t>KARLSTAD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41376-2024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46221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59626-2021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44491</v>
      </c>
      <c r="E470" s="1" t="n">
        <v>46221</v>
      </c>
      <c r="F470" t="inlineStr">
        <is>
          <t>VÄRMLANDS LÄN</t>
        </is>
      </c>
      <c r="G470" t="inlineStr">
        <is>
          <t>KARLSTAD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55666-2024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46221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51086-2021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44461</v>
      </c>
      <c r="E472" s="1" t="n">
        <v>46221</v>
      </c>
      <c r="F472" t="inlineStr">
        <is>
          <t>VÄRMLANDS LÄN</t>
        </is>
      </c>
      <c r="G472" t="inlineStr">
        <is>
          <t>KARLSTAD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46221</v>
      </c>
      <c r="F473" t="inlineStr">
        <is>
          <t>VÄRMLANDS LÄN</t>
        </is>
      </c>
      <c r="G473" t="inlineStr">
        <is>
          <t>KARLSTAD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56869-2025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46221</v>
      </c>
      <c r="F474" t="inlineStr">
        <is>
          <t>VÄRMLANDS LÄN</t>
        </is>
      </c>
      <c r="G474" t="inlineStr">
        <is>
          <t>KARLSTAD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48777-2025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45937</v>
      </c>
      <c r="E475" s="1" t="n">
        <v>46221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46221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44099-2024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46221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46221</v>
      </c>
      <c r="F478" t="inlineStr">
        <is>
          <t>VÄRMLANDS LÄN</t>
        </is>
      </c>
      <c r="G478" t="inlineStr">
        <is>
          <t>KARLSTAD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46898-2024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46221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50400-2021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44459</v>
      </c>
      <c r="E480" s="1" t="n">
        <v>46221</v>
      </c>
      <c r="F480" t="inlineStr">
        <is>
          <t>VÄRMLANDS LÄN</t>
        </is>
      </c>
      <c r="G480" t="inlineStr">
        <is>
          <t>KARLSTAD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14467-2022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44654</v>
      </c>
      <c r="E481" s="1" t="n">
        <v>46221</v>
      </c>
      <c r="F481" t="inlineStr">
        <is>
          <t>VÄRMLANDS LÄN</t>
        </is>
      </c>
      <c r="G481" t="inlineStr">
        <is>
          <t>KARLSTAD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46221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29388-2026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46221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29573-2026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46221</v>
      </c>
      <c r="F484" t="inlineStr">
        <is>
          <t>VÄRMLANDS LÄN</t>
        </is>
      </c>
      <c r="G484" t="inlineStr">
        <is>
          <t>KARLSTAD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44895</v>
      </c>
      <c r="E485" s="1" t="n">
        <v>46221</v>
      </c>
      <c r="F485" t="inlineStr">
        <is>
          <t>VÄRMLANDS LÄN</t>
        </is>
      </c>
      <c r="G485" t="inlineStr">
        <is>
          <t>KARLSTAD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70127-2021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44533</v>
      </c>
      <c r="E486" s="1" t="n">
        <v>46221</v>
      </c>
      <c r="F486" t="inlineStr">
        <is>
          <t>VÄRMLANDS LÄN</t>
        </is>
      </c>
      <c r="G486" t="inlineStr">
        <is>
          <t>KARLSTAD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28154-2022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44746</v>
      </c>
      <c r="E487" s="1" t="n">
        <v>46221</v>
      </c>
      <c r="F487" t="inlineStr">
        <is>
          <t>VÄRMLANDS LÄN</t>
        </is>
      </c>
      <c r="G487" t="inlineStr">
        <is>
          <t>KARLSTAD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46221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46221</v>
      </c>
      <c r="F489" t="inlineStr">
        <is>
          <t>VÄRMLANDS LÄN</t>
        </is>
      </c>
      <c r="G489" t="inlineStr">
        <is>
          <t>KARLSTAD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61102-2023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46221</v>
      </c>
      <c r="F490" t="inlineStr">
        <is>
          <t>VÄRMLANDS LÄN</t>
        </is>
      </c>
      <c r="G490" t="inlineStr">
        <is>
          <t>KARLSTAD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60724-2022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44913</v>
      </c>
      <c r="E491" s="1" t="n">
        <v>46221</v>
      </c>
      <c r="F491" t="inlineStr">
        <is>
          <t>VÄRMLANDS LÄN</t>
        </is>
      </c>
      <c r="G491" t="inlineStr">
        <is>
          <t>KARLSTAD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33804-2024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45520</v>
      </c>
      <c r="E492" s="1" t="n">
        <v>46221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36399-2023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46221</v>
      </c>
      <c r="F493" t="inlineStr">
        <is>
          <t>VÄRMLANDS LÄN</t>
        </is>
      </c>
      <c r="G493" t="inlineStr">
        <is>
          <t>KARLSTAD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27569-2024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46221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37076-2023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46221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29899-2026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46221</v>
      </c>
      <c r="F496" t="inlineStr">
        <is>
          <t>VÄRMLANDS LÄN</t>
        </is>
      </c>
      <c r="G496" t="inlineStr">
        <is>
          <t>KARLSTAD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31316-2023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46221</v>
      </c>
      <c r="F497" t="inlineStr">
        <is>
          <t>VÄRMLANDS LÄN</t>
        </is>
      </c>
      <c r="G497" t="inlineStr">
        <is>
          <t>KARLSTAD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44573</v>
      </c>
      <c r="E498" s="1" t="n">
        <v>46221</v>
      </c>
      <c r="F498" t="inlineStr">
        <is>
          <t>VÄRMLANDS LÄN</t>
        </is>
      </c>
      <c r="G498" t="inlineStr">
        <is>
          <t>KARLSTAD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46019-2023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46221</v>
      </c>
      <c r="F499" t="inlineStr">
        <is>
          <t>VÄRMLANDS LÄN</t>
        </is>
      </c>
      <c r="G499" t="inlineStr">
        <is>
          <t>KARLSTAD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35867-2025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45861</v>
      </c>
      <c r="E500" s="1" t="n">
        <v>46221</v>
      </c>
      <c r="F500" t="inlineStr">
        <is>
          <t>VÄRMLANDS LÄN</t>
        </is>
      </c>
      <c r="G500" t="inlineStr">
        <is>
          <t>KARLSTAD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39958-2023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46221</v>
      </c>
      <c r="F501" t="inlineStr">
        <is>
          <t>VÄRMLANDS LÄN</t>
        </is>
      </c>
      <c r="G501" t="inlineStr">
        <is>
          <t>KARLSTAD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69008-2021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46221</v>
      </c>
      <c r="F502" t="inlineStr">
        <is>
          <t>VÄRMLANDS LÄN</t>
        </is>
      </c>
      <c r="G502" t="inlineStr">
        <is>
          <t>KARLSTAD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25799-2022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44708</v>
      </c>
      <c r="E503" s="1" t="n">
        <v>46221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56643-2022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46221</v>
      </c>
      <c r="F504" t="inlineStr">
        <is>
          <t>VÄRMLANDS LÄN</t>
        </is>
      </c>
      <c r="G504" t="inlineStr">
        <is>
          <t>KARLSTAD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72772-2021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44547</v>
      </c>
      <c r="E505" s="1" t="n">
        <v>46221</v>
      </c>
      <c r="F505" t="inlineStr">
        <is>
          <t>VÄRMLANDS LÄN</t>
        </is>
      </c>
      <c r="G505" t="inlineStr">
        <is>
          <t>KARLSTAD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59890-2024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46221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56327-2023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45243</v>
      </c>
      <c r="E507" s="1" t="n">
        <v>46221</v>
      </c>
      <c r="F507" t="inlineStr">
        <is>
          <t>VÄRMLANDS LÄN</t>
        </is>
      </c>
      <c r="G507" t="inlineStr">
        <is>
          <t>KARLSTAD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46961-2023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46221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28056-2023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46221</v>
      </c>
      <c r="F509" t="inlineStr">
        <is>
          <t>VÄRMLANDS LÄN</t>
        </is>
      </c>
      <c r="G509" t="inlineStr">
        <is>
          <t>KARLSTAD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65086-2023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46221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46221</v>
      </c>
      <c r="F511" t="inlineStr">
        <is>
          <t>VÄRMLANDS LÄN</t>
        </is>
      </c>
      <c r="G511" t="inlineStr">
        <is>
          <t>KARLSTAD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33515-2023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45131</v>
      </c>
      <c r="E512" s="1" t="n">
        <v>46221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34321-2024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45524</v>
      </c>
      <c r="E513" s="1" t="n">
        <v>46221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59055-2024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46221</v>
      </c>
      <c r="F514" t="inlineStr">
        <is>
          <t>VÄRMLANDS LÄN</t>
        </is>
      </c>
      <c r="G514" t="inlineStr">
        <is>
          <t>KARLSTAD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13863-2023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45007</v>
      </c>
      <c r="E515" s="1" t="n">
        <v>46221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46221</v>
      </c>
      <c r="F516" t="inlineStr">
        <is>
          <t>VÄRMLANDS LÄN</t>
        </is>
      </c>
      <c r="G516" t="inlineStr">
        <is>
          <t>KARLSTAD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44952</v>
      </c>
      <c r="E517" s="1" t="n">
        <v>46221</v>
      </c>
      <c r="F517" t="inlineStr">
        <is>
          <t>VÄRMLANDS LÄN</t>
        </is>
      </c>
      <c r="G517" t="inlineStr">
        <is>
          <t>KARLSTAD</t>
        </is>
      </c>
      <c r="I517" t="n">
        <v>10.7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37888-2021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44403</v>
      </c>
      <c r="E518" s="1" t="n">
        <v>46221</v>
      </c>
      <c r="F518" t="inlineStr">
        <is>
          <t>VÄRMLANDS LÄN</t>
        </is>
      </c>
      <c r="G518" t="inlineStr">
        <is>
          <t>KARLSTAD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12029-2023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46221</v>
      </c>
      <c r="F519" t="inlineStr">
        <is>
          <t>VÄRMLANDS LÄN</t>
        </is>
      </c>
      <c r="G519" t="inlineStr">
        <is>
          <t>KARLSTAD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45049</v>
      </c>
      <c r="E520" s="1" t="n">
        <v>46221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46221</v>
      </c>
      <c r="F521" t="inlineStr">
        <is>
          <t>VÄRMLANDS LÄN</t>
        </is>
      </c>
      <c r="G521" t="inlineStr">
        <is>
          <t>KARLSTAD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54611-2024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46221</v>
      </c>
      <c r="F522" t="inlineStr">
        <is>
          <t>VÄRMLANDS LÄN</t>
        </is>
      </c>
      <c r="G522" t="inlineStr">
        <is>
          <t>KARLSTAD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10511-2024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46221</v>
      </c>
      <c r="F523" t="inlineStr">
        <is>
          <t>VÄRMLANDS LÄN</t>
        </is>
      </c>
      <c r="G523" t="inlineStr">
        <is>
          <t>KARLSTAD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24592-2026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46221</v>
      </c>
      <c r="F524" t="inlineStr">
        <is>
          <t>VÄRMLANDS LÄN</t>
        </is>
      </c>
      <c r="G524" t="inlineStr">
        <is>
          <t>KARLSTAD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46221</v>
      </c>
      <c r="F525" t="inlineStr">
        <is>
          <t>VÄRMLANDS LÄN</t>
        </is>
      </c>
      <c r="G525" t="inlineStr">
        <is>
          <t>KARLSTAD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46221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46221</v>
      </c>
      <c r="F527" t="inlineStr">
        <is>
          <t>VÄRMLANDS LÄN</t>
        </is>
      </c>
      <c r="G527" t="inlineStr">
        <is>
          <t>KARLSTAD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57153-2024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46221</v>
      </c>
      <c r="F528" t="inlineStr">
        <is>
          <t>VÄRMLANDS LÄN</t>
        </is>
      </c>
      <c r="G528" t="inlineStr">
        <is>
          <t>KARLSTAD</t>
        </is>
      </c>
      <c r="I528" t="n">
        <v>8.6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46221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34727-2023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45141</v>
      </c>
      <c r="E530" s="1" t="n">
        <v>46221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46221</v>
      </c>
      <c r="F531" t="inlineStr">
        <is>
          <t>VÄRMLANDS LÄN</t>
        </is>
      </c>
      <c r="G531" t="inlineStr">
        <is>
          <t>KARLSTAD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25068-2026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46221</v>
      </c>
      <c r="F532" t="inlineStr">
        <is>
          <t>VÄRMLANDS LÄN</t>
        </is>
      </c>
      <c r="G532" t="inlineStr">
        <is>
          <t>KARLSTAD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16952-2024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45411</v>
      </c>
      <c r="E533" s="1" t="n">
        <v>46221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60609-2023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46221</v>
      </c>
      <c r="F534" t="inlineStr">
        <is>
          <t>VÄRMLANDS LÄN</t>
        </is>
      </c>
      <c r="G534" t="inlineStr">
        <is>
          <t>KARLSTAD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31416-2026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46220</v>
      </c>
      <c r="E535" s="1" t="n">
        <v>46221</v>
      </c>
      <c r="F535" t="inlineStr">
        <is>
          <t>VÄRMLANDS LÄN</t>
        </is>
      </c>
      <c r="G535" t="inlineStr">
        <is>
          <t>KARLSTAD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46221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904-2025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45665</v>
      </c>
      <c r="E537" s="1" t="n">
        <v>46221</v>
      </c>
      <c r="F537" t="inlineStr">
        <is>
          <t>VÄRMLANDS LÄN</t>
        </is>
      </c>
      <c r="G537" t="inlineStr">
        <is>
          <t>KARLSTAD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36884-2022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44805</v>
      </c>
      <c r="E538" s="1" t="n">
        <v>46221</v>
      </c>
      <c r="F538" t="inlineStr">
        <is>
          <t>VÄRMLANDS LÄN</t>
        </is>
      </c>
      <c r="G538" t="inlineStr">
        <is>
          <t>KARLSTAD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43545-2023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46221</v>
      </c>
      <c r="F539" t="inlineStr">
        <is>
          <t>VÄRMLANDS LÄN</t>
        </is>
      </c>
      <c r="G539" t="inlineStr">
        <is>
          <t>KARLSTAD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31391-2026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46220</v>
      </c>
      <c r="E540" s="1" t="n">
        <v>46221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31426-2026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46220</v>
      </c>
      <c r="E541" s="1" t="n">
        <v>46221</v>
      </c>
      <c r="F541" t="inlineStr">
        <is>
          <t>VÄRMLANDS LÄN</t>
        </is>
      </c>
      <c r="G541" t="inlineStr">
        <is>
          <t>KARLSTAD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31430-2026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46220</v>
      </c>
      <c r="E542" s="1" t="n">
        <v>46221</v>
      </c>
      <c r="F542" t="inlineStr">
        <is>
          <t>VÄRMLANDS LÄN</t>
        </is>
      </c>
      <c r="G542" t="inlineStr">
        <is>
          <t>KARLSTAD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46220</v>
      </c>
      <c r="E543" s="1" t="n">
        <v>46221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25785-2026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46221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25796-2026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46221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7370-2025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45704</v>
      </c>
      <c r="E546" s="1" t="n">
        <v>46221</v>
      </c>
      <c r="F546" t="inlineStr">
        <is>
          <t>VÄRMLANDS LÄN</t>
        </is>
      </c>
      <c r="G546" t="inlineStr">
        <is>
          <t>KARLSTAD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46221</v>
      </c>
      <c r="F547" t="inlineStr">
        <is>
          <t>VÄRMLANDS LÄN</t>
        </is>
      </c>
      <c r="G547" t="inlineStr">
        <is>
          <t>KARLSTAD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51663-2023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46221</v>
      </c>
      <c r="F548" t="inlineStr">
        <is>
          <t>VÄRMLANDS LÄN</t>
        </is>
      </c>
      <c r="G548" t="inlineStr">
        <is>
          <t>KARLSTAD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45287-2023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46221</v>
      </c>
      <c r="F549" t="inlineStr">
        <is>
          <t>VÄRMLANDS LÄN</t>
        </is>
      </c>
      <c r="G549" t="inlineStr">
        <is>
          <t>KARLSTAD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46221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45231-2024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46221</v>
      </c>
      <c r="F551" t="inlineStr">
        <is>
          <t>VÄRMLANDS LÄN</t>
        </is>
      </c>
      <c r="G551" t="inlineStr">
        <is>
          <t>KARLSTAD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45641</v>
      </c>
      <c r="E552" s="1" t="n">
        <v>46221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46109-2024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46221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46221</v>
      </c>
      <c r="F554" t="inlineStr">
        <is>
          <t>VÄRMLANDS LÄN</t>
        </is>
      </c>
      <c r="G554" t="inlineStr">
        <is>
          <t>KARLSTAD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32169-2023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46221</v>
      </c>
      <c r="F555" t="inlineStr">
        <is>
          <t>VÄRMLANDS LÄN</t>
        </is>
      </c>
      <c r="G555" t="inlineStr">
        <is>
          <t>KARLSTAD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13063-2025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46221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60932-2024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46221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19089-2025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45767</v>
      </c>
      <c r="E558" s="1" t="n">
        <v>46221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59204-2023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46221</v>
      </c>
      <c r="F559" t="inlineStr">
        <is>
          <t>VÄRMLANDS LÄN</t>
        </is>
      </c>
      <c r="G559" t="inlineStr">
        <is>
          <t>KARLSTAD</t>
        </is>
      </c>
      <c r="H559" t="inlineStr">
        <is>
          <t>Kommuner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46221</v>
      </c>
      <c r="F560" t="inlineStr">
        <is>
          <t>VÄRMLANDS LÄN</t>
        </is>
      </c>
      <c r="G560" t="inlineStr">
        <is>
          <t>KARLSTAD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46221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46221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21531-2025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46221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46221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46221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21866-2025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46221</v>
      </c>
      <c r="F566" t="inlineStr">
        <is>
          <t>VÄRMLANDS LÄN</t>
        </is>
      </c>
      <c r="G566" t="inlineStr">
        <is>
          <t>KARLSTAD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21840-2025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46221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21844-2025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46221</v>
      </c>
      <c r="F568" t="inlineStr">
        <is>
          <t>VÄRMLANDS LÄN</t>
        </is>
      </c>
      <c r="G568" t="inlineStr">
        <is>
          <t>KARLSTAD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46221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45466</v>
      </c>
      <c r="E570" s="1" t="n">
        <v>46221</v>
      </c>
      <c r="F570" t="inlineStr">
        <is>
          <t>VÄRMLANDS LÄN</t>
        </is>
      </c>
      <c r="G570" t="inlineStr">
        <is>
          <t>KARLSTAD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46221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46221</v>
      </c>
      <c r="F572" t="inlineStr">
        <is>
          <t>VÄRMLANDS LÄN</t>
        </is>
      </c>
      <c r="G572" t="inlineStr">
        <is>
          <t>KARLSTAD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38298-2022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46221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24.3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55081-2024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45621</v>
      </c>
      <c r="E574" s="1" t="n">
        <v>46221</v>
      </c>
      <c r="F574" t="inlineStr">
        <is>
          <t>VÄRMLANDS LÄN</t>
        </is>
      </c>
      <c r="G574" t="inlineStr">
        <is>
          <t>KARLSTAD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60281-2024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45642</v>
      </c>
      <c r="E575" s="1" t="n">
        <v>46221</v>
      </c>
      <c r="F575" t="inlineStr">
        <is>
          <t>VÄRMLANDS LÄN</t>
        </is>
      </c>
      <c r="G575" t="inlineStr">
        <is>
          <t>KARLSTAD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46221</v>
      </c>
      <c r="F576" t="inlineStr">
        <is>
          <t>VÄRMLANDS LÄN</t>
        </is>
      </c>
      <c r="G576" t="inlineStr">
        <is>
          <t>KARLSTAD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19166-2023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45044</v>
      </c>
      <c r="E577" s="1" t="n">
        <v>46221</v>
      </c>
      <c r="F577" t="inlineStr">
        <is>
          <t>VÄRMLANDS LÄN</t>
        </is>
      </c>
      <c r="G577" t="inlineStr">
        <is>
          <t>KARLSTAD</t>
        </is>
      </c>
      <c r="H577" t="inlineStr">
        <is>
          <t>Övriga statliga verk och myndigheter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25163-2025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46221</v>
      </c>
      <c r="F578" t="inlineStr">
        <is>
          <t>VÄRMLANDS LÄN</t>
        </is>
      </c>
      <c r="G578" t="inlineStr">
        <is>
          <t>KARLSTAD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46221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46221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46221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46221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46221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46221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46221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46221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46221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46221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46221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46221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46221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46221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46221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46221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46221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2026-07-18T01:24:34Z</dcterms:created>
  <dcterms:modified xmlns:dcterms="http://purl.org/dc/terms/" xmlns:xsi="http://www.w3.org/2001/XMLSchema-instance" xsi:type="dcterms:W3CDTF">2026-07-18T01:24:35Z</dcterms:modified>
</cp:coreProperties>
</file>