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45780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45780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45780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45780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45780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45780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45780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45780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45780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45780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45780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45780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45780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45780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45780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45780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45780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45780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45780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45780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45780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45780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45780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45780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45780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45780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45780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45780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12633-2025</t>
        </is>
      </c>
      <c r="B39" s="1" t="n">
        <v>45733</v>
      </c>
      <c r="C39" s="1" t="n">
        <v>45780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9.1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Mattlummer</t>
        </is>
      </c>
      <c r="S39">
        <f>HYPERLINK("https://klasma.github.io/Logging_171780/artfynd/A 12633-2025 artfynd.xlsx", "A 12633-2025")</f>
        <v/>
      </c>
      <c r="T39">
        <f>HYPERLINK("https://klasma.github.io/Logging_171780/kartor/A 12633-2025 karta.png", "A 12633-2025")</f>
        <v/>
      </c>
      <c r="V39">
        <f>HYPERLINK("https://klasma.github.io/Logging_171780/klagomål/A 12633-2025 FSC-klagomål.docx", "A 12633-2025")</f>
        <v/>
      </c>
      <c r="W39">
        <f>HYPERLINK("https://klasma.github.io/Logging_171780/klagomålsmail/A 12633-2025 FSC-klagomål mail.docx", "A 12633-2025")</f>
        <v/>
      </c>
      <c r="X39">
        <f>HYPERLINK("https://klasma.github.io/Logging_171780/tillsyn/A 12633-2025 tillsynsbegäran.docx", "A 12633-2025")</f>
        <v/>
      </c>
      <c r="Y39">
        <f>HYPERLINK("https://klasma.github.io/Logging_171780/tillsynsmail/A 12633-2025 tillsynsbegäran mail.docx", "A 12633-2025")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45780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45780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45780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45780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45780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45780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45780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45780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45780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45780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45780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45780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45780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45780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45780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45780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45780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45780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45780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45780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45780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45780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45780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45780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45780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45780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45780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45780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45780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45780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45780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45780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45780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45780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45780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45780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45780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45780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45780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45780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45780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45780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45780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45780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45780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45780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45780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45780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45780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45780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45780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45780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45780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45780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45780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45780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45780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45780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45780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45780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45780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45780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45780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45780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45780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45780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45780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45780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45780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45780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45780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45780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45780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45780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45780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45780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45780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45780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45780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45780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45780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45780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45780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45780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45780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45780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45780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45780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45780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45780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45780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45780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45780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45780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45780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45780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45780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45780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45780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45780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45780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45780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45780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45780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45780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45780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45780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45780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45780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45780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45780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45780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45780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45780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45780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45780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45780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45780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45780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45780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45780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45780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45780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45780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45780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45780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45780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45780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45780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45780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45780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45780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45780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45780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45780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45780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45780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45780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45780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45780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45780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45780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45780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45780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45780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45780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45780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45780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45780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45780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45780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45780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45780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45780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45780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45780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45780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45780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45780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45780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45780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45780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45780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45780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45780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45780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45780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45780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45780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45780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45780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45780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45780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45780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45780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45780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45780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45780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45780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45780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45780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45780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45780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45780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45780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45780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45780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45780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45780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45780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45780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45780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45780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45780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45780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45780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45780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45780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45780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45780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45780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45780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45780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45780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45780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45780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45780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45780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45780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45780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45780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45780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45780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45780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45780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45780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45780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45780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45780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45780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45780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45780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45780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45780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45780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45780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45780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45780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45780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45780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45780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45780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45780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45780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45780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45780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45780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45780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45780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45780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45780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45780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45780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45780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45780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45780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45780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45780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45780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45780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45780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45780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45780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45780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45780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45780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45780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45780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45780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45780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45780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45780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45780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45780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45780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45780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45780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45780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45780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45780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45780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45780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45780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45780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45780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45780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45780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45780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45780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45780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45780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45780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45780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45780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45780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45780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45780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45780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45780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45780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45780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45780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45780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45780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45780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45780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45780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45780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45780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45780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45780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45780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45780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45780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45780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45780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45780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45780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45780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45780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45780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45780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45780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45780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45780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45780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45780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45780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45780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45780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45780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45780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45780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45780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45780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45780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45780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45780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45780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45780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45780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45780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45780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45780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45780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45780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45780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45780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45780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45780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45780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45780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45780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45780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45780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45780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45780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45780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45780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45780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45780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45780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45780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45780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45780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45780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45780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45780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45780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45780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45780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45780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45780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45780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45780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45780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45780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45780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45780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45780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45780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45780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45780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45780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45780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45780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45780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45780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45780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45780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45780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45780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45780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45780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45780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45780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45780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45780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45780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45780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45780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45780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45780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45780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45780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45780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45780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45780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45780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45780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45780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45780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45780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45780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45780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45780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45780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45780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45780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45780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45780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45780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45780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45780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45780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45780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45780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45780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45780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45780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45780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45780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45780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45780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45780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45780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45780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45780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45780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45780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45780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45780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45780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45780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45780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45780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45780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45780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45780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45780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45780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45780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45780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45780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45780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45780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45780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45780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45780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45780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45780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45780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45780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45780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45780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45780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45780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45780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45780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45780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45780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45780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45780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45780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45780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45780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45780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45780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45780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45780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45780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45780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45780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45780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45780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45780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45780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45780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45780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45780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45780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45780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45780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45780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45780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45780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45780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45780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45780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45780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45780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45780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45780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45780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45780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45780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45780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45780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45780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45780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45780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45780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45780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45780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45780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45780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45780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45780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45780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45780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45780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45780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45780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45780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45780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45780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45780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45780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45780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45780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45780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45780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45780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45780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45780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45780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45780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45780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45780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45780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45780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45780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45780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45780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45780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45780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45780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45780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45780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45780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45780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45780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45780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45780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45780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45780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45780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45780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45780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45780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45780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45780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45780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45780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45780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45780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45780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45780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45780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45780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45780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45780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45780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45780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45780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45780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45780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45780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45780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45780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45780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45780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45780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45780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45780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45780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45780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45780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45780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45780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45780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45780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45780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45780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45780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45780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45780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45780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45780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45780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45780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45780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45780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45780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45780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45780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45780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45780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45780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45780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45780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45780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45780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45780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45780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45780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45780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45780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45780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45780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45780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45780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45780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45780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45780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45780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45780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45780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45780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45780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45780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45780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45780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45780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45780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45780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45780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45780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45780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45780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45780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45780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45780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45780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45780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45780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45780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45780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45780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45780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45780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45780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45780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45780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45780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45780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45780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45780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45780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45780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45780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45780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45780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45780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45780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45780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45780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45780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45780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45780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45780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45780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45780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45780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45780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45780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45780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45780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45780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45780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45780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45780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45780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45780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45780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45780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45780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45780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45780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45780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45780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45780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45780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45780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45780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45780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45780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45780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45780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45780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45780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45780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45780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45780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45780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45780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45780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45780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45780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45780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45780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45780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45780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45780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45780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45780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45780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45780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45780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45780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45780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45780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45780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45780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45780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45780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45780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45780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45780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45780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45780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45780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45780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45780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45780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45780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45780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45780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45780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45780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45780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45780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45780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45780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45780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45780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45780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45780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45780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45780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45780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45780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45780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45780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45780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45780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45780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45780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45780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45780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45780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45780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45780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45780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45780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45780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45780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45780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45780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45780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45780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45780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45780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45780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45780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45780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45780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45780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45780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45780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45780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45780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45780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45780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45780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45780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45780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45780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45780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45780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45780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45780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45780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45780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45780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45780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45780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45780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45780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45780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45780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45780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45780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45780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45780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45780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45780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45780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45780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45780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45780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45780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45780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45780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45780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45780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45780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45780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45780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45780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45780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45780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45780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45780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45780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45780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45780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45780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45780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45780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45780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45780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45780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45780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45780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45780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45780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45780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45780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45780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45780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45780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45780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45780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45780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45780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45780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45780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45780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45780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45780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45780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45780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45780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45780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45780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45780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45780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45780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45780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45780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45780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45780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45780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45780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45780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45780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45780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45780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45780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45780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45780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45780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45780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45780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45780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45780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45780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45780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45780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45780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45780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45780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45780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45780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45780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45780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45780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45780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45780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45780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45780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45780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45780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45780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45780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45780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45780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45780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45780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45780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45780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45780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45780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45780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45780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45780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45780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45780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45780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45780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45780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45780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45780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45780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45780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45780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45780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45780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45780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45780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45780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45780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45780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45780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45780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45780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45780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45780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45780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45780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45780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45780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45780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45780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45780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45780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45780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45780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45780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45780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45780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45780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45780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45780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45780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45780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45780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45780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45780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45780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45780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45780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45780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45780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45780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45780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45780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45780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45780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45780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45780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45780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45780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45780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45780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45780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45780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45780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45780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45780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45780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45780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45780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45780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45780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45780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45780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45780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45780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45780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45780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45780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45780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45780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45780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45780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45780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45780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45780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45780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45780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45780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45780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45780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45780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45780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45780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45780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45780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45780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45780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45780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45780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45780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45780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45780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45780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45780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45780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45780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45780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45780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45780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45780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45780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45780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45780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45780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45780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45780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45780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45780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45780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45780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45780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45780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45780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45780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45780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45780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45780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16408-2025</t>
        </is>
      </c>
      <c r="B1212" s="1" t="n">
        <v>45751</v>
      </c>
      <c r="C1212" s="1" t="n">
        <v>45780</v>
      </c>
      <c r="D1212" t="inlineStr">
        <is>
          <t>VÄRMLANDS LÄN</t>
        </is>
      </c>
      <c r="E1212" t="inlineStr">
        <is>
          <t>KARLSTAD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16425-2025</t>
        </is>
      </c>
      <c r="B1213" s="1" t="n">
        <v>45751</v>
      </c>
      <c r="C1213" s="1" t="n">
        <v>45780</v>
      </c>
      <c r="D1213" t="inlineStr">
        <is>
          <t>VÄRMLANDS LÄN</t>
        </is>
      </c>
      <c r="E1213" t="inlineStr">
        <is>
          <t>KARLSTAD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16397-2025</t>
        </is>
      </c>
      <c r="B1214" s="1" t="n">
        <v>45751</v>
      </c>
      <c r="C1214" s="1" t="n">
        <v>45780</v>
      </c>
      <c r="D1214" t="inlineStr">
        <is>
          <t>VÄRMLANDS LÄN</t>
        </is>
      </c>
      <c r="E1214" t="inlineStr">
        <is>
          <t>KARLSTAD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16391-2025</t>
        </is>
      </c>
      <c r="B1215" s="1" t="n">
        <v>45751</v>
      </c>
      <c r="C1215" s="1" t="n">
        <v>45780</v>
      </c>
      <c r="D1215" t="inlineStr">
        <is>
          <t>VÄRMLANDS LÄN</t>
        </is>
      </c>
      <c r="E1215" t="inlineStr">
        <is>
          <t>KARLSTAD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45780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45780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45780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45780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45780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17533-2025</t>
        </is>
      </c>
      <c r="B1221" s="1" t="n">
        <v>45757</v>
      </c>
      <c r="C1221" s="1" t="n">
        <v>45780</v>
      </c>
      <c r="D1221" t="inlineStr">
        <is>
          <t>VÄRMLANDS LÄN</t>
        </is>
      </c>
      <c r="E1221" t="inlineStr">
        <is>
          <t>KARLSTAD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45780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45780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45780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45780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45780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18727-2025</t>
        </is>
      </c>
      <c r="B1227" s="1" t="n">
        <v>45763</v>
      </c>
      <c r="C1227" s="1" t="n">
        <v>45780</v>
      </c>
      <c r="D1227" t="inlineStr">
        <is>
          <t>VÄRMLANDS LÄN</t>
        </is>
      </c>
      <c r="E1227" t="inlineStr">
        <is>
          <t>KARLSTAD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45780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45780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45780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45780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45780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20005-2025</t>
        </is>
      </c>
      <c r="B1233" s="1" t="n">
        <v>45772</v>
      </c>
      <c r="C1233" s="1" t="n">
        <v>45780</v>
      </c>
      <c r="D1233" t="inlineStr">
        <is>
          <t>VÄRMLANDS LÄN</t>
        </is>
      </c>
      <c r="E1233" t="inlineStr">
        <is>
          <t>KARLSTAD</t>
        </is>
      </c>
      <c r="F1233" t="inlineStr">
        <is>
          <t>Kyrkan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20509-2025</t>
        </is>
      </c>
      <c r="B1234" s="1" t="n">
        <v>45775</v>
      </c>
      <c r="C1234" s="1" t="n">
        <v>45780</v>
      </c>
      <c r="D1234" t="inlineStr">
        <is>
          <t>VÄRMLANDS LÄN</t>
        </is>
      </c>
      <c r="E1234" t="inlineStr">
        <is>
          <t>KARLSTAD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20845-2025</t>
        </is>
      </c>
      <c r="B1235" s="1" t="n">
        <v>45777</v>
      </c>
      <c r="C1235" s="1" t="n">
        <v>45780</v>
      </c>
      <c r="D1235" t="inlineStr">
        <is>
          <t>VÄRMLANDS LÄN</t>
        </is>
      </c>
      <c r="E1235" t="inlineStr">
        <is>
          <t>KARLSTAD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2025-05-03T18:05:25Z</dcterms:created>
  <dcterms:modified xmlns:dcterms="http://purl.org/dc/terms/" xmlns:xsi="http://www.w3.org/2001/XMLSchema-instance" xsi:type="dcterms:W3CDTF">2025-05-03T18:05:26Z</dcterms:modified>
</cp:coreProperties>
</file>